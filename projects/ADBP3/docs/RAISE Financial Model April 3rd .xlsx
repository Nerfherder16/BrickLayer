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4_n\Downloads\"/>
    </mc:Choice>
  </mc:AlternateContent>
  <xr:revisionPtr revIDLastSave="0" documentId="13_ncr:1_{55F041E3-82E4-47DC-8509-6314C3564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ise Financial Model" sheetId="1" r:id="rId1"/>
    <sheet name="Wind-Down Summary" sheetId="2" r:id="rId2"/>
    <sheet name="Phase 2 - Accumulation" sheetId="3" r:id="rId3"/>
    <sheet name="Phase 3 - Wind-Down" sheetId="4" r:id="rId4"/>
    <sheet name="L35 Gate — Year Summary" sheetId="5" r:id="rId5"/>
    <sheet name="L35 Gate — Monthly Detail" sheetId="6" r:id="rId6"/>
    <sheet name="L Strategy Comparison" sheetId="7" r:id="rId7"/>
    <sheet name="Interest Rate Scenarios" sheetId="8" r:id="rId8"/>
    <sheet name="9% Scenario — Monthl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2" i="1" l="1"/>
  <c r="E332" i="1"/>
  <c r="N331" i="1"/>
  <c r="E331" i="1"/>
  <c r="N330" i="1"/>
  <c r="E330" i="1"/>
  <c r="N329" i="1"/>
  <c r="E329" i="1"/>
  <c r="N328" i="1"/>
  <c r="E328" i="1"/>
  <c r="N327" i="1"/>
  <c r="E327" i="1"/>
  <c r="N326" i="1"/>
  <c r="E326" i="1"/>
  <c r="N325" i="1"/>
  <c r="E325" i="1"/>
  <c r="N324" i="1"/>
  <c r="E324" i="1"/>
  <c r="N323" i="1"/>
  <c r="E323" i="1"/>
  <c r="N322" i="1"/>
  <c r="E322" i="1"/>
  <c r="N321" i="1"/>
  <c r="E321" i="1"/>
  <c r="N320" i="1"/>
  <c r="E320" i="1"/>
  <c r="N319" i="1"/>
  <c r="E319" i="1"/>
  <c r="N318" i="1"/>
  <c r="E318" i="1"/>
  <c r="N317" i="1"/>
  <c r="E317" i="1"/>
  <c r="N316" i="1"/>
  <c r="E316" i="1"/>
  <c r="N315" i="1"/>
  <c r="E315" i="1"/>
  <c r="N314" i="1"/>
  <c r="E314" i="1"/>
  <c r="N313" i="1"/>
  <c r="E313" i="1"/>
  <c r="N312" i="1"/>
  <c r="E312" i="1"/>
  <c r="N311" i="1"/>
  <c r="E311" i="1"/>
  <c r="N310" i="1"/>
  <c r="E310" i="1"/>
  <c r="N309" i="1"/>
  <c r="E309" i="1"/>
  <c r="N308" i="1"/>
  <c r="E308" i="1"/>
  <c r="N307" i="1"/>
  <c r="E307" i="1"/>
  <c r="N306" i="1"/>
  <c r="E306" i="1"/>
  <c r="N305" i="1"/>
  <c r="E305" i="1"/>
  <c r="N304" i="1"/>
  <c r="E304" i="1"/>
  <c r="N303" i="1"/>
  <c r="E303" i="1"/>
  <c r="N302" i="1"/>
  <c r="E302" i="1"/>
  <c r="N301" i="1"/>
  <c r="E301" i="1"/>
  <c r="N300" i="1"/>
  <c r="E300" i="1"/>
  <c r="N299" i="1"/>
  <c r="E299" i="1"/>
  <c r="N298" i="1"/>
  <c r="E298" i="1"/>
  <c r="N297" i="1"/>
  <c r="E297" i="1"/>
  <c r="N296" i="1"/>
  <c r="E296" i="1"/>
  <c r="N295" i="1"/>
  <c r="E295" i="1"/>
  <c r="N294" i="1"/>
  <c r="E294" i="1"/>
  <c r="N293" i="1"/>
  <c r="E293" i="1"/>
  <c r="N292" i="1"/>
  <c r="E292" i="1"/>
  <c r="N291" i="1"/>
  <c r="E291" i="1"/>
  <c r="N290" i="1"/>
  <c r="E290" i="1"/>
  <c r="N289" i="1"/>
  <c r="E289" i="1"/>
  <c r="N288" i="1"/>
  <c r="E288" i="1"/>
  <c r="N287" i="1"/>
  <c r="E287" i="1"/>
  <c r="N286" i="1"/>
  <c r="E286" i="1"/>
  <c r="N285" i="1"/>
  <c r="E285" i="1"/>
  <c r="N284" i="1"/>
  <c r="E284" i="1"/>
  <c r="N283" i="1"/>
  <c r="E283" i="1"/>
  <c r="N282" i="1"/>
  <c r="E282" i="1"/>
  <c r="N281" i="1"/>
  <c r="E281" i="1"/>
  <c r="N280" i="1"/>
  <c r="E280" i="1"/>
  <c r="N279" i="1"/>
  <c r="E279" i="1"/>
  <c r="N278" i="1"/>
  <c r="E278" i="1"/>
  <c r="N277" i="1"/>
  <c r="E277" i="1"/>
  <c r="N276" i="1"/>
  <c r="E276" i="1"/>
  <c r="N275" i="1"/>
  <c r="E275" i="1"/>
  <c r="N274" i="1"/>
  <c r="E274" i="1"/>
  <c r="N273" i="1"/>
  <c r="E273" i="1"/>
  <c r="N272" i="1"/>
  <c r="E272" i="1"/>
  <c r="N271" i="1"/>
  <c r="E271" i="1"/>
  <c r="N270" i="1"/>
  <c r="E270" i="1"/>
  <c r="N269" i="1"/>
  <c r="E269" i="1"/>
  <c r="N268" i="1"/>
  <c r="E268" i="1"/>
  <c r="N267" i="1"/>
  <c r="E267" i="1"/>
  <c r="N266" i="1"/>
  <c r="E266" i="1"/>
  <c r="N265" i="1"/>
  <c r="E265" i="1"/>
  <c r="N264" i="1"/>
  <c r="E264" i="1"/>
  <c r="N263" i="1"/>
  <c r="E263" i="1"/>
  <c r="N262" i="1"/>
  <c r="E262" i="1"/>
  <c r="N261" i="1"/>
  <c r="E261" i="1"/>
  <c r="N260" i="1"/>
  <c r="E260" i="1"/>
  <c r="N259" i="1"/>
  <c r="E259" i="1"/>
  <c r="N258" i="1"/>
  <c r="E258" i="1"/>
  <c r="N257" i="1"/>
  <c r="E257" i="1"/>
  <c r="N256" i="1"/>
  <c r="E256" i="1"/>
  <c r="N255" i="1"/>
  <c r="E255" i="1"/>
  <c r="N254" i="1"/>
  <c r="E254" i="1"/>
  <c r="N253" i="1"/>
  <c r="E253" i="1"/>
  <c r="N252" i="1"/>
  <c r="E252" i="1"/>
  <c r="N251" i="1"/>
  <c r="E251" i="1"/>
  <c r="N250" i="1"/>
  <c r="E250" i="1"/>
  <c r="N249" i="1"/>
  <c r="E249" i="1"/>
  <c r="N248" i="1"/>
  <c r="E248" i="1"/>
  <c r="N247" i="1"/>
  <c r="E247" i="1"/>
  <c r="N246" i="1"/>
  <c r="E246" i="1"/>
  <c r="N245" i="1"/>
  <c r="E245" i="1"/>
  <c r="N244" i="1"/>
  <c r="E244" i="1"/>
  <c r="N243" i="1"/>
  <c r="E243" i="1"/>
  <c r="N242" i="1"/>
  <c r="E242" i="1"/>
  <c r="N241" i="1"/>
  <c r="E241" i="1"/>
  <c r="N240" i="1"/>
  <c r="E240" i="1"/>
  <c r="N239" i="1"/>
  <c r="E239" i="1"/>
  <c r="N238" i="1"/>
  <c r="E238" i="1"/>
  <c r="N237" i="1"/>
  <c r="E237" i="1"/>
  <c r="N236" i="1"/>
  <c r="E236" i="1"/>
  <c r="N235" i="1"/>
  <c r="E235" i="1"/>
  <c r="N234" i="1"/>
  <c r="E234" i="1"/>
  <c r="N233" i="1"/>
  <c r="E233" i="1"/>
  <c r="N232" i="1"/>
  <c r="E232" i="1"/>
  <c r="N231" i="1"/>
  <c r="E231" i="1"/>
  <c r="N230" i="1"/>
  <c r="E230" i="1"/>
  <c r="N229" i="1"/>
  <c r="E229" i="1"/>
  <c r="N228" i="1"/>
  <c r="E228" i="1"/>
  <c r="N227" i="1"/>
  <c r="E227" i="1"/>
  <c r="N226" i="1"/>
  <c r="E226" i="1"/>
  <c r="N225" i="1"/>
  <c r="E225" i="1"/>
  <c r="N224" i="1"/>
  <c r="E224" i="1"/>
  <c r="N223" i="1"/>
  <c r="E223" i="1"/>
  <c r="N222" i="1"/>
  <c r="E222" i="1"/>
  <c r="N221" i="1"/>
  <c r="E221" i="1"/>
  <c r="N220" i="1"/>
  <c r="E220" i="1"/>
  <c r="N219" i="1"/>
  <c r="E219" i="1"/>
  <c r="N218" i="1"/>
  <c r="E218" i="1"/>
  <c r="N217" i="1"/>
  <c r="E217" i="1"/>
  <c r="N216" i="1"/>
  <c r="E216" i="1"/>
  <c r="N215" i="1"/>
  <c r="E215" i="1"/>
  <c r="N214" i="1"/>
  <c r="E214" i="1"/>
  <c r="N213" i="1"/>
  <c r="E213" i="1"/>
  <c r="N212" i="1"/>
  <c r="E212" i="1"/>
  <c r="N211" i="1"/>
  <c r="E211" i="1"/>
  <c r="N210" i="1"/>
  <c r="E210" i="1"/>
  <c r="N209" i="1"/>
  <c r="E209" i="1"/>
  <c r="N208" i="1"/>
  <c r="E208" i="1"/>
  <c r="N207" i="1"/>
  <c r="E207" i="1"/>
  <c r="N206" i="1"/>
  <c r="E206" i="1"/>
  <c r="N205" i="1"/>
  <c r="E205" i="1"/>
  <c r="N204" i="1"/>
  <c r="E204" i="1"/>
  <c r="N203" i="1"/>
  <c r="E203" i="1"/>
  <c r="N202" i="1"/>
  <c r="E202" i="1"/>
  <c r="N201" i="1"/>
  <c r="E201" i="1"/>
  <c r="N200" i="1"/>
  <c r="E200" i="1"/>
  <c r="N199" i="1"/>
  <c r="E199" i="1"/>
  <c r="N198" i="1"/>
  <c r="E198" i="1"/>
  <c r="N197" i="1"/>
  <c r="E197" i="1"/>
  <c r="N196" i="1"/>
  <c r="E196" i="1"/>
  <c r="N195" i="1"/>
  <c r="E195" i="1"/>
  <c r="N194" i="1"/>
  <c r="E194" i="1"/>
  <c r="N193" i="1"/>
  <c r="E193" i="1"/>
  <c r="N192" i="1"/>
  <c r="E192" i="1"/>
  <c r="N191" i="1"/>
  <c r="E191" i="1"/>
  <c r="N190" i="1"/>
  <c r="E190" i="1"/>
  <c r="N189" i="1"/>
  <c r="E189" i="1"/>
  <c r="N188" i="1"/>
  <c r="E188" i="1"/>
  <c r="N187" i="1"/>
  <c r="E187" i="1"/>
  <c r="N186" i="1"/>
  <c r="E186" i="1"/>
  <c r="N185" i="1"/>
  <c r="E185" i="1"/>
  <c r="N184" i="1"/>
  <c r="E184" i="1"/>
  <c r="N183" i="1"/>
  <c r="E183" i="1"/>
  <c r="N182" i="1"/>
  <c r="E182" i="1"/>
  <c r="N181" i="1"/>
  <c r="E181" i="1"/>
  <c r="N180" i="1"/>
  <c r="E180" i="1"/>
  <c r="N179" i="1"/>
  <c r="E179" i="1"/>
  <c r="N178" i="1"/>
  <c r="E178" i="1"/>
  <c r="N177" i="1"/>
  <c r="E177" i="1"/>
  <c r="N176" i="1"/>
  <c r="E176" i="1"/>
  <c r="N175" i="1"/>
  <c r="E175" i="1"/>
  <c r="N174" i="1"/>
  <c r="E174" i="1"/>
  <c r="N173" i="1"/>
  <c r="E173" i="1"/>
  <c r="N172" i="1"/>
  <c r="E172" i="1"/>
  <c r="N171" i="1"/>
  <c r="E171" i="1"/>
  <c r="N170" i="1"/>
  <c r="E170" i="1"/>
  <c r="N169" i="1"/>
  <c r="E169" i="1"/>
  <c r="N168" i="1"/>
  <c r="E168" i="1"/>
  <c r="N167" i="1"/>
  <c r="E167" i="1"/>
  <c r="N166" i="1"/>
  <c r="E166" i="1"/>
  <c r="N165" i="1"/>
  <c r="E165" i="1"/>
  <c r="N164" i="1"/>
  <c r="E164" i="1"/>
  <c r="N163" i="1"/>
  <c r="E163" i="1"/>
  <c r="N162" i="1"/>
  <c r="E162" i="1"/>
  <c r="N161" i="1"/>
  <c r="E161" i="1"/>
  <c r="N160" i="1"/>
  <c r="E160" i="1"/>
  <c r="N159" i="1"/>
  <c r="E159" i="1"/>
  <c r="N158" i="1"/>
  <c r="E158" i="1"/>
  <c r="N157" i="1"/>
  <c r="E157" i="1"/>
  <c r="N156" i="1"/>
  <c r="E156" i="1"/>
  <c r="N155" i="1"/>
  <c r="E155" i="1"/>
  <c r="N154" i="1"/>
  <c r="E154" i="1"/>
  <c r="N153" i="1"/>
  <c r="E153" i="1"/>
  <c r="N152" i="1"/>
  <c r="E152" i="1"/>
  <c r="N151" i="1"/>
  <c r="E151" i="1"/>
  <c r="N150" i="1"/>
  <c r="E150" i="1"/>
  <c r="N149" i="1"/>
  <c r="E149" i="1"/>
  <c r="N148" i="1"/>
  <c r="E148" i="1"/>
  <c r="N147" i="1"/>
  <c r="E147" i="1"/>
  <c r="N146" i="1"/>
  <c r="E146" i="1"/>
  <c r="N145" i="1"/>
  <c r="E145" i="1"/>
  <c r="N144" i="1"/>
  <c r="E144" i="1"/>
  <c r="N143" i="1"/>
  <c r="E143" i="1"/>
  <c r="N142" i="1"/>
  <c r="E142" i="1"/>
  <c r="N141" i="1"/>
  <c r="E141" i="1"/>
  <c r="N140" i="1"/>
  <c r="E140" i="1"/>
  <c r="N139" i="1"/>
  <c r="E139" i="1"/>
  <c r="N138" i="1"/>
  <c r="E138" i="1"/>
  <c r="N137" i="1"/>
  <c r="E137" i="1"/>
  <c r="N136" i="1"/>
  <c r="E136" i="1"/>
  <c r="N135" i="1"/>
  <c r="E135" i="1"/>
  <c r="N134" i="1"/>
  <c r="E134" i="1"/>
  <c r="N133" i="1"/>
  <c r="E133" i="1"/>
  <c r="N132" i="1"/>
  <c r="E132" i="1"/>
  <c r="N131" i="1"/>
  <c r="E131" i="1"/>
  <c r="N130" i="1"/>
  <c r="E130" i="1"/>
  <c r="N129" i="1"/>
  <c r="E129" i="1"/>
  <c r="N128" i="1"/>
  <c r="E128" i="1"/>
  <c r="N127" i="1"/>
  <c r="E127" i="1"/>
  <c r="N126" i="1"/>
  <c r="E126" i="1"/>
  <c r="N125" i="1"/>
  <c r="E125" i="1"/>
  <c r="N124" i="1"/>
  <c r="E124" i="1"/>
  <c r="N123" i="1"/>
  <c r="E123" i="1"/>
  <c r="N122" i="1"/>
  <c r="E122" i="1"/>
  <c r="N121" i="1"/>
  <c r="E121" i="1"/>
  <c r="N120" i="1"/>
  <c r="E120" i="1"/>
  <c r="N119" i="1"/>
  <c r="E119" i="1"/>
  <c r="N118" i="1"/>
  <c r="E118" i="1"/>
  <c r="N117" i="1"/>
  <c r="E117" i="1"/>
  <c r="N116" i="1"/>
  <c r="E116" i="1"/>
  <c r="N115" i="1"/>
  <c r="E115" i="1"/>
  <c r="N114" i="1"/>
  <c r="E114" i="1"/>
  <c r="N113" i="1"/>
  <c r="E113" i="1"/>
  <c r="N112" i="1"/>
  <c r="E112" i="1"/>
  <c r="N111" i="1"/>
  <c r="E111" i="1"/>
  <c r="N110" i="1"/>
  <c r="E110" i="1"/>
  <c r="N109" i="1"/>
  <c r="E109" i="1"/>
  <c r="N108" i="1"/>
  <c r="E108" i="1"/>
  <c r="N107" i="1"/>
  <c r="E107" i="1"/>
  <c r="N106" i="1"/>
  <c r="E106" i="1"/>
  <c r="N105" i="1"/>
  <c r="E105" i="1"/>
  <c r="N104" i="1"/>
  <c r="E104" i="1"/>
  <c r="N103" i="1"/>
  <c r="E103" i="1"/>
  <c r="N102" i="1"/>
  <c r="E102" i="1"/>
  <c r="N101" i="1"/>
  <c r="E101" i="1"/>
  <c r="N100" i="1"/>
  <c r="E100" i="1"/>
  <c r="N99" i="1"/>
  <c r="E99" i="1"/>
  <c r="N98" i="1"/>
  <c r="E98" i="1"/>
  <c r="N97" i="1"/>
  <c r="E97" i="1"/>
  <c r="N96" i="1"/>
  <c r="E96" i="1"/>
  <c r="N95" i="1"/>
  <c r="E95" i="1"/>
  <c r="N94" i="1"/>
  <c r="E94" i="1"/>
  <c r="N93" i="1"/>
  <c r="E93" i="1"/>
  <c r="N92" i="1"/>
  <c r="E92" i="1"/>
  <c r="N91" i="1"/>
  <c r="E91" i="1"/>
  <c r="N90" i="1"/>
  <c r="E90" i="1"/>
  <c r="N89" i="1"/>
  <c r="E89" i="1"/>
  <c r="N88" i="1"/>
  <c r="E88" i="1"/>
  <c r="N87" i="1"/>
  <c r="E87" i="1"/>
  <c r="N86" i="1"/>
  <c r="E86" i="1"/>
  <c r="N85" i="1"/>
  <c r="E85" i="1"/>
  <c r="N84" i="1"/>
  <c r="E84" i="1"/>
  <c r="N83" i="1"/>
  <c r="E83" i="1"/>
  <c r="N82" i="1"/>
  <c r="E82" i="1"/>
  <c r="N81" i="1"/>
  <c r="E81" i="1"/>
  <c r="N80" i="1"/>
  <c r="E80" i="1"/>
  <c r="N79" i="1"/>
  <c r="E79" i="1"/>
  <c r="N78" i="1"/>
  <c r="E78" i="1"/>
  <c r="N77" i="1"/>
  <c r="E77" i="1"/>
  <c r="N76" i="1"/>
  <c r="E76" i="1"/>
  <c r="N75" i="1"/>
  <c r="E75" i="1"/>
  <c r="N74" i="1"/>
  <c r="E74" i="1"/>
  <c r="N73" i="1"/>
  <c r="E73" i="1"/>
  <c r="N72" i="1"/>
  <c r="E72" i="1"/>
  <c r="N71" i="1"/>
  <c r="E71" i="1"/>
  <c r="N70" i="1"/>
  <c r="E70" i="1"/>
  <c r="N69" i="1"/>
  <c r="E69" i="1"/>
  <c r="N68" i="1"/>
  <c r="E68" i="1"/>
  <c r="N67" i="1"/>
  <c r="E67" i="1"/>
  <c r="N66" i="1"/>
  <c r="E66" i="1"/>
  <c r="N65" i="1"/>
  <c r="E65" i="1"/>
  <c r="N64" i="1"/>
  <c r="E64" i="1"/>
  <c r="N63" i="1"/>
  <c r="E63" i="1"/>
  <c r="N62" i="1"/>
  <c r="E62" i="1"/>
  <c r="N61" i="1"/>
  <c r="E61" i="1"/>
  <c r="N60" i="1"/>
  <c r="E60" i="1"/>
  <c r="N59" i="1"/>
  <c r="E59" i="1"/>
  <c r="N58" i="1"/>
  <c r="E58" i="1"/>
  <c r="N57" i="1"/>
  <c r="E57" i="1"/>
  <c r="N56" i="1"/>
  <c r="E56" i="1"/>
  <c r="N55" i="1"/>
  <c r="E55" i="1"/>
  <c r="N54" i="1"/>
  <c r="E54" i="1"/>
  <c r="N53" i="1"/>
  <c r="E53" i="1"/>
  <c r="N52" i="1"/>
  <c r="E52" i="1"/>
  <c r="N51" i="1"/>
  <c r="E51" i="1"/>
  <c r="N50" i="1"/>
  <c r="E50" i="1"/>
  <c r="N49" i="1"/>
  <c r="E49" i="1"/>
  <c r="N48" i="1"/>
  <c r="E48" i="1"/>
  <c r="N47" i="1"/>
  <c r="E47" i="1"/>
  <c r="N46" i="1"/>
  <c r="E46" i="1"/>
  <c r="N45" i="1"/>
  <c r="E45" i="1"/>
  <c r="N44" i="1"/>
  <c r="E44" i="1"/>
  <c r="N43" i="1"/>
  <c r="E43" i="1"/>
  <c r="N42" i="1"/>
  <c r="E42" i="1"/>
  <c r="N41" i="1"/>
  <c r="E41" i="1"/>
  <c r="N40" i="1"/>
  <c r="E40" i="1"/>
  <c r="N39" i="1"/>
  <c r="E39" i="1"/>
  <c r="N38" i="1"/>
  <c r="E38" i="1"/>
  <c r="N37" i="1"/>
  <c r="E37" i="1"/>
  <c r="N36" i="1"/>
  <c r="E36" i="1"/>
  <c r="N35" i="1"/>
  <c r="E35" i="1"/>
  <c r="N34" i="1"/>
  <c r="E34" i="1"/>
  <c r="N33" i="1"/>
  <c r="E33" i="1"/>
  <c r="C33" i="1"/>
  <c r="D33" i="1" s="1"/>
  <c r="F33" i="1" l="1"/>
  <c r="H33" i="1" l="1"/>
  <c r="G33" i="1"/>
  <c r="O33" i="1" l="1"/>
  <c r="Q33" i="1"/>
  <c r="C34" i="1"/>
  <c r="D34" i="1" s="1"/>
  <c r="F34" i="1" l="1"/>
  <c r="I33" i="1"/>
  <c r="M33" i="1" s="1"/>
  <c r="J33" i="1"/>
  <c r="K34" i="1" l="1"/>
  <c r="L33" i="1"/>
  <c r="G34" i="1"/>
  <c r="H34" i="1"/>
  <c r="Q34" i="1" l="1"/>
  <c r="O34" i="1"/>
  <c r="C35" i="1"/>
  <c r="D35" i="1" s="1"/>
  <c r="J34" i="1" l="1"/>
  <c r="I34" i="1"/>
  <c r="M34" i="1" s="1"/>
  <c r="F35" i="1"/>
  <c r="K35" i="1" l="1"/>
  <c r="L34" i="1"/>
  <c r="H35" i="1"/>
  <c r="G35" i="1"/>
  <c r="Q35" i="1" l="1"/>
  <c r="O35" i="1"/>
  <c r="C36" i="1"/>
  <c r="D36" i="1" s="1"/>
  <c r="F36" i="1" s="1"/>
  <c r="G36" i="1" l="1"/>
  <c r="H36" i="1"/>
  <c r="J35" i="1"/>
  <c r="I35" i="1"/>
  <c r="M35" i="1" s="1"/>
  <c r="C37" i="1"/>
  <c r="D37" i="1"/>
  <c r="K36" i="1" l="1"/>
  <c r="L35" i="1"/>
  <c r="H37" i="1"/>
  <c r="Q36" i="1"/>
  <c r="I36" i="1" s="1"/>
  <c r="M36" i="1" s="1"/>
  <c r="O36" i="1"/>
  <c r="F37" i="1"/>
  <c r="J36" i="1" l="1"/>
  <c r="G37" i="1"/>
  <c r="O37" i="1" l="1"/>
  <c r="Q37" i="1"/>
  <c r="I37" i="1" s="1"/>
  <c r="M37" i="1" s="1"/>
  <c r="C38" i="1"/>
  <c r="D38" i="1" s="1"/>
  <c r="K37" i="1"/>
  <c r="L36" i="1"/>
  <c r="J37" i="1" l="1"/>
  <c r="L37" i="1" s="1"/>
  <c r="F38" i="1"/>
  <c r="K38" i="1" l="1"/>
  <c r="H38" i="1"/>
  <c r="G38" i="1"/>
  <c r="Q38" i="1" l="1"/>
  <c r="O38" i="1"/>
  <c r="C39" i="1"/>
  <c r="D39" i="1" s="1"/>
  <c r="F39" i="1" s="1"/>
  <c r="G39" i="1" l="1"/>
  <c r="H39" i="1"/>
  <c r="J38" i="1"/>
  <c r="I38" i="1"/>
  <c r="M38" i="1" s="1"/>
  <c r="C40" i="1"/>
  <c r="D40" i="1" s="1"/>
  <c r="K39" i="1" l="1"/>
  <c r="L38" i="1"/>
  <c r="F40" i="1"/>
  <c r="Q39" i="1"/>
  <c r="I39" i="1" s="1"/>
  <c r="M39" i="1" s="1"/>
  <c r="O39" i="1"/>
  <c r="J39" i="1" l="1"/>
  <c r="K40" i="1" s="1"/>
  <c r="H40" i="1"/>
  <c r="G40" i="1"/>
  <c r="L39" i="1" l="1"/>
  <c r="Q40" i="1"/>
  <c r="O40" i="1"/>
  <c r="C41" i="1"/>
  <c r="D41" i="1" s="1"/>
  <c r="F41" i="1" l="1"/>
  <c r="I40" i="1"/>
  <c r="M40" i="1" s="1"/>
  <c r="J40" i="1"/>
  <c r="K41" i="1" l="1"/>
  <c r="L40" i="1"/>
  <c r="G41" i="1"/>
  <c r="H41" i="1"/>
  <c r="O41" i="1" l="1"/>
  <c r="Q41" i="1"/>
  <c r="I41" i="1" s="1"/>
  <c r="M41" i="1" s="1"/>
  <c r="C42" i="1"/>
  <c r="D42" i="1" s="1"/>
  <c r="F42" i="1" l="1"/>
  <c r="J41" i="1"/>
  <c r="K42" i="1" l="1"/>
  <c r="L41" i="1"/>
  <c r="G42" i="1"/>
  <c r="H42" i="1"/>
  <c r="Q42" i="1" l="1"/>
  <c r="O42" i="1"/>
  <c r="C43" i="1"/>
  <c r="D43" i="1" s="1"/>
  <c r="F43" i="1" s="1"/>
  <c r="H43" i="1" l="1"/>
  <c r="G43" i="1"/>
  <c r="J42" i="1"/>
  <c r="I42" i="1"/>
  <c r="M42" i="1" s="1"/>
  <c r="C44" i="1"/>
  <c r="D44" i="1" s="1"/>
  <c r="K43" i="1" l="1"/>
  <c r="L42" i="1"/>
  <c r="F44" i="1"/>
  <c r="Q43" i="1"/>
  <c r="I43" i="1" s="1"/>
  <c r="M43" i="1" s="1"/>
  <c r="O43" i="1"/>
  <c r="J43" i="1" l="1"/>
  <c r="K44" i="1" s="1"/>
  <c r="G44" i="1"/>
  <c r="H44" i="1"/>
  <c r="L43" i="1" l="1"/>
  <c r="Q44" i="1"/>
  <c r="O44" i="1"/>
  <c r="C45" i="1"/>
  <c r="D45" i="1" s="1"/>
  <c r="I44" i="1" l="1"/>
  <c r="M44" i="1" s="1"/>
  <c r="J44" i="1"/>
  <c r="F45" i="1"/>
  <c r="H45" i="1" l="1"/>
  <c r="G45" i="1"/>
  <c r="K45" i="1"/>
  <c r="L44" i="1"/>
  <c r="O45" i="1" l="1"/>
  <c r="Q45" i="1"/>
  <c r="I45" i="1" s="1"/>
  <c r="M45" i="1" s="1"/>
  <c r="C46" i="1"/>
  <c r="D46" i="1" s="1"/>
  <c r="F46" i="1" l="1"/>
  <c r="J45" i="1"/>
  <c r="H46" i="1" l="1"/>
  <c r="G46" i="1"/>
  <c r="K46" i="1"/>
  <c r="L45" i="1"/>
  <c r="Q46" i="1" l="1"/>
  <c r="O46" i="1"/>
  <c r="C47" i="1"/>
  <c r="D47" i="1" s="1"/>
  <c r="I46" i="1" l="1"/>
  <c r="M46" i="1" s="1"/>
  <c r="J46" i="1"/>
  <c r="F47" i="1"/>
  <c r="G47" i="1" l="1"/>
  <c r="H47" i="1"/>
  <c r="K47" i="1"/>
  <c r="L46" i="1"/>
  <c r="Q47" i="1" l="1"/>
  <c r="I47" i="1" s="1"/>
  <c r="M47" i="1" s="1"/>
  <c r="O47" i="1"/>
  <c r="C48" i="1"/>
  <c r="D48" i="1" s="1"/>
  <c r="F48" i="1" l="1"/>
  <c r="J47" i="1"/>
  <c r="K48" i="1" l="1"/>
  <c r="L47" i="1"/>
  <c r="H48" i="1"/>
  <c r="G48" i="1"/>
  <c r="Q48" i="1" l="1"/>
  <c r="I48" i="1" s="1"/>
  <c r="M48" i="1" s="1"/>
  <c r="O48" i="1"/>
  <c r="C49" i="1"/>
  <c r="D49" i="1" s="1"/>
  <c r="F49" i="1" l="1"/>
  <c r="J48" i="1"/>
  <c r="K49" i="1" l="1"/>
  <c r="L48" i="1"/>
  <c r="G49" i="1"/>
  <c r="H49" i="1"/>
  <c r="Q49" i="1" l="1"/>
  <c r="O49" i="1"/>
  <c r="C50" i="1"/>
  <c r="D50" i="1" s="1"/>
  <c r="F50" i="1" s="1"/>
  <c r="H50" i="1" l="1"/>
  <c r="G50" i="1"/>
  <c r="C51" i="1"/>
  <c r="D51" i="1" s="1"/>
  <c r="J49" i="1"/>
  <c r="I49" i="1"/>
  <c r="M49" i="1" s="1"/>
  <c r="K50" i="1" l="1"/>
  <c r="L49" i="1"/>
  <c r="F51" i="1"/>
  <c r="H51" i="1" s="1"/>
  <c r="Q50" i="1"/>
  <c r="I50" i="1" s="1"/>
  <c r="M50" i="1" s="1"/>
  <c r="O50" i="1"/>
  <c r="J50" i="1" l="1"/>
  <c r="G51" i="1"/>
  <c r="Q51" i="1" l="1"/>
  <c r="I51" i="1" s="1"/>
  <c r="M51" i="1" s="1"/>
  <c r="O51" i="1"/>
  <c r="C52" i="1"/>
  <c r="D52" i="1" s="1"/>
  <c r="K51" i="1"/>
  <c r="L50" i="1"/>
  <c r="J51" i="1" l="1"/>
  <c r="K52" i="1" s="1"/>
  <c r="F52" i="1"/>
  <c r="L51" i="1" l="1"/>
  <c r="H52" i="1"/>
  <c r="G52" i="1"/>
  <c r="Q52" i="1" l="1"/>
  <c r="O52" i="1"/>
  <c r="C53" i="1"/>
  <c r="D53" i="1" s="1"/>
  <c r="F53" i="1" s="1"/>
  <c r="G53" i="1" l="1"/>
  <c r="H53" i="1"/>
  <c r="C54" i="1"/>
  <c r="D54" i="1" s="1"/>
  <c r="I52" i="1"/>
  <c r="M52" i="1" s="1"/>
  <c r="J52" i="1"/>
  <c r="K53" i="1" l="1"/>
  <c r="L52" i="1"/>
  <c r="H54" i="1"/>
  <c r="O53" i="1"/>
  <c r="Q53" i="1"/>
  <c r="I53" i="1" s="1"/>
  <c r="M53" i="1" s="1"/>
  <c r="F54" i="1"/>
  <c r="J53" i="1" l="1"/>
  <c r="K54" i="1" s="1"/>
  <c r="G54" i="1"/>
  <c r="L53" i="1" l="1"/>
  <c r="Q54" i="1"/>
  <c r="I54" i="1" s="1"/>
  <c r="M54" i="1" s="1"/>
  <c r="O54" i="1"/>
  <c r="C55" i="1"/>
  <c r="D55" i="1" s="1"/>
  <c r="F55" i="1" l="1"/>
  <c r="J54" i="1"/>
  <c r="K55" i="1" l="1"/>
  <c r="L54" i="1"/>
  <c r="H55" i="1"/>
  <c r="G55" i="1"/>
  <c r="Q55" i="1" l="1"/>
  <c r="O55" i="1"/>
  <c r="C56" i="1"/>
  <c r="D56" i="1" s="1"/>
  <c r="J55" i="1" l="1"/>
  <c r="I55" i="1"/>
  <c r="M55" i="1" s="1"/>
  <c r="F56" i="1"/>
  <c r="H56" i="1" l="1"/>
  <c r="G56" i="1"/>
  <c r="K56" i="1"/>
  <c r="L55" i="1"/>
  <c r="Q56" i="1" l="1"/>
  <c r="I56" i="1" s="1"/>
  <c r="M56" i="1" s="1"/>
  <c r="O56" i="1"/>
  <c r="C57" i="1"/>
  <c r="D57" i="1" s="1"/>
  <c r="F57" i="1" l="1"/>
  <c r="J56" i="1"/>
  <c r="G57" i="1" l="1"/>
  <c r="H57" i="1"/>
  <c r="K57" i="1"/>
  <c r="L56" i="1"/>
  <c r="O57" i="1" l="1"/>
  <c r="Q57" i="1"/>
  <c r="I57" i="1" s="1"/>
  <c r="M57" i="1" s="1"/>
  <c r="C58" i="1"/>
  <c r="D58" i="1" s="1"/>
  <c r="F58" i="1" l="1"/>
  <c r="J57" i="1"/>
  <c r="K58" i="1" l="1"/>
  <c r="L57" i="1"/>
  <c r="H58" i="1"/>
  <c r="G58" i="1"/>
  <c r="Q58" i="1" l="1"/>
  <c r="I58" i="1" s="1"/>
  <c r="M58" i="1" s="1"/>
  <c r="O58" i="1"/>
  <c r="C59" i="1"/>
  <c r="D59" i="1" s="1"/>
  <c r="F59" i="1" l="1"/>
  <c r="J58" i="1"/>
  <c r="K59" i="1" l="1"/>
  <c r="L58" i="1"/>
  <c r="H59" i="1"/>
  <c r="G59" i="1"/>
  <c r="Q59" i="1" l="1"/>
  <c r="O59" i="1"/>
  <c r="C60" i="1"/>
  <c r="D60" i="1" s="1"/>
  <c r="J59" i="1" l="1"/>
  <c r="I59" i="1"/>
  <c r="M59" i="1" s="1"/>
  <c r="F60" i="1"/>
  <c r="G60" i="1" l="1"/>
  <c r="H60" i="1"/>
  <c r="K60" i="1"/>
  <c r="L59" i="1"/>
  <c r="Q60" i="1" l="1"/>
  <c r="O60" i="1"/>
  <c r="C61" i="1"/>
  <c r="D61" i="1" s="1"/>
  <c r="F61" i="1" l="1"/>
  <c r="I60" i="1"/>
  <c r="M60" i="1" s="1"/>
  <c r="J60" i="1"/>
  <c r="K61" i="1" l="1"/>
  <c r="L60" i="1"/>
  <c r="H61" i="1"/>
  <c r="G61" i="1"/>
  <c r="Q61" i="1" l="1"/>
  <c r="I61" i="1" s="1"/>
  <c r="M61" i="1" s="1"/>
  <c r="O61" i="1"/>
  <c r="C62" i="1"/>
  <c r="D62" i="1" s="1"/>
  <c r="F62" i="1" s="1"/>
  <c r="H62" i="1" l="1"/>
  <c r="G62" i="1"/>
  <c r="C63" i="1"/>
  <c r="D63" i="1" s="1"/>
  <c r="J61" i="1"/>
  <c r="K62" i="1" l="1"/>
  <c r="L61" i="1"/>
  <c r="F63" i="1"/>
  <c r="Q62" i="1"/>
  <c r="I62" i="1" s="1"/>
  <c r="M62" i="1" s="1"/>
  <c r="O62" i="1"/>
  <c r="J62" i="1" l="1"/>
  <c r="H63" i="1"/>
  <c r="G63" i="1"/>
  <c r="K63" i="1" l="1"/>
  <c r="L62" i="1"/>
  <c r="F64" i="1"/>
  <c r="Q63" i="1"/>
  <c r="I63" i="1" s="1"/>
  <c r="M63" i="1" s="1"/>
  <c r="O63" i="1"/>
  <c r="C64" i="1"/>
  <c r="D64" i="1" s="1"/>
  <c r="G64" i="1" l="1"/>
  <c r="J63" i="1"/>
  <c r="H64" i="1"/>
  <c r="Q64" i="1" l="1"/>
  <c r="I64" i="1" s="1"/>
  <c r="M64" i="1" s="1"/>
  <c r="O64" i="1"/>
  <c r="C65" i="1"/>
  <c r="D65" i="1" s="1"/>
  <c r="F65" i="1" s="1"/>
  <c r="K64" i="1"/>
  <c r="L63" i="1"/>
  <c r="J64" i="1" l="1"/>
  <c r="K65" i="1" s="1"/>
  <c r="H65" i="1"/>
  <c r="G65" i="1"/>
  <c r="C66" i="1"/>
  <c r="D66" i="1" s="1"/>
  <c r="L64" i="1" l="1"/>
  <c r="O65" i="1"/>
  <c r="Q65" i="1"/>
  <c r="I65" i="1" s="1"/>
  <c r="M65" i="1" s="1"/>
  <c r="F66" i="1"/>
  <c r="G66" i="1" l="1"/>
  <c r="H66" i="1"/>
  <c r="J65" i="1"/>
  <c r="K66" i="1" l="1"/>
  <c r="L65" i="1"/>
  <c r="F67" i="1"/>
  <c r="Q66" i="1"/>
  <c r="I66" i="1" s="1"/>
  <c r="M66" i="1" s="1"/>
  <c r="G67" i="1"/>
  <c r="O66" i="1"/>
  <c r="C67" i="1"/>
  <c r="D67" i="1" s="1"/>
  <c r="Q67" i="1" l="1"/>
  <c r="I67" i="1" s="1"/>
  <c r="M67" i="1" s="1"/>
  <c r="O67" i="1"/>
  <c r="H67" i="1"/>
  <c r="D68" i="1"/>
  <c r="C68" i="1"/>
  <c r="J66" i="1"/>
  <c r="K67" i="1" l="1"/>
  <c r="J67" i="1" s="1"/>
  <c r="L66" i="1"/>
  <c r="F68" i="1"/>
  <c r="H68" i="1" s="1"/>
  <c r="K68" i="1" l="1"/>
  <c r="L67" i="1"/>
  <c r="G68" i="1"/>
  <c r="Q68" i="1" l="1"/>
  <c r="O68" i="1"/>
  <c r="C69" i="1"/>
  <c r="D69" i="1" s="1"/>
  <c r="F69" i="1" l="1"/>
  <c r="J68" i="1"/>
  <c r="I68" i="1"/>
  <c r="M68" i="1" s="1"/>
  <c r="K69" i="1" l="1"/>
  <c r="L68" i="1"/>
  <c r="H69" i="1"/>
  <c r="G69" i="1"/>
  <c r="Q69" i="1" l="1"/>
  <c r="I69" i="1" s="1"/>
  <c r="M69" i="1" s="1"/>
  <c r="O69" i="1"/>
  <c r="C70" i="1"/>
  <c r="D70" i="1" s="1"/>
  <c r="F70" i="1" l="1"/>
  <c r="J69" i="1"/>
  <c r="K70" i="1" l="1"/>
  <c r="L69" i="1"/>
  <c r="G70" i="1"/>
  <c r="H70" i="1"/>
  <c r="Q70" i="1" l="1"/>
  <c r="O70" i="1"/>
  <c r="C71" i="1"/>
  <c r="D71" i="1" s="1"/>
  <c r="I70" i="1" l="1"/>
  <c r="M70" i="1" s="1"/>
  <c r="J70" i="1"/>
  <c r="F71" i="1"/>
  <c r="H71" i="1" l="1"/>
  <c r="G71" i="1"/>
  <c r="K71" i="1"/>
  <c r="L70" i="1"/>
  <c r="F72" i="1" l="1"/>
  <c r="H72" i="1" s="1"/>
  <c r="Q71" i="1"/>
  <c r="O71" i="1"/>
  <c r="C72" i="1"/>
  <c r="D72" i="1" s="1"/>
  <c r="I71" i="1" l="1"/>
  <c r="M71" i="1" s="1"/>
  <c r="J71" i="1"/>
  <c r="G72" i="1"/>
  <c r="Q72" i="1" l="1"/>
  <c r="I72" i="1" s="1"/>
  <c r="M72" i="1" s="1"/>
  <c r="O72" i="1"/>
  <c r="F73" i="1"/>
  <c r="K72" i="1"/>
  <c r="L71" i="1"/>
  <c r="C73" i="1"/>
  <c r="D73" i="1" s="1"/>
  <c r="J72" i="1" l="1"/>
  <c r="L72" i="1" s="1"/>
  <c r="H73" i="1"/>
  <c r="G73" i="1"/>
  <c r="C74" i="1"/>
  <c r="D74" i="1" s="1"/>
  <c r="K73" i="1" l="1"/>
  <c r="O73" i="1"/>
  <c r="Q73" i="1"/>
  <c r="I73" i="1" s="1"/>
  <c r="M73" i="1" s="1"/>
  <c r="F74" i="1"/>
  <c r="G74" i="1" l="1"/>
  <c r="J73" i="1"/>
  <c r="H74" i="1"/>
  <c r="K74" i="1" l="1"/>
  <c r="L73" i="1"/>
  <c r="F75" i="1"/>
  <c r="Q74" i="1"/>
  <c r="I74" i="1" s="1"/>
  <c r="M74" i="1" s="1"/>
  <c r="G75" i="1"/>
  <c r="O74" i="1"/>
  <c r="C75" i="1"/>
  <c r="D75" i="1" s="1"/>
  <c r="Q75" i="1" l="1"/>
  <c r="I75" i="1" s="1"/>
  <c r="M75" i="1" s="1"/>
  <c r="O75" i="1"/>
  <c r="J74" i="1"/>
  <c r="D76" i="1"/>
  <c r="C76" i="1"/>
  <c r="H75" i="1"/>
  <c r="K75" i="1" l="1"/>
  <c r="J75" i="1" s="1"/>
  <c r="L74" i="1"/>
  <c r="F76" i="1"/>
  <c r="G76" i="1" l="1"/>
  <c r="H76" i="1"/>
  <c r="K76" i="1"/>
  <c r="L75" i="1"/>
  <c r="Q76" i="1" l="1"/>
  <c r="I76" i="1" s="1"/>
  <c r="M76" i="1" s="1"/>
  <c r="O76" i="1"/>
  <c r="C77" i="1"/>
  <c r="D77" i="1" s="1"/>
  <c r="F77" i="1" l="1"/>
  <c r="J76" i="1"/>
  <c r="K77" i="1" l="1"/>
  <c r="L76" i="1"/>
  <c r="H77" i="1"/>
  <c r="G77" i="1"/>
  <c r="O77" i="1" l="1"/>
  <c r="Q77" i="1"/>
  <c r="I77" i="1" s="1"/>
  <c r="M77" i="1" s="1"/>
  <c r="C78" i="1"/>
  <c r="D78" i="1" s="1"/>
  <c r="F78" i="1" l="1"/>
  <c r="J77" i="1"/>
  <c r="K78" i="1" l="1"/>
  <c r="L77" i="1"/>
  <c r="G78" i="1"/>
  <c r="H78" i="1"/>
  <c r="Q78" i="1" l="1"/>
  <c r="O78" i="1"/>
  <c r="C79" i="1"/>
  <c r="D79" i="1" s="1"/>
  <c r="J78" i="1" l="1"/>
  <c r="I78" i="1"/>
  <c r="M78" i="1" s="1"/>
  <c r="F79" i="1"/>
  <c r="H79" i="1" l="1"/>
  <c r="G79" i="1"/>
  <c r="K79" i="1"/>
  <c r="L78" i="1"/>
  <c r="Q79" i="1" l="1"/>
  <c r="O79" i="1"/>
  <c r="C80" i="1"/>
  <c r="D80" i="1" s="1"/>
  <c r="I79" i="1" l="1"/>
  <c r="M79" i="1" s="1"/>
  <c r="J79" i="1"/>
  <c r="F80" i="1"/>
  <c r="G80" i="1" l="1"/>
  <c r="H80" i="1"/>
  <c r="K80" i="1"/>
  <c r="L79" i="1"/>
  <c r="Q80" i="1" l="1"/>
  <c r="O80" i="1"/>
  <c r="C81" i="1"/>
  <c r="D81" i="1" s="1"/>
  <c r="F81" i="1" l="1"/>
  <c r="J80" i="1"/>
  <c r="I80" i="1"/>
  <c r="M80" i="1" s="1"/>
  <c r="K81" i="1" l="1"/>
  <c r="L80" i="1"/>
  <c r="H81" i="1"/>
  <c r="G81" i="1"/>
  <c r="O81" i="1" l="1"/>
  <c r="Q81" i="1"/>
  <c r="I81" i="1" s="1"/>
  <c r="M81" i="1" s="1"/>
  <c r="C82" i="1"/>
  <c r="D82" i="1" s="1"/>
  <c r="F82" i="1" l="1"/>
  <c r="J81" i="1"/>
  <c r="K82" i="1" l="1"/>
  <c r="L81" i="1"/>
  <c r="G82" i="1"/>
  <c r="H82" i="1"/>
  <c r="Q82" i="1" l="1"/>
  <c r="O82" i="1"/>
  <c r="C83" i="1"/>
  <c r="D83" i="1" s="1"/>
  <c r="J82" i="1" l="1"/>
  <c r="I82" i="1"/>
  <c r="M82" i="1" s="1"/>
  <c r="F83" i="1"/>
  <c r="H83" i="1" l="1"/>
  <c r="G83" i="1"/>
  <c r="K83" i="1"/>
  <c r="L82" i="1"/>
  <c r="Q83" i="1" l="1"/>
  <c r="O83" i="1"/>
  <c r="C84" i="1"/>
  <c r="D84" i="1" s="1"/>
  <c r="I83" i="1" l="1"/>
  <c r="M83" i="1" s="1"/>
  <c r="J83" i="1"/>
  <c r="F84" i="1"/>
  <c r="G84" i="1" l="1"/>
  <c r="H84" i="1"/>
  <c r="K84" i="1"/>
  <c r="L83" i="1"/>
  <c r="Q84" i="1" l="1"/>
  <c r="I84" i="1" s="1"/>
  <c r="M84" i="1" s="1"/>
  <c r="O84" i="1"/>
  <c r="C85" i="1"/>
  <c r="D85" i="1" s="1"/>
  <c r="F85" i="1" l="1"/>
  <c r="J84" i="1"/>
  <c r="K85" i="1" l="1"/>
  <c r="L84" i="1"/>
  <c r="G85" i="1"/>
  <c r="H85" i="1"/>
  <c r="O85" i="1" l="1"/>
  <c r="Q85" i="1"/>
  <c r="I85" i="1" s="1"/>
  <c r="M85" i="1" s="1"/>
  <c r="C86" i="1"/>
  <c r="D86" i="1" s="1"/>
  <c r="F86" i="1" s="1"/>
  <c r="H86" i="1" l="1"/>
  <c r="G86" i="1"/>
  <c r="C87" i="1"/>
  <c r="D87" i="1" s="1"/>
  <c r="J85" i="1"/>
  <c r="K86" i="1" l="1"/>
  <c r="L85" i="1"/>
  <c r="F87" i="1"/>
  <c r="Q86" i="1"/>
  <c r="I86" i="1" s="1"/>
  <c r="M86" i="1" s="1"/>
  <c r="O86" i="1"/>
  <c r="J86" i="1" l="1"/>
  <c r="H87" i="1"/>
  <c r="G87" i="1"/>
  <c r="K87" i="1" l="1"/>
  <c r="L86" i="1"/>
  <c r="Q87" i="1"/>
  <c r="I87" i="1" s="1"/>
  <c r="M87" i="1" s="1"/>
  <c r="O87" i="1"/>
  <c r="C88" i="1"/>
  <c r="D88" i="1" s="1"/>
  <c r="J87" i="1" l="1"/>
  <c r="L87" i="1" s="1"/>
  <c r="F88" i="1"/>
  <c r="K88" i="1" l="1"/>
  <c r="H88" i="1"/>
  <c r="G88" i="1"/>
  <c r="Q88" i="1" l="1"/>
  <c r="O88" i="1"/>
  <c r="C89" i="1"/>
  <c r="D89" i="1" s="1"/>
  <c r="F89" i="1" l="1"/>
  <c r="I88" i="1"/>
  <c r="M88" i="1" s="1"/>
  <c r="J88" i="1"/>
  <c r="K89" i="1" l="1"/>
  <c r="L88" i="1"/>
  <c r="G89" i="1"/>
  <c r="H89" i="1"/>
  <c r="O89" i="1" l="1"/>
  <c r="Q89" i="1"/>
  <c r="I89" i="1" s="1"/>
  <c r="M89" i="1" s="1"/>
  <c r="C90" i="1"/>
  <c r="D90" i="1" s="1"/>
  <c r="F90" i="1" l="1"/>
  <c r="J89" i="1"/>
  <c r="K90" i="1" l="1"/>
  <c r="L89" i="1"/>
  <c r="H90" i="1"/>
  <c r="G90" i="1"/>
  <c r="Q90" i="1" l="1"/>
  <c r="O90" i="1"/>
  <c r="C91" i="1"/>
  <c r="D91" i="1" s="1"/>
  <c r="J90" i="1" l="1"/>
  <c r="I90" i="1"/>
  <c r="M90" i="1" s="1"/>
  <c r="F91" i="1"/>
  <c r="G91" i="1" l="1"/>
  <c r="H91" i="1"/>
  <c r="K91" i="1"/>
  <c r="L90" i="1"/>
  <c r="Q91" i="1" l="1"/>
  <c r="O91" i="1"/>
  <c r="C92" i="1"/>
  <c r="D92" i="1" s="1"/>
  <c r="I91" i="1" l="1"/>
  <c r="M91" i="1" s="1"/>
  <c r="J91" i="1"/>
  <c r="F92" i="1"/>
  <c r="H92" i="1" l="1"/>
  <c r="G92" i="1"/>
  <c r="K92" i="1"/>
  <c r="L91" i="1"/>
  <c r="Q92" i="1" l="1"/>
  <c r="O92" i="1"/>
  <c r="C93" i="1"/>
  <c r="D93" i="1" s="1"/>
  <c r="F93" i="1" l="1"/>
  <c r="I92" i="1"/>
  <c r="M92" i="1" s="1"/>
  <c r="J92" i="1"/>
  <c r="K93" i="1" l="1"/>
  <c r="L92" i="1"/>
  <c r="G93" i="1"/>
  <c r="H93" i="1"/>
  <c r="O93" i="1" l="1"/>
  <c r="Q93" i="1"/>
  <c r="I93" i="1" s="1"/>
  <c r="M93" i="1" s="1"/>
  <c r="C94" i="1"/>
  <c r="D94" i="1" s="1"/>
  <c r="F94" i="1" l="1"/>
  <c r="J93" i="1"/>
  <c r="K94" i="1" l="1"/>
  <c r="L93" i="1"/>
  <c r="G94" i="1"/>
  <c r="H94" i="1"/>
  <c r="Q94" i="1" l="1"/>
  <c r="O94" i="1"/>
  <c r="C95" i="1"/>
  <c r="D95" i="1" s="1"/>
  <c r="J94" i="1" l="1"/>
  <c r="I94" i="1"/>
  <c r="M94" i="1" s="1"/>
  <c r="F95" i="1"/>
  <c r="H95" i="1" l="1"/>
  <c r="G95" i="1"/>
  <c r="K95" i="1"/>
  <c r="L94" i="1"/>
  <c r="Q95" i="1" l="1"/>
  <c r="O95" i="1"/>
  <c r="C96" i="1"/>
  <c r="D96" i="1" s="1"/>
  <c r="I95" i="1" l="1"/>
  <c r="M95" i="1" s="1"/>
  <c r="J95" i="1"/>
  <c r="F96" i="1"/>
  <c r="G96" i="1" l="1"/>
  <c r="H96" i="1"/>
  <c r="K96" i="1"/>
  <c r="L95" i="1"/>
  <c r="Q96" i="1" l="1"/>
  <c r="I96" i="1" s="1"/>
  <c r="M96" i="1" s="1"/>
  <c r="O96" i="1"/>
  <c r="C97" i="1"/>
  <c r="D97" i="1" s="1"/>
  <c r="F97" i="1" l="1"/>
  <c r="J96" i="1"/>
  <c r="K97" i="1" l="1"/>
  <c r="L96" i="1"/>
  <c r="H97" i="1"/>
  <c r="G97" i="1"/>
  <c r="Q97" i="1" l="1"/>
  <c r="O97" i="1"/>
  <c r="C98" i="1"/>
  <c r="D98" i="1" s="1"/>
  <c r="F98" i="1" l="1"/>
  <c r="J97" i="1"/>
  <c r="I97" i="1"/>
  <c r="M97" i="1" s="1"/>
  <c r="K98" i="1" l="1"/>
  <c r="L97" i="1"/>
  <c r="H98" i="1"/>
  <c r="G98" i="1"/>
  <c r="Q98" i="1" l="1"/>
  <c r="O98" i="1"/>
  <c r="C99" i="1"/>
  <c r="D99" i="1" s="1"/>
  <c r="F99" i="1" s="1"/>
  <c r="G99" i="1" l="1"/>
  <c r="H99" i="1"/>
  <c r="C100" i="1"/>
  <c r="D100" i="1" s="1"/>
  <c r="I98" i="1"/>
  <c r="M98" i="1" s="1"/>
  <c r="J98" i="1"/>
  <c r="K99" i="1" l="1"/>
  <c r="L98" i="1"/>
  <c r="F100" i="1"/>
  <c r="H100" i="1" s="1"/>
  <c r="Q99" i="1"/>
  <c r="I99" i="1" s="1"/>
  <c r="M99" i="1" s="1"/>
  <c r="O99" i="1"/>
  <c r="G100" i="1" l="1"/>
  <c r="J99" i="1"/>
  <c r="K100" i="1" l="1"/>
  <c r="L99" i="1"/>
  <c r="Q100" i="1"/>
  <c r="I100" i="1" s="1"/>
  <c r="M100" i="1" s="1"/>
  <c r="O100" i="1"/>
  <c r="C101" i="1"/>
  <c r="D101" i="1" s="1"/>
  <c r="J100" i="1" l="1"/>
  <c r="K101" i="1" s="1"/>
  <c r="F101" i="1"/>
  <c r="L100" i="1" l="1"/>
  <c r="H101" i="1"/>
  <c r="G101" i="1"/>
  <c r="O101" i="1" l="1"/>
  <c r="Q101" i="1"/>
  <c r="C102" i="1"/>
  <c r="D102" i="1" s="1"/>
  <c r="F102" i="1" l="1"/>
  <c r="I101" i="1"/>
  <c r="M101" i="1" s="1"/>
  <c r="J101" i="1"/>
  <c r="K102" i="1" l="1"/>
  <c r="L101" i="1"/>
  <c r="H102" i="1"/>
  <c r="G102" i="1"/>
  <c r="Q102" i="1" l="1"/>
  <c r="O102" i="1"/>
  <c r="C103" i="1"/>
  <c r="D103" i="1" s="1"/>
  <c r="F103" i="1" s="1"/>
  <c r="G103" i="1" l="1"/>
  <c r="C104" i="1" s="1"/>
  <c r="D104" i="1" s="1"/>
  <c r="H103" i="1"/>
  <c r="J102" i="1"/>
  <c r="I102" i="1"/>
  <c r="M102" i="1" s="1"/>
  <c r="K103" i="1" l="1"/>
  <c r="L102" i="1"/>
  <c r="F104" i="1"/>
  <c r="H104" i="1" s="1"/>
  <c r="Q103" i="1"/>
  <c r="I103" i="1" s="1"/>
  <c r="M103" i="1" s="1"/>
  <c r="O103" i="1"/>
  <c r="G104" i="1" l="1"/>
  <c r="J103" i="1"/>
  <c r="K104" i="1" l="1"/>
  <c r="L103" i="1"/>
  <c r="Q104" i="1"/>
  <c r="I104" i="1" s="1"/>
  <c r="M104" i="1" s="1"/>
  <c r="O104" i="1"/>
  <c r="C105" i="1"/>
  <c r="D105" i="1" s="1"/>
  <c r="J104" i="1" l="1"/>
  <c r="K105" i="1" s="1"/>
  <c r="F105" i="1"/>
  <c r="L104" i="1" l="1"/>
  <c r="H105" i="1"/>
  <c r="G105" i="1"/>
  <c r="Q105" i="1" l="1"/>
  <c r="O105" i="1"/>
  <c r="C106" i="1"/>
  <c r="D106" i="1" s="1"/>
  <c r="F106" i="1" s="1"/>
  <c r="G106" i="1" l="1"/>
  <c r="H106" i="1"/>
  <c r="C107" i="1"/>
  <c r="D107" i="1"/>
  <c r="I105" i="1"/>
  <c r="M105" i="1" s="1"/>
  <c r="J105" i="1"/>
  <c r="K106" i="1" l="1"/>
  <c r="L105" i="1"/>
  <c r="F107" i="1"/>
  <c r="Q106" i="1"/>
  <c r="I106" i="1" s="1"/>
  <c r="M106" i="1" s="1"/>
  <c r="O106" i="1"/>
  <c r="G107" i="1" l="1"/>
  <c r="H107" i="1"/>
  <c r="J106" i="1"/>
  <c r="Q107" i="1" l="1"/>
  <c r="I107" i="1" s="1"/>
  <c r="M107" i="1" s="1"/>
  <c r="O107" i="1"/>
  <c r="C108" i="1"/>
  <c r="D108" i="1" s="1"/>
  <c r="F108" i="1" s="1"/>
  <c r="K107" i="1"/>
  <c r="L106" i="1"/>
  <c r="J107" i="1" l="1"/>
  <c r="K108" i="1" s="1"/>
  <c r="G108" i="1"/>
  <c r="H108" i="1"/>
  <c r="C109" i="1"/>
  <c r="D109" i="1" s="1"/>
  <c r="L107" i="1" l="1"/>
  <c r="Q108" i="1"/>
  <c r="I108" i="1" s="1"/>
  <c r="M108" i="1" s="1"/>
  <c r="O108" i="1"/>
  <c r="F109" i="1"/>
  <c r="H109" i="1" s="1"/>
  <c r="G109" i="1" l="1"/>
  <c r="J108" i="1"/>
  <c r="O109" i="1" l="1"/>
  <c r="Q109" i="1"/>
  <c r="I109" i="1" s="1"/>
  <c r="M109" i="1" s="1"/>
  <c r="C110" i="1"/>
  <c r="D110" i="1" s="1"/>
  <c r="K109" i="1"/>
  <c r="J109" i="1" s="1"/>
  <c r="L108" i="1"/>
  <c r="K110" i="1" l="1"/>
  <c r="L109" i="1"/>
  <c r="F110" i="1"/>
  <c r="H110" i="1" l="1"/>
  <c r="G110" i="1"/>
  <c r="Q110" i="1" l="1"/>
  <c r="O110" i="1"/>
  <c r="C111" i="1"/>
  <c r="D111" i="1" s="1"/>
  <c r="I110" i="1" l="1"/>
  <c r="M110" i="1" s="1"/>
  <c r="J110" i="1"/>
  <c r="F111" i="1"/>
  <c r="G111" i="1" l="1"/>
  <c r="H111" i="1"/>
  <c r="K111" i="1"/>
  <c r="L110" i="1"/>
  <c r="Q111" i="1" l="1"/>
  <c r="O111" i="1"/>
  <c r="C112" i="1"/>
  <c r="D112" i="1" s="1"/>
  <c r="F112" i="1" s="1"/>
  <c r="H112" i="1" l="1"/>
  <c r="G112" i="1"/>
  <c r="J111" i="1"/>
  <c r="I111" i="1"/>
  <c r="M111" i="1" s="1"/>
  <c r="C113" i="1"/>
  <c r="D113" i="1" s="1"/>
  <c r="K112" i="1" l="1"/>
  <c r="L111" i="1"/>
  <c r="Q112" i="1"/>
  <c r="I112" i="1" s="1"/>
  <c r="M112" i="1" s="1"/>
  <c r="G113" i="1"/>
  <c r="O112" i="1"/>
  <c r="F113" i="1"/>
  <c r="H113" i="1" s="1"/>
  <c r="J112" i="1" l="1"/>
  <c r="K113" i="1" s="1"/>
  <c r="O113" i="1"/>
  <c r="Q113" i="1"/>
  <c r="I113" i="1" s="1"/>
  <c r="M113" i="1" s="1"/>
  <c r="C114" i="1"/>
  <c r="D114" i="1" s="1"/>
  <c r="F114" i="1" s="1"/>
  <c r="L112" i="1" l="1"/>
  <c r="J113" i="1"/>
  <c r="K114" i="1" s="1"/>
  <c r="H114" i="1"/>
  <c r="G114" i="1"/>
  <c r="C115" i="1"/>
  <c r="D115" i="1" s="1"/>
  <c r="L113" i="1" l="1"/>
  <c r="F115" i="1"/>
  <c r="Q114" i="1"/>
  <c r="O114" i="1"/>
  <c r="G115" i="1"/>
  <c r="H115" i="1"/>
  <c r="F116" i="1" l="1"/>
  <c r="Q115" i="1"/>
  <c r="I115" i="1" s="1"/>
  <c r="M115" i="1" s="1"/>
  <c r="O115" i="1"/>
  <c r="J114" i="1"/>
  <c r="I114" i="1"/>
  <c r="M114" i="1" s="1"/>
  <c r="C116" i="1"/>
  <c r="D116" i="1" s="1"/>
  <c r="K115" i="1" l="1"/>
  <c r="J115" i="1" s="1"/>
  <c r="L114" i="1"/>
  <c r="G116" i="1"/>
  <c r="H116" i="1"/>
  <c r="Q116" i="1" l="1"/>
  <c r="I116" i="1" s="1"/>
  <c r="M116" i="1" s="1"/>
  <c r="O116" i="1"/>
  <c r="C117" i="1"/>
  <c r="D117" i="1" s="1"/>
  <c r="K116" i="1"/>
  <c r="L115" i="1"/>
  <c r="J116" i="1" l="1"/>
  <c r="K117" i="1" s="1"/>
  <c r="F117" i="1"/>
  <c r="L116" i="1" l="1"/>
  <c r="G117" i="1"/>
  <c r="H117" i="1"/>
  <c r="Q117" i="1" l="1"/>
  <c r="O117" i="1"/>
  <c r="C118" i="1"/>
  <c r="D118" i="1" s="1"/>
  <c r="F118" i="1" l="1"/>
  <c r="I117" i="1"/>
  <c r="M117" i="1" s="1"/>
  <c r="J117" i="1"/>
  <c r="K118" i="1" l="1"/>
  <c r="L117" i="1"/>
  <c r="H118" i="1"/>
  <c r="G118" i="1"/>
  <c r="Q118" i="1" l="1"/>
  <c r="O118" i="1"/>
  <c r="C119" i="1"/>
  <c r="D119" i="1" s="1"/>
  <c r="F119" i="1" s="1"/>
  <c r="H119" i="1" l="1"/>
  <c r="G119" i="1"/>
  <c r="J118" i="1"/>
  <c r="I118" i="1"/>
  <c r="M118" i="1" s="1"/>
  <c r="C120" i="1"/>
  <c r="D120" i="1" s="1"/>
  <c r="K119" i="1" l="1"/>
  <c r="L118" i="1"/>
  <c r="F120" i="1"/>
  <c r="G120" i="1"/>
  <c r="Q119" i="1"/>
  <c r="I119" i="1" s="1"/>
  <c r="M119" i="1" s="1"/>
  <c r="O119" i="1"/>
  <c r="J119" i="1" l="1"/>
  <c r="L119" i="1" s="1"/>
  <c r="O120" i="1"/>
  <c r="Q120" i="1"/>
  <c r="I120" i="1" s="1"/>
  <c r="M120" i="1" s="1"/>
  <c r="H120" i="1"/>
  <c r="C121" i="1"/>
  <c r="D121" i="1" s="1"/>
  <c r="K120" i="1" l="1"/>
  <c r="F121" i="1"/>
  <c r="J120" i="1"/>
  <c r="G121" i="1" l="1"/>
  <c r="K121" i="1"/>
  <c r="L120" i="1"/>
  <c r="H121" i="1"/>
  <c r="O121" i="1" l="1"/>
  <c r="Q121" i="1"/>
  <c r="C122" i="1"/>
  <c r="D122" i="1" s="1"/>
  <c r="I121" i="1" l="1"/>
  <c r="M121" i="1" s="1"/>
  <c r="J121" i="1"/>
  <c r="F122" i="1"/>
  <c r="H122" i="1" l="1"/>
  <c r="G122" i="1"/>
  <c r="K122" i="1"/>
  <c r="L121" i="1"/>
  <c r="O122" i="1" l="1"/>
  <c r="Q122" i="1"/>
  <c r="I122" i="1" s="1"/>
  <c r="M122" i="1" s="1"/>
  <c r="C123" i="1"/>
  <c r="D123" i="1" s="1"/>
  <c r="F123" i="1" s="1"/>
  <c r="G123" i="1" l="1"/>
  <c r="H123" i="1"/>
  <c r="C124" i="1"/>
  <c r="D124" i="1" s="1"/>
  <c r="J122" i="1"/>
  <c r="K123" i="1" l="1"/>
  <c r="L122" i="1"/>
  <c r="H124" i="1"/>
  <c r="G124" i="1"/>
  <c r="F124" i="1"/>
  <c r="Q123" i="1"/>
  <c r="I123" i="1" s="1"/>
  <c r="M123" i="1" s="1"/>
  <c r="O123" i="1"/>
  <c r="J123" i="1" l="1"/>
  <c r="L123" i="1" s="1"/>
  <c r="Q124" i="1"/>
  <c r="I124" i="1" s="1"/>
  <c r="M124" i="1" s="1"/>
  <c r="O124" i="1"/>
  <c r="C125" i="1"/>
  <c r="D125" i="1" s="1"/>
  <c r="K124" i="1" l="1"/>
  <c r="J124" i="1"/>
  <c r="K125" i="1" s="1"/>
  <c r="F125" i="1"/>
  <c r="L124" i="1" l="1"/>
  <c r="H125" i="1"/>
  <c r="G125" i="1"/>
  <c r="O125" i="1" l="1"/>
  <c r="Q125" i="1"/>
  <c r="C126" i="1"/>
  <c r="D126" i="1" s="1"/>
  <c r="I125" i="1" l="1"/>
  <c r="M125" i="1" s="1"/>
  <c r="J125" i="1"/>
  <c r="F126" i="1"/>
  <c r="K126" i="1" l="1"/>
  <c r="L125" i="1"/>
  <c r="G126" i="1"/>
  <c r="H126" i="1"/>
  <c r="Q126" i="1" l="1"/>
  <c r="O126" i="1"/>
  <c r="C127" i="1"/>
  <c r="D127" i="1" s="1"/>
  <c r="F127" i="1" l="1"/>
  <c r="J126" i="1"/>
  <c r="I126" i="1"/>
  <c r="M126" i="1" s="1"/>
  <c r="K127" i="1" l="1"/>
  <c r="L126" i="1"/>
  <c r="H127" i="1"/>
  <c r="G127" i="1"/>
  <c r="Q127" i="1" l="1"/>
  <c r="I127" i="1" s="1"/>
  <c r="M127" i="1" s="1"/>
  <c r="O127" i="1"/>
  <c r="C128" i="1"/>
  <c r="D128" i="1" s="1"/>
  <c r="F128" i="1" l="1"/>
  <c r="J127" i="1"/>
  <c r="K128" i="1" l="1"/>
  <c r="L127" i="1"/>
  <c r="G128" i="1"/>
  <c r="H128" i="1"/>
  <c r="O128" i="1" l="1"/>
  <c r="Q128" i="1"/>
  <c r="C129" i="1"/>
  <c r="D129" i="1" s="1"/>
  <c r="J128" i="1" l="1"/>
  <c r="I128" i="1"/>
  <c r="M128" i="1" s="1"/>
  <c r="F129" i="1"/>
  <c r="H129" i="1" l="1"/>
  <c r="G129" i="1"/>
  <c r="K129" i="1"/>
  <c r="L128" i="1"/>
  <c r="Q129" i="1" l="1"/>
  <c r="O129" i="1"/>
  <c r="C130" i="1"/>
  <c r="D130" i="1" s="1"/>
  <c r="F130" i="1" s="1"/>
  <c r="G130" i="1" l="1"/>
  <c r="H130" i="1"/>
  <c r="I129" i="1"/>
  <c r="M129" i="1" s="1"/>
  <c r="J129" i="1"/>
  <c r="C131" i="1"/>
  <c r="D131" i="1" s="1"/>
  <c r="K130" i="1" l="1"/>
  <c r="L129" i="1"/>
  <c r="Q130" i="1"/>
  <c r="I130" i="1" s="1"/>
  <c r="M130" i="1" s="1"/>
  <c r="O130" i="1"/>
  <c r="F131" i="1"/>
  <c r="H131" i="1" s="1"/>
  <c r="J130" i="1" l="1"/>
  <c r="K131" i="1" s="1"/>
  <c r="L130" i="1"/>
  <c r="G131" i="1"/>
  <c r="Q131" i="1" l="1"/>
  <c r="I131" i="1" s="1"/>
  <c r="M131" i="1" s="1"/>
  <c r="O131" i="1"/>
  <c r="C132" i="1"/>
  <c r="D132" i="1" s="1"/>
  <c r="F132" i="1" l="1"/>
  <c r="J131" i="1"/>
  <c r="K132" i="1" l="1"/>
  <c r="L131" i="1"/>
  <c r="H132" i="1"/>
  <c r="G132" i="1"/>
  <c r="Q132" i="1" l="1"/>
  <c r="O132" i="1"/>
  <c r="C133" i="1"/>
  <c r="D133" i="1" s="1"/>
  <c r="J132" i="1" l="1"/>
  <c r="I132" i="1"/>
  <c r="M132" i="1" s="1"/>
  <c r="F133" i="1"/>
  <c r="G133" i="1" l="1"/>
  <c r="H133" i="1"/>
  <c r="K133" i="1"/>
  <c r="L132" i="1"/>
  <c r="O133" i="1" l="1"/>
  <c r="Q133" i="1"/>
  <c r="I133" i="1" s="1"/>
  <c r="M133" i="1" s="1"/>
  <c r="C134" i="1"/>
  <c r="D134" i="1" s="1"/>
  <c r="F134" i="1" l="1"/>
  <c r="J133" i="1"/>
  <c r="K134" i="1" l="1"/>
  <c r="L133" i="1"/>
  <c r="G134" i="1"/>
  <c r="H134" i="1"/>
  <c r="Q134" i="1" l="1"/>
  <c r="I134" i="1" s="1"/>
  <c r="M134" i="1" s="1"/>
  <c r="O134" i="1"/>
  <c r="C135" i="1"/>
  <c r="D135" i="1" s="1"/>
  <c r="F135" i="1" l="1"/>
  <c r="J134" i="1"/>
  <c r="K135" i="1" l="1"/>
  <c r="L134" i="1"/>
  <c r="G135" i="1"/>
  <c r="H135" i="1"/>
  <c r="Q135" i="1" l="1"/>
  <c r="I135" i="1" s="1"/>
  <c r="M135" i="1" s="1"/>
  <c r="O135" i="1"/>
  <c r="C136" i="1"/>
  <c r="D136" i="1" s="1"/>
  <c r="F136" i="1" l="1"/>
  <c r="J135" i="1"/>
  <c r="K136" i="1" l="1"/>
  <c r="L135" i="1"/>
  <c r="H136" i="1"/>
  <c r="G136" i="1"/>
  <c r="O136" i="1" l="1"/>
  <c r="Q136" i="1"/>
  <c r="C137" i="1"/>
  <c r="D137" i="1" s="1"/>
  <c r="J136" i="1" l="1"/>
  <c r="I136" i="1"/>
  <c r="M136" i="1" s="1"/>
  <c r="F137" i="1"/>
  <c r="H137" i="1" l="1"/>
  <c r="G137" i="1"/>
  <c r="K137" i="1"/>
  <c r="L136" i="1"/>
  <c r="Q137" i="1" l="1"/>
  <c r="I137" i="1" s="1"/>
  <c r="M137" i="1" s="1"/>
  <c r="O137" i="1"/>
  <c r="C138" i="1"/>
  <c r="D138" i="1" s="1"/>
  <c r="F138" i="1" l="1"/>
  <c r="J137" i="1"/>
  <c r="K138" i="1" l="1"/>
  <c r="L137" i="1"/>
  <c r="G138" i="1"/>
  <c r="H138" i="1"/>
  <c r="Q138" i="1" l="1"/>
  <c r="O138" i="1"/>
  <c r="C139" i="1"/>
  <c r="D139" i="1" s="1"/>
  <c r="F139" i="1" l="1"/>
  <c r="J138" i="1"/>
  <c r="I138" i="1"/>
  <c r="M138" i="1" s="1"/>
  <c r="K139" i="1" l="1"/>
  <c r="L138" i="1"/>
  <c r="H139" i="1"/>
  <c r="G139" i="1"/>
  <c r="Q139" i="1" l="1"/>
  <c r="I139" i="1" s="1"/>
  <c r="M139" i="1" s="1"/>
  <c r="O139" i="1"/>
  <c r="C140" i="1"/>
  <c r="D140" i="1" s="1"/>
  <c r="F140" i="1" l="1"/>
  <c r="J139" i="1"/>
  <c r="K140" i="1" l="1"/>
  <c r="L139" i="1"/>
  <c r="G140" i="1"/>
  <c r="H140" i="1"/>
  <c r="Q140" i="1" l="1"/>
  <c r="O140" i="1"/>
  <c r="C141" i="1"/>
  <c r="D141" i="1" s="1"/>
  <c r="J140" i="1" l="1"/>
  <c r="I140" i="1"/>
  <c r="M140" i="1" s="1"/>
  <c r="F141" i="1"/>
  <c r="H141" i="1" l="1"/>
  <c r="G141" i="1"/>
  <c r="K141" i="1"/>
  <c r="L140" i="1"/>
  <c r="Q141" i="1" l="1"/>
  <c r="O141" i="1"/>
  <c r="C142" i="1"/>
  <c r="D142" i="1" s="1"/>
  <c r="I141" i="1" l="1"/>
  <c r="M141" i="1" s="1"/>
  <c r="J141" i="1"/>
  <c r="F142" i="1"/>
  <c r="G142" i="1" l="1"/>
  <c r="H142" i="1"/>
  <c r="K142" i="1"/>
  <c r="L141" i="1"/>
  <c r="Q142" i="1" l="1"/>
  <c r="O142" i="1"/>
  <c r="C143" i="1"/>
  <c r="D143" i="1" s="1"/>
  <c r="F143" i="1" l="1"/>
  <c r="I142" i="1"/>
  <c r="M142" i="1" s="1"/>
  <c r="J142" i="1"/>
  <c r="K143" i="1" l="1"/>
  <c r="L142" i="1"/>
  <c r="H143" i="1"/>
  <c r="G143" i="1"/>
  <c r="Q143" i="1" l="1"/>
  <c r="I143" i="1" s="1"/>
  <c r="M143" i="1" s="1"/>
  <c r="O143" i="1"/>
  <c r="C144" i="1"/>
  <c r="D144" i="1" s="1"/>
  <c r="F144" i="1" l="1"/>
  <c r="J143" i="1"/>
  <c r="K144" i="1" l="1"/>
  <c r="L143" i="1"/>
  <c r="G144" i="1"/>
  <c r="H144" i="1"/>
  <c r="O144" i="1" l="1"/>
  <c r="Q144" i="1"/>
  <c r="C145" i="1"/>
  <c r="D145" i="1" s="1"/>
  <c r="J144" i="1" l="1"/>
  <c r="I144" i="1"/>
  <c r="M144" i="1" s="1"/>
  <c r="F145" i="1"/>
  <c r="H145" i="1" l="1"/>
  <c r="G145" i="1"/>
  <c r="K145" i="1"/>
  <c r="L144" i="1"/>
  <c r="Q145" i="1" l="1"/>
  <c r="O145" i="1"/>
  <c r="C146" i="1"/>
  <c r="D146" i="1" s="1"/>
  <c r="I145" i="1" l="1"/>
  <c r="M145" i="1" s="1"/>
  <c r="J145" i="1"/>
  <c r="F146" i="1"/>
  <c r="G146" i="1" l="1"/>
  <c r="H146" i="1"/>
  <c r="K146" i="1"/>
  <c r="L145" i="1"/>
  <c r="Q146" i="1" l="1"/>
  <c r="I146" i="1" s="1"/>
  <c r="M146" i="1" s="1"/>
  <c r="O146" i="1"/>
  <c r="C147" i="1"/>
  <c r="D147" i="1" s="1"/>
  <c r="F147" i="1" l="1"/>
  <c r="J146" i="1"/>
  <c r="K147" i="1" l="1"/>
  <c r="L146" i="1"/>
  <c r="G147" i="1"/>
  <c r="H147" i="1"/>
  <c r="Q147" i="1" l="1"/>
  <c r="I147" i="1" s="1"/>
  <c r="M147" i="1" s="1"/>
  <c r="O147" i="1"/>
  <c r="C148" i="1"/>
  <c r="D148" i="1" s="1"/>
  <c r="F148" i="1" l="1"/>
  <c r="J147" i="1"/>
  <c r="K148" i="1" l="1"/>
  <c r="L147" i="1"/>
  <c r="H148" i="1"/>
  <c r="G148" i="1"/>
  <c r="Q148" i="1" l="1"/>
  <c r="O148" i="1"/>
  <c r="C149" i="1"/>
  <c r="D149" i="1" s="1"/>
  <c r="J148" i="1" l="1"/>
  <c r="I148" i="1"/>
  <c r="M148" i="1" s="1"/>
  <c r="F149" i="1"/>
  <c r="G149" i="1" l="1"/>
  <c r="H149" i="1"/>
  <c r="K149" i="1"/>
  <c r="L148" i="1"/>
  <c r="Q149" i="1" l="1"/>
  <c r="O149" i="1"/>
  <c r="C150" i="1"/>
  <c r="D150" i="1" s="1"/>
  <c r="I149" i="1" l="1"/>
  <c r="M149" i="1" s="1"/>
  <c r="J149" i="1"/>
  <c r="F150" i="1"/>
  <c r="H150" i="1" l="1"/>
  <c r="G150" i="1"/>
  <c r="K150" i="1"/>
  <c r="L149" i="1"/>
  <c r="Q150" i="1" l="1"/>
  <c r="O150" i="1"/>
  <c r="C151" i="1"/>
  <c r="D151" i="1" s="1"/>
  <c r="I150" i="1" l="1"/>
  <c r="M150" i="1" s="1"/>
  <c r="J150" i="1"/>
  <c r="F151" i="1"/>
  <c r="G151" i="1" l="1"/>
  <c r="H151" i="1"/>
  <c r="K151" i="1"/>
  <c r="L150" i="1"/>
  <c r="Q151" i="1" l="1"/>
  <c r="I151" i="1" s="1"/>
  <c r="M151" i="1" s="1"/>
  <c r="O151" i="1"/>
  <c r="C152" i="1"/>
  <c r="D152" i="1" s="1"/>
  <c r="F152" i="1" l="1"/>
  <c r="J151" i="1"/>
  <c r="K152" i="1" l="1"/>
  <c r="L151" i="1"/>
  <c r="H152" i="1"/>
  <c r="G152" i="1"/>
  <c r="Q152" i="1" l="1"/>
  <c r="O152" i="1"/>
  <c r="C153" i="1"/>
  <c r="D153" i="1" s="1"/>
  <c r="J152" i="1" l="1"/>
  <c r="I152" i="1"/>
  <c r="M152" i="1" s="1"/>
  <c r="F153" i="1"/>
  <c r="G153" i="1" l="1"/>
  <c r="H153" i="1"/>
  <c r="K153" i="1"/>
  <c r="L152" i="1"/>
  <c r="Q153" i="1" l="1"/>
  <c r="I153" i="1" s="1"/>
  <c r="M153" i="1" s="1"/>
  <c r="O153" i="1"/>
  <c r="C154" i="1"/>
  <c r="D154" i="1" s="1"/>
  <c r="F154" i="1" l="1"/>
  <c r="J153" i="1"/>
  <c r="K154" i="1" l="1"/>
  <c r="L153" i="1"/>
  <c r="H154" i="1"/>
  <c r="G154" i="1"/>
  <c r="Q154" i="1" l="1"/>
  <c r="I154" i="1" s="1"/>
  <c r="M154" i="1" s="1"/>
  <c r="O154" i="1"/>
  <c r="C155" i="1"/>
  <c r="D155" i="1" s="1"/>
  <c r="F155" i="1" l="1"/>
  <c r="J154" i="1"/>
  <c r="K155" i="1" l="1"/>
  <c r="L154" i="1"/>
  <c r="G155" i="1"/>
  <c r="H155" i="1"/>
  <c r="Q155" i="1" l="1"/>
  <c r="I155" i="1" s="1"/>
  <c r="M155" i="1" s="1"/>
  <c r="O155" i="1"/>
  <c r="C156" i="1"/>
  <c r="D156" i="1" s="1"/>
  <c r="J155" i="1" l="1"/>
  <c r="L155" i="1" s="1"/>
  <c r="F156" i="1"/>
  <c r="K156" i="1" l="1"/>
  <c r="H156" i="1"/>
  <c r="G156" i="1"/>
  <c r="Q156" i="1" l="1"/>
  <c r="O156" i="1"/>
  <c r="C157" i="1"/>
  <c r="D157" i="1" s="1"/>
  <c r="J156" i="1" l="1"/>
  <c r="I156" i="1"/>
  <c r="M156" i="1" s="1"/>
  <c r="F157" i="1"/>
  <c r="G157" i="1" l="1"/>
  <c r="H157" i="1"/>
  <c r="K157" i="1"/>
  <c r="L156" i="1"/>
  <c r="O157" i="1" l="1"/>
  <c r="Q157" i="1"/>
  <c r="C158" i="1"/>
  <c r="D158" i="1" s="1"/>
  <c r="J157" i="1" l="1"/>
  <c r="I157" i="1"/>
  <c r="M157" i="1" s="1"/>
  <c r="F158" i="1"/>
  <c r="G158" i="1" l="1"/>
  <c r="H158" i="1"/>
  <c r="K158" i="1"/>
  <c r="L157" i="1"/>
  <c r="Q158" i="1" l="1"/>
  <c r="O158" i="1"/>
  <c r="C159" i="1"/>
  <c r="D159" i="1" s="1"/>
  <c r="F159" i="1" l="1"/>
  <c r="I158" i="1"/>
  <c r="M158" i="1" s="1"/>
  <c r="J158" i="1"/>
  <c r="K159" i="1" l="1"/>
  <c r="L158" i="1"/>
  <c r="H159" i="1"/>
  <c r="G159" i="1"/>
  <c r="Q159" i="1" l="1"/>
  <c r="I159" i="1" s="1"/>
  <c r="M159" i="1" s="1"/>
  <c r="O159" i="1"/>
  <c r="C160" i="1"/>
  <c r="D160" i="1" s="1"/>
  <c r="F160" i="1" l="1"/>
  <c r="J159" i="1"/>
  <c r="K160" i="1" l="1"/>
  <c r="L159" i="1"/>
  <c r="G160" i="1"/>
  <c r="H160" i="1"/>
  <c r="O160" i="1" l="1"/>
  <c r="Q160" i="1"/>
  <c r="C161" i="1"/>
  <c r="D161" i="1" s="1"/>
  <c r="J160" i="1" l="1"/>
  <c r="I160" i="1"/>
  <c r="M160" i="1" s="1"/>
  <c r="F161" i="1"/>
  <c r="H161" i="1" l="1"/>
  <c r="G161" i="1"/>
  <c r="K161" i="1"/>
  <c r="L160" i="1"/>
  <c r="Q161" i="1" l="1"/>
  <c r="O161" i="1"/>
  <c r="C162" i="1"/>
  <c r="D162" i="1" s="1"/>
  <c r="I161" i="1" l="1"/>
  <c r="M161" i="1" s="1"/>
  <c r="J161" i="1"/>
  <c r="F162" i="1"/>
  <c r="G162" i="1" l="1"/>
  <c r="H162" i="1"/>
  <c r="K162" i="1"/>
  <c r="L161" i="1"/>
  <c r="Q162" i="1" l="1"/>
  <c r="I162" i="1" s="1"/>
  <c r="M162" i="1" s="1"/>
  <c r="O162" i="1"/>
  <c r="C163" i="1"/>
  <c r="D163" i="1" s="1"/>
  <c r="F163" i="1" l="1"/>
  <c r="J162" i="1"/>
  <c r="K163" i="1" l="1"/>
  <c r="L162" i="1"/>
  <c r="H163" i="1"/>
  <c r="G163" i="1"/>
  <c r="Q163" i="1" l="1"/>
  <c r="I163" i="1" s="1"/>
  <c r="M163" i="1" s="1"/>
  <c r="O163" i="1"/>
  <c r="C164" i="1"/>
  <c r="D164" i="1" s="1"/>
  <c r="F164" i="1" l="1"/>
  <c r="J163" i="1"/>
  <c r="K164" i="1" l="1"/>
  <c r="L163" i="1"/>
  <c r="G164" i="1"/>
  <c r="H164" i="1"/>
  <c r="Q164" i="1" l="1"/>
  <c r="O164" i="1"/>
  <c r="C165" i="1"/>
  <c r="D165" i="1" s="1"/>
  <c r="J164" i="1" l="1"/>
  <c r="I164" i="1"/>
  <c r="M164" i="1" s="1"/>
  <c r="F165" i="1"/>
  <c r="H165" i="1" l="1"/>
  <c r="G165" i="1"/>
  <c r="K165" i="1"/>
  <c r="L164" i="1"/>
  <c r="O165" i="1" l="1"/>
  <c r="Q165" i="1"/>
  <c r="I165" i="1" s="1"/>
  <c r="M165" i="1" s="1"/>
  <c r="C166" i="1"/>
  <c r="D166" i="1" s="1"/>
  <c r="F166" i="1" l="1"/>
  <c r="J165" i="1"/>
  <c r="K166" i="1" l="1"/>
  <c r="L165" i="1"/>
  <c r="G166" i="1"/>
  <c r="H166" i="1"/>
  <c r="Q166" i="1" l="1"/>
  <c r="I166" i="1" s="1"/>
  <c r="M166" i="1" s="1"/>
  <c r="O166" i="1"/>
  <c r="C167" i="1"/>
  <c r="D167" i="1" s="1"/>
  <c r="F167" i="1" l="1"/>
  <c r="J166" i="1"/>
  <c r="K167" i="1" l="1"/>
  <c r="L166" i="1"/>
  <c r="H167" i="1"/>
  <c r="G167" i="1"/>
  <c r="O167" i="1" l="1"/>
  <c r="Q167" i="1"/>
  <c r="I167" i="1" s="1"/>
  <c r="M167" i="1" s="1"/>
  <c r="C168" i="1"/>
  <c r="D168" i="1" s="1"/>
  <c r="F168" i="1" l="1"/>
  <c r="J167" i="1"/>
  <c r="K168" i="1" l="1"/>
  <c r="L167" i="1"/>
  <c r="G168" i="1"/>
  <c r="H168" i="1"/>
  <c r="O168" i="1" l="1"/>
  <c r="Q168" i="1"/>
  <c r="C169" i="1"/>
  <c r="D169" i="1" s="1"/>
  <c r="J168" i="1" l="1"/>
  <c r="I168" i="1"/>
  <c r="M168" i="1" s="1"/>
  <c r="F169" i="1"/>
  <c r="H169" i="1" l="1"/>
  <c r="G169" i="1"/>
  <c r="K169" i="1"/>
  <c r="L168" i="1"/>
  <c r="Q169" i="1" l="1"/>
  <c r="O169" i="1"/>
  <c r="C170" i="1"/>
  <c r="D170" i="1" s="1"/>
  <c r="F170" i="1" l="1"/>
  <c r="I169" i="1"/>
  <c r="M169" i="1" s="1"/>
  <c r="J169" i="1"/>
  <c r="K170" i="1" l="1"/>
  <c r="L169" i="1"/>
  <c r="G170" i="1"/>
  <c r="H170" i="1"/>
  <c r="Q170" i="1" l="1"/>
  <c r="O170" i="1"/>
  <c r="C171" i="1"/>
  <c r="D171" i="1" s="1"/>
  <c r="J170" i="1" l="1"/>
  <c r="I170" i="1"/>
  <c r="M170" i="1" s="1"/>
  <c r="F171" i="1"/>
  <c r="H171" i="1" l="1"/>
  <c r="G171" i="1"/>
  <c r="K171" i="1"/>
  <c r="L170" i="1"/>
  <c r="Q171" i="1" l="1"/>
  <c r="O171" i="1"/>
  <c r="C172" i="1"/>
  <c r="D172" i="1" s="1"/>
  <c r="F172" i="1" l="1"/>
  <c r="I171" i="1"/>
  <c r="M171" i="1" s="1"/>
  <c r="J171" i="1"/>
  <c r="K172" i="1" l="1"/>
  <c r="L171" i="1"/>
  <c r="G172" i="1"/>
  <c r="H172" i="1"/>
  <c r="O172" i="1" l="1"/>
  <c r="Q172" i="1"/>
  <c r="I172" i="1" s="1"/>
  <c r="M172" i="1" s="1"/>
  <c r="C173" i="1"/>
  <c r="D173" i="1" s="1"/>
  <c r="F173" i="1" l="1"/>
  <c r="J172" i="1"/>
  <c r="K173" i="1" l="1"/>
  <c r="L172" i="1"/>
  <c r="H173" i="1"/>
  <c r="G173" i="1"/>
  <c r="O173" i="1" l="1"/>
  <c r="Q173" i="1"/>
  <c r="C174" i="1"/>
  <c r="D174" i="1" s="1"/>
  <c r="J173" i="1" l="1"/>
  <c r="I173" i="1"/>
  <c r="M173" i="1" s="1"/>
  <c r="F174" i="1"/>
  <c r="G174" i="1" l="1"/>
  <c r="H174" i="1"/>
  <c r="K174" i="1"/>
  <c r="L173" i="1"/>
  <c r="Q174" i="1" l="1"/>
  <c r="O174" i="1"/>
  <c r="C175" i="1"/>
  <c r="D175" i="1" s="1"/>
  <c r="F175" i="1" l="1"/>
  <c r="I174" i="1"/>
  <c r="M174" i="1" s="1"/>
  <c r="J174" i="1"/>
  <c r="K175" i="1" l="1"/>
  <c r="L174" i="1"/>
  <c r="H175" i="1"/>
  <c r="G175" i="1"/>
  <c r="Q175" i="1" l="1"/>
  <c r="I175" i="1" s="1"/>
  <c r="M175" i="1" s="1"/>
  <c r="O175" i="1"/>
  <c r="C176" i="1"/>
  <c r="D176" i="1" s="1"/>
  <c r="F176" i="1" s="1"/>
  <c r="G176" i="1" l="1"/>
  <c r="H176" i="1"/>
  <c r="C177" i="1"/>
  <c r="D177" i="1" s="1"/>
  <c r="J175" i="1"/>
  <c r="K176" i="1" l="1"/>
  <c r="L175" i="1"/>
  <c r="F177" i="1"/>
  <c r="Q176" i="1"/>
  <c r="I176" i="1" s="1"/>
  <c r="M176" i="1" s="1"/>
  <c r="O176" i="1"/>
  <c r="J176" i="1" l="1"/>
  <c r="K177" i="1" s="1"/>
  <c r="H177" i="1"/>
  <c r="G177" i="1"/>
  <c r="L176" i="1" l="1"/>
  <c r="Q177" i="1"/>
  <c r="O177" i="1"/>
  <c r="C178" i="1"/>
  <c r="D178" i="1" s="1"/>
  <c r="I177" i="1" l="1"/>
  <c r="M177" i="1" s="1"/>
  <c r="J177" i="1"/>
  <c r="F178" i="1"/>
  <c r="G178" i="1" l="1"/>
  <c r="H178" i="1"/>
  <c r="K178" i="1"/>
  <c r="L177" i="1"/>
  <c r="Q178" i="1" l="1"/>
  <c r="O178" i="1"/>
  <c r="C179" i="1"/>
  <c r="D179" i="1" s="1"/>
  <c r="I178" i="1" l="1"/>
  <c r="M178" i="1" s="1"/>
  <c r="J178" i="1"/>
  <c r="F179" i="1"/>
  <c r="H179" i="1" l="1"/>
  <c r="G179" i="1"/>
  <c r="K179" i="1"/>
  <c r="L178" i="1"/>
  <c r="Q179" i="1" l="1"/>
  <c r="I179" i="1" s="1"/>
  <c r="M179" i="1" s="1"/>
  <c r="O179" i="1"/>
  <c r="C180" i="1"/>
  <c r="D180" i="1" s="1"/>
  <c r="F180" i="1" l="1"/>
  <c r="J179" i="1"/>
  <c r="K180" i="1" l="1"/>
  <c r="L179" i="1"/>
  <c r="G180" i="1"/>
  <c r="H180" i="1"/>
  <c r="O180" i="1" l="1"/>
  <c r="Q180" i="1"/>
  <c r="I180" i="1" s="1"/>
  <c r="M180" i="1" s="1"/>
  <c r="C181" i="1"/>
  <c r="D181" i="1" s="1"/>
  <c r="F181" i="1" l="1"/>
  <c r="J180" i="1"/>
  <c r="K181" i="1" l="1"/>
  <c r="L180" i="1"/>
  <c r="H181" i="1"/>
  <c r="G181" i="1"/>
  <c r="Q181" i="1" l="1"/>
  <c r="O181" i="1"/>
  <c r="C182" i="1"/>
  <c r="D182" i="1" s="1"/>
  <c r="J181" i="1" l="1"/>
  <c r="I181" i="1"/>
  <c r="M181" i="1" s="1"/>
  <c r="F182" i="1"/>
  <c r="G182" i="1" l="1"/>
  <c r="H182" i="1"/>
  <c r="K182" i="1"/>
  <c r="L181" i="1"/>
  <c r="Q182" i="1" l="1"/>
  <c r="O182" i="1"/>
  <c r="C183" i="1"/>
  <c r="D183" i="1" s="1"/>
  <c r="F183" i="1" l="1"/>
  <c r="J182" i="1"/>
  <c r="I182" i="1"/>
  <c r="M182" i="1" s="1"/>
  <c r="K183" i="1" l="1"/>
  <c r="L182" i="1"/>
  <c r="G183" i="1"/>
  <c r="H183" i="1"/>
  <c r="Q183" i="1" l="1"/>
  <c r="O183" i="1"/>
  <c r="C184" i="1"/>
  <c r="D184" i="1" s="1"/>
  <c r="F184" i="1" l="1"/>
  <c r="J183" i="1"/>
  <c r="I183" i="1"/>
  <c r="M183" i="1" s="1"/>
  <c r="K184" i="1" l="1"/>
  <c r="L183" i="1"/>
  <c r="H184" i="1"/>
  <c r="G184" i="1"/>
  <c r="Q184" i="1" l="1"/>
  <c r="I184" i="1" s="1"/>
  <c r="M184" i="1" s="1"/>
  <c r="O184" i="1"/>
  <c r="C185" i="1"/>
  <c r="D185" i="1" s="1"/>
  <c r="F185" i="1" l="1"/>
  <c r="J184" i="1"/>
  <c r="K185" i="1" l="1"/>
  <c r="L184" i="1"/>
  <c r="H185" i="1"/>
  <c r="G185" i="1"/>
  <c r="Q185" i="1" l="1"/>
  <c r="O185" i="1"/>
  <c r="C186" i="1"/>
  <c r="D186" i="1" s="1"/>
  <c r="J185" i="1" l="1"/>
  <c r="I185" i="1"/>
  <c r="M185" i="1" s="1"/>
  <c r="F186" i="1"/>
  <c r="G186" i="1" l="1"/>
  <c r="H186" i="1"/>
  <c r="K186" i="1"/>
  <c r="L185" i="1"/>
  <c r="Q186" i="1" l="1"/>
  <c r="O186" i="1"/>
  <c r="C187" i="1"/>
  <c r="D187" i="1" s="1"/>
  <c r="I186" i="1" l="1"/>
  <c r="M186" i="1" s="1"/>
  <c r="J186" i="1"/>
  <c r="F187" i="1"/>
  <c r="H187" i="1" l="1"/>
  <c r="G187" i="1"/>
  <c r="K187" i="1"/>
  <c r="L186" i="1"/>
  <c r="Q187" i="1" l="1"/>
  <c r="O187" i="1"/>
  <c r="C188" i="1"/>
  <c r="D188" i="1" s="1"/>
  <c r="F188" i="1" l="1"/>
  <c r="I187" i="1"/>
  <c r="M187" i="1" s="1"/>
  <c r="J187" i="1"/>
  <c r="K188" i="1" l="1"/>
  <c r="L187" i="1"/>
  <c r="G188" i="1"/>
  <c r="H188" i="1"/>
  <c r="Q188" i="1" l="1"/>
  <c r="I188" i="1" s="1"/>
  <c r="M188" i="1" s="1"/>
  <c r="O188" i="1"/>
  <c r="C189" i="1"/>
  <c r="D189" i="1" s="1"/>
  <c r="F189" i="1" s="1"/>
  <c r="H189" i="1" l="1"/>
  <c r="G189" i="1"/>
  <c r="C190" i="1"/>
  <c r="D190" i="1" s="1"/>
  <c r="J188" i="1"/>
  <c r="K189" i="1" l="1"/>
  <c r="L188" i="1"/>
  <c r="F190" i="1"/>
  <c r="G190" i="1"/>
  <c r="Q189" i="1"/>
  <c r="I189" i="1" s="1"/>
  <c r="M189" i="1" s="1"/>
  <c r="O189" i="1"/>
  <c r="J189" i="1" l="1"/>
  <c r="L189" i="1" s="1"/>
  <c r="Q190" i="1"/>
  <c r="I190" i="1" s="1"/>
  <c r="M190" i="1" s="1"/>
  <c r="O190" i="1"/>
  <c r="H190" i="1"/>
  <c r="C191" i="1"/>
  <c r="D191" i="1" s="1"/>
  <c r="K190" i="1" l="1"/>
  <c r="J190" i="1" s="1"/>
  <c r="L190" i="1" s="1"/>
  <c r="F191" i="1"/>
  <c r="H191" i="1"/>
  <c r="K191" i="1" l="1"/>
  <c r="G191" i="1"/>
  <c r="Q191" i="1" l="1"/>
  <c r="O191" i="1"/>
  <c r="C192" i="1"/>
  <c r="D192" i="1" s="1"/>
  <c r="F192" i="1" l="1"/>
  <c r="I191" i="1"/>
  <c r="M191" i="1" s="1"/>
  <c r="J191" i="1"/>
  <c r="K192" i="1" l="1"/>
  <c r="L191" i="1"/>
  <c r="H192" i="1"/>
  <c r="G192" i="1"/>
  <c r="Q192" i="1" l="1"/>
  <c r="O192" i="1"/>
  <c r="C193" i="1"/>
  <c r="D193" i="1" s="1"/>
  <c r="F193" i="1" l="1"/>
  <c r="J192" i="1"/>
  <c r="I192" i="1"/>
  <c r="M192" i="1" s="1"/>
  <c r="K193" i="1" l="1"/>
  <c r="L192" i="1"/>
  <c r="G193" i="1"/>
  <c r="H193" i="1"/>
  <c r="Q193" i="1" l="1"/>
  <c r="O193" i="1"/>
  <c r="C194" i="1"/>
  <c r="D194" i="1" s="1"/>
  <c r="J193" i="1" l="1"/>
  <c r="I193" i="1"/>
  <c r="M193" i="1" s="1"/>
  <c r="F194" i="1"/>
  <c r="G194" i="1" l="1"/>
  <c r="H194" i="1"/>
  <c r="K194" i="1"/>
  <c r="L193" i="1"/>
  <c r="Q194" i="1" l="1"/>
  <c r="I194" i="1" s="1"/>
  <c r="M194" i="1" s="1"/>
  <c r="O194" i="1"/>
  <c r="C195" i="1"/>
  <c r="D195" i="1" s="1"/>
  <c r="F195" i="1" l="1"/>
  <c r="J194" i="1"/>
  <c r="K195" i="1" l="1"/>
  <c r="L194" i="1"/>
  <c r="H195" i="1"/>
  <c r="G195" i="1"/>
  <c r="Q195" i="1" l="1"/>
  <c r="O195" i="1"/>
  <c r="C196" i="1"/>
  <c r="D196" i="1" s="1"/>
  <c r="F196" i="1" s="1"/>
  <c r="G196" i="1" l="1"/>
  <c r="H196" i="1"/>
  <c r="C197" i="1"/>
  <c r="D197" i="1" s="1"/>
  <c r="J195" i="1"/>
  <c r="I195" i="1"/>
  <c r="M195" i="1" s="1"/>
  <c r="K196" i="1" l="1"/>
  <c r="L195" i="1"/>
  <c r="H197" i="1"/>
  <c r="Q196" i="1"/>
  <c r="I196" i="1" s="1"/>
  <c r="M196" i="1" s="1"/>
  <c r="G197" i="1"/>
  <c r="F197" i="1"/>
  <c r="O196" i="1"/>
  <c r="J196" i="1" l="1"/>
  <c r="K197" i="1" s="1"/>
  <c r="Q197" i="1"/>
  <c r="O197" i="1"/>
  <c r="C198" i="1"/>
  <c r="D198" i="1" s="1"/>
  <c r="J197" i="1" l="1"/>
  <c r="K198" i="1" s="1"/>
  <c r="L196" i="1"/>
  <c r="F198" i="1"/>
  <c r="I197" i="1"/>
  <c r="M197" i="1" s="1"/>
  <c r="L197" i="1" l="1"/>
  <c r="H198" i="1"/>
  <c r="G198" i="1"/>
  <c r="Q198" i="1" l="1"/>
  <c r="O198" i="1"/>
  <c r="C199" i="1"/>
  <c r="D199" i="1" s="1"/>
  <c r="I198" i="1" l="1"/>
  <c r="M198" i="1" s="1"/>
  <c r="J198" i="1"/>
  <c r="F199" i="1"/>
  <c r="K199" i="1" l="1"/>
  <c r="L198" i="1"/>
  <c r="G199" i="1"/>
  <c r="H199" i="1"/>
  <c r="Q199" i="1" l="1"/>
  <c r="O199" i="1"/>
  <c r="C200" i="1"/>
  <c r="D200" i="1" s="1"/>
  <c r="F200" i="1" l="1"/>
  <c r="J199" i="1"/>
  <c r="I199" i="1"/>
  <c r="M199" i="1" s="1"/>
  <c r="K200" i="1" l="1"/>
  <c r="L199" i="1"/>
  <c r="G200" i="1"/>
  <c r="H200" i="1"/>
  <c r="Q200" i="1" l="1"/>
  <c r="I200" i="1" s="1"/>
  <c r="M200" i="1" s="1"/>
  <c r="O200" i="1"/>
  <c r="C201" i="1"/>
  <c r="D201" i="1" s="1"/>
  <c r="F201" i="1" l="1"/>
  <c r="J200" i="1"/>
  <c r="K201" i="1" l="1"/>
  <c r="L200" i="1"/>
  <c r="H201" i="1"/>
  <c r="G201" i="1"/>
  <c r="Q201" i="1" l="1"/>
  <c r="O201" i="1"/>
  <c r="C202" i="1"/>
  <c r="D202" i="1" s="1"/>
  <c r="J201" i="1" l="1"/>
  <c r="I201" i="1"/>
  <c r="M201" i="1" s="1"/>
  <c r="F202" i="1"/>
  <c r="G202" i="1" l="1"/>
  <c r="H202" i="1"/>
  <c r="K202" i="1"/>
  <c r="L201" i="1"/>
  <c r="Q202" i="1" l="1"/>
  <c r="O202" i="1"/>
  <c r="C203" i="1"/>
  <c r="D203" i="1" s="1"/>
  <c r="I202" i="1" l="1"/>
  <c r="M202" i="1" s="1"/>
  <c r="J202" i="1"/>
  <c r="F203" i="1"/>
  <c r="H203" i="1" l="1"/>
  <c r="G203" i="1"/>
  <c r="K203" i="1"/>
  <c r="L202" i="1"/>
  <c r="Q203" i="1" l="1"/>
  <c r="I203" i="1" s="1"/>
  <c r="M203" i="1" s="1"/>
  <c r="O203" i="1"/>
  <c r="C204" i="1"/>
  <c r="D204" i="1" s="1"/>
  <c r="F204" i="1" l="1"/>
  <c r="J203" i="1"/>
  <c r="K204" i="1" l="1"/>
  <c r="L203" i="1"/>
  <c r="G204" i="1"/>
  <c r="H204" i="1"/>
  <c r="Q204" i="1" l="1"/>
  <c r="I204" i="1" s="1"/>
  <c r="M204" i="1" s="1"/>
  <c r="O204" i="1"/>
  <c r="C205" i="1"/>
  <c r="D205" i="1" s="1"/>
  <c r="F205" i="1" s="1"/>
  <c r="H205" i="1" l="1"/>
  <c r="G205" i="1"/>
  <c r="C206" i="1"/>
  <c r="D206" i="1" s="1"/>
  <c r="J204" i="1"/>
  <c r="K205" i="1" l="1"/>
  <c r="L204" i="1"/>
  <c r="F206" i="1"/>
  <c r="Q205" i="1"/>
  <c r="I205" i="1" s="1"/>
  <c r="M205" i="1" s="1"/>
  <c r="O205" i="1"/>
  <c r="J205" i="1" l="1"/>
  <c r="K206" i="1" s="1"/>
  <c r="H206" i="1"/>
  <c r="G206" i="1"/>
  <c r="L205" i="1" l="1"/>
  <c r="Q206" i="1"/>
  <c r="I206" i="1" s="1"/>
  <c r="M206" i="1" s="1"/>
  <c r="O206" i="1"/>
  <c r="C207" i="1"/>
  <c r="D207" i="1" s="1"/>
  <c r="F207" i="1" l="1"/>
  <c r="J206" i="1"/>
  <c r="K207" i="1" l="1"/>
  <c r="L206" i="1"/>
  <c r="G207" i="1"/>
  <c r="H207" i="1"/>
  <c r="Q207" i="1" l="1"/>
  <c r="O207" i="1"/>
  <c r="C208" i="1"/>
  <c r="D208" i="1" s="1"/>
  <c r="F208" i="1" l="1"/>
  <c r="J207" i="1"/>
  <c r="I207" i="1"/>
  <c r="M207" i="1" s="1"/>
  <c r="K208" i="1" l="1"/>
  <c r="L207" i="1"/>
  <c r="G208" i="1"/>
  <c r="H208" i="1"/>
  <c r="Q208" i="1" l="1"/>
  <c r="I208" i="1" s="1"/>
  <c r="M208" i="1" s="1"/>
  <c r="O208" i="1"/>
  <c r="C209" i="1"/>
  <c r="D209" i="1" s="1"/>
  <c r="F209" i="1" s="1"/>
  <c r="H209" i="1" l="1"/>
  <c r="G209" i="1"/>
  <c r="C210" i="1"/>
  <c r="D210" i="1" s="1"/>
  <c r="J208" i="1"/>
  <c r="K209" i="1" l="1"/>
  <c r="L208" i="1"/>
  <c r="F210" i="1"/>
  <c r="Q209" i="1"/>
  <c r="I209" i="1" s="1"/>
  <c r="M209" i="1" s="1"/>
  <c r="O209" i="1"/>
  <c r="J209" i="1" l="1"/>
  <c r="H210" i="1"/>
  <c r="G210" i="1"/>
  <c r="Q210" i="1" l="1"/>
  <c r="I210" i="1" s="1"/>
  <c r="M210" i="1" s="1"/>
  <c r="O210" i="1"/>
  <c r="C211" i="1"/>
  <c r="D211" i="1" s="1"/>
  <c r="K210" i="1"/>
  <c r="L209" i="1"/>
  <c r="J210" i="1" l="1"/>
  <c r="K211" i="1" s="1"/>
  <c r="F211" i="1"/>
  <c r="L210" i="1" l="1"/>
  <c r="G211" i="1"/>
  <c r="H211" i="1"/>
  <c r="Q211" i="1" l="1"/>
  <c r="O211" i="1"/>
  <c r="C212" i="1"/>
  <c r="D212" i="1" s="1"/>
  <c r="F212" i="1" l="1"/>
  <c r="I211" i="1"/>
  <c r="M211" i="1" s="1"/>
  <c r="J211" i="1"/>
  <c r="K212" i="1" l="1"/>
  <c r="L211" i="1"/>
  <c r="H212" i="1"/>
  <c r="G212" i="1"/>
  <c r="Q212" i="1" l="1"/>
  <c r="I212" i="1" s="1"/>
  <c r="M212" i="1" s="1"/>
  <c r="O212" i="1"/>
  <c r="C213" i="1"/>
  <c r="D213" i="1" s="1"/>
  <c r="F213" i="1" l="1"/>
  <c r="J212" i="1"/>
  <c r="K213" i="1" l="1"/>
  <c r="L212" i="1"/>
  <c r="G213" i="1"/>
  <c r="H213" i="1"/>
  <c r="Q213" i="1" l="1"/>
  <c r="O213" i="1"/>
  <c r="C214" i="1"/>
  <c r="D214" i="1" s="1"/>
  <c r="J213" i="1" l="1"/>
  <c r="I213" i="1"/>
  <c r="M213" i="1" s="1"/>
  <c r="F214" i="1"/>
  <c r="H214" i="1" l="1"/>
  <c r="G214" i="1"/>
  <c r="K214" i="1"/>
  <c r="L213" i="1"/>
  <c r="Q214" i="1" l="1"/>
  <c r="I214" i="1" s="1"/>
  <c r="M214" i="1" s="1"/>
  <c r="O214" i="1"/>
  <c r="C215" i="1"/>
  <c r="D215" i="1" s="1"/>
  <c r="F215" i="1" l="1"/>
  <c r="J214" i="1"/>
  <c r="K215" i="1" l="1"/>
  <c r="L214" i="1"/>
  <c r="G215" i="1"/>
  <c r="H215" i="1"/>
  <c r="Q215" i="1" l="1"/>
  <c r="O215" i="1"/>
  <c r="C216" i="1"/>
  <c r="D216" i="1" s="1"/>
  <c r="F216" i="1" s="1"/>
  <c r="H216" i="1" l="1"/>
  <c r="G216" i="1"/>
  <c r="C217" i="1"/>
  <c r="D217" i="1" s="1"/>
  <c r="J215" i="1"/>
  <c r="I215" i="1"/>
  <c r="M215" i="1" s="1"/>
  <c r="K216" i="1" l="1"/>
  <c r="L215" i="1"/>
  <c r="Q216" i="1"/>
  <c r="I216" i="1" s="1"/>
  <c r="M216" i="1" s="1"/>
  <c r="G217" i="1"/>
  <c r="F217" i="1"/>
  <c r="O216" i="1"/>
  <c r="H217" i="1"/>
  <c r="J216" i="1" l="1"/>
  <c r="L216" i="1" s="1"/>
  <c r="Q217" i="1"/>
  <c r="O217" i="1"/>
  <c r="C218" i="1"/>
  <c r="D218" i="1" s="1"/>
  <c r="K217" i="1" l="1"/>
  <c r="J217" i="1"/>
  <c r="K218" i="1" s="1"/>
  <c r="F218" i="1"/>
  <c r="I217" i="1"/>
  <c r="M217" i="1" s="1"/>
  <c r="L217" i="1" l="1"/>
  <c r="H218" i="1"/>
  <c r="G218" i="1"/>
  <c r="Q218" i="1" l="1"/>
  <c r="O218" i="1"/>
  <c r="C219" i="1"/>
  <c r="D219" i="1" s="1"/>
  <c r="I218" i="1" l="1"/>
  <c r="M218" i="1" s="1"/>
  <c r="J218" i="1"/>
  <c r="F219" i="1"/>
  <c r="G219" i="1" l="1"/>
  <c r="H219" i="1"/>
  <c r="K219" i="1"/>
  <c r="L218" i="1"/>
  <c r="Q219" i="1" l="1"/>
  <c r="O219" i="1"/>
  <c r="C220" i="1"/>
  <c r="D220" i="1" s="1"/>
  <c r="F220" i="1" s="1"/>
  <c r="H220" i="1" l="1"/>
  <c r="G220" i="1"/>
  <c r="C221" i="1"/>
  <c r="D221" i="1" s="1"/>
  <c r="I219" i="1"/>
  <c r="M219" i="1" s="1"/>
  <c r="J219" i="1"/>
  <c r="K220" i="1" l="1"/>
  <c r="L219" i="1"/>
  <c r="Q220" i="1"/>
  <c r="I220" i="1" s="1"/>
  <c r="M220" i="1" s="1"/>
  <c r="F221" i="1"/>
  <c r="O220" i="1"/>
  <c r="J220" i="1" l="1"/>
  <c r="L220" i="1" s="1"/>
  <c r="K221" i="1"/>
  <c r="H221" i="1"/>
  <c r="G221" i="1"/>
  <c r="Q221" i="1" l="1"/>
  <c r="O221" i="1"/>
  <c r="C222" i="1"/>
  <c r="D222" i="1" s="1"/>
  <c r="J221" i="1" l="1"/>
  <c r="I221" i="1"/>
  <c r="M221" i="1" s="1"/>
  <c r="F222" i="1"/>
  <c r="G222" i="1" l="1"/>
  <c r="H222" i="1"/>
  <c r="K222" i="1"/>
  <c r="L221" i="1"/>
  <c r="O222" i="1" l="1"/>
  <c r="Q222" i="1"/>
  <c r="I222" i="1" s="1"/>
  <c r="M222" i="1" s="1"/>
  <c r="C223" i="1"/>
  <c r="D223" i="1" s="1"/>
  <c r="F223" i="1" s="1"/>
  <c r="H223" i="1" l="1"/>
  <c r="G223" i="1"/>
  <c r="C224" i="1"/>
  <c r="D224" i="1" s="1"/>
  <c r="J222" i="1"/>
  <c r="K223" i="1" l="1"/>
  <c r="L222" i="1"/>
  <c r="Q223" i="1"/>
  <c r="I223" i="1" s="1"/>
  <c r="M223" i="1" s="1"/>
  <c r="O223" i="1"/>
  <c r="F224" i="1"/>
  <c r="H224" i="1" s="1"/>
  <c r="J223" i="1" l="1"/>
  <c r="L223" i="1" s="1"/>
  <c r="G224" i="1"/>
  <c r="K224" i="1" l="1"/>
  <c r="Q224" i="1"/>
  <c r="I224" i="1" s="1"/>
  <c r="M224" i="1" s="1"/>
  <c r="O224" i="1"/>
  <c r="C225" i="1"/>
  <c r="D225" i="1" s="1"/>
  <c r="F225" i="1" l="1"/>
  <c r="J224" i="1"/>
  <c r="K225" i="1" l="1"/>
  <c r="L224" i="1"/>
  <c r="H225" i="1"/>
  <c r="G225" i="1"/>
  <c r="Q225" i="1" l="1"/>
  <c r="O225" i="1"/>
  <c r="C226" i="1"/>
  <c r="D226" i="1" s="1"/>
  <c r="J225" i="1" l="1"/>
  <c r="I225" i="1"/>
  <c r="M225" i="1" s="1"/>
  <c r="F226" i="1"/>
  <c r="H226" i="1" l="1"/>
  <c r="G226" i="1"/>
  <c r="K226" i="1"/>
  <c r="L225" i="1"/>
  <c r="O226" i="1" l="1"/>
  <c r="Q226" i="1"/>
  <c r="I226" i="1" s="1"/>
  <c r="M226" i="1" s="1"/>
  <c r="C227" i="1"/>
  <c r="D227" i="1" s="1"/>
  <c r="F227" i="1" l="1"/>
  <c r="J226" i="1"/>
  <c r="K227" i="1" l="1"/>
  <c r="L226" i="1"/>
  <c r="G227" i="1"/>
  <c r="H227" i="1"/>
  <c r="Q227" i="1" l="1"/>
  <c r="O227" i="1"/>
  <c r="C228" i="1"/>
  <c r="D228" i="1" s="1"/>
  <c r="F228" i="1" s="1"/>
  <c r="H228" i="1" l="1"/>
  <c r="G228" i="1"/>
  <c r="C229" i="1"/>
  <c r="D229" i="1" s="1"/>
  <c r="J227" i="1"/>
  <c r="I227" i="1"/>
  <c r="M227" i="1" s="1"/>
  <c r="K228" i="1" l="1"/>
  <c r="L227" i="1"/>
  <c r="H229" i="1"/>
  <c r="Q228" i="1"/>
  <c r="I228" i="1" s="1"/>
  <c r="M228" i="1" s="1"/>
  <c r="G229" i="1"/>
  <c r="F229" i="1"/>
  <c r="O228" i="1"/>
  <c r="J228" i="1" l="1"/>
  <c r="K229" i="1" s="1"/>
  <c r="Q229" i="1"/>
  <c r="O229" i="1"/>
  <c r="C230" i="1"/>
  <c r="D230" i="1" s="1"/>
  <c r="F230" i="1" s="1"/>
  <c r="L228" i="1" l="1"/>
  <c r="J229" i="1"/>
  <c r="L229" i="1" s="1"/>
  <c r="H230" i="1"/>
  <c r="G230" i="1"/>
  <c r="I229" i="1"/>
  <c r="M229" i="1" s="1"/>
  <c r="C231" i="1"/>
  <c r="D231" i="1" s="1"/>
  <c r="K230" i="1" l="1"/>
  <c r="F231" i="1"/>
  <c r="Q230" i="1"/>
  <c r="O230" i="1"/>
  <c r="H231" i="1"/>
  <c r="I230" i="1" l="1"/>
  <c r="M230" i="1" s="1"/>
  <c r="J230" i="1"/>
  <c r="G231" i="1"/>
  <c r="Q231" i="1" l="1"/>
  <c r="I231" i="1" s="1"/>
  <c r="M231" i="1" s="1"/>
  <c r="O231" i="1"/>
  <c r="C232" i="1"/>
  <c r="D232" i="1" s="1"/>
  <c r="F232" i="1" s="1"/>
  <c r="K231" i="1"/>
  <c r="L230" i="1"/>
  <c r="J231" i="1" l="1"/>
  <c r="K232" i="1" s="1"/>
  <c r="H232" i="1"/>
  <c r="G232" i="1"/>
  <c r="C233" i="1"/>
  <c r="D233" i="1" s="1"/>
  <c r="L231" i="1" l="1"/>
  <c r="Q232" i="1"/>
  <c r="I232" i="1" s="1"/>
  <c r="M232" i="1" s="1"/>
  <c r="F233" i="1"/>
  <c r="O232" i="1"/>
  <c r="G233" i="1" l="1"/>
  <c r="J232" i="1"/>
  <c r="H233" i="1"/>
  <c r="K233" i="1" l="1"/>
  <c r="L232" i="1"/>
  <c r="Q233" i="1"/>
  <c r="I233" i="1" s="1"/>
  <c r="M233" i="1" s="1"/>
  <c r="O233" i="1"/>
  <c r="C234" i="1"/>
  <c r="D234" i="1" s="1"/>
  <c r="F234" i="1" s="1"/>
  <c r="H234" i="1" l="1"/>
  <c r="G234" i="1"/>
  <c r="J233" i="1"/>
  <c r="C235" i="1"/>
  <c r="D235" i="1" s="1"/>
  <c r="F235" i="1" l="1"/>
  <c r="H235" i="1" s="1"/>
  <c r="Q234" i="1"/>
  <c r="I234" i="1" s="1"/>
  <c r="M234" i="1" s="1"/>
  <c r="O234" i="1"/>
  <c r="K234" i="1"/>
  <c r="L233" i="1"/>
  <c r="J234" i="1" l="1"/>
  <c r="G235" i="1"/>
  <c r="Q235" i="1" l="1"/>
  <c r="I235" i="1" s="1"/>
  <c r="M235" i="1" s="1"/>
  <c r="O235" i="1"/>
  <c r="C236" i="1"/>
  <c r="D236" i="1" s="1"/>
  <c r="K235" i="1"/>
  <c r="J235" i="1" s="1"/>
  <c r="L234" i="1"/>
  <c r="K236" i="1" l="1"/>
  <c r="L235" i="1"/>
  <c r="F236" i="1"/>
  <c r="H236" i="1" l="1"/>
  <c r="G236" i="1"/>
  <c r="Q236" i="1" l="1"/>
  <c r="O236" i="1"/>
  <c r="C237" i="1"/>
  <c r="D237" i="1" s="1"/>
  <c r="F237" i="1" l="1"/>
  <c r="I236" i="1"/>
  <c r="M236" i="1" s="1"/>
  <c r="J236" i="1"/>
  <c r="K237" i="1" l="1"/>
  <c r="L236" i="1"/>
  <c r="H237" i="1"/>
  <c r="G237" i="1"/>
  <c r="Q237" i="1" l="1"/>
  <c r="O237" i="1"/>
  <c r="C238" i="1"/>
  <c r="D238" i="1" s="1"/>
  <c r="J237" i="1" l="1"/>
  <c r="I237" i="1"/>
  <c r="M237" i="1" s="1"/>
  <c r="F238" i="1"/>
  <c r="G238" i="1" l="1"/>
  <c r="H238" i="1"/>
  <c r="K238" i="1"/>
  <c r="L237" i="1"/>
  <c r="O238" i="1" l="1"/>
  <c r="Q238" i="1"/>
  <c r="I238" i="1" s="1"/>
  <c r="M238" i="1" s="1"/>
  <c r="C239" i="1"/>
  <c r="D239" i="1" s="1"/>
  <c r="F239" i="1" l="1"/>
  <c r="J238" i="1"/>
  <c r="K239" i="1" l="1"/>
  <c r="L238" i="1"/>
  <c r="H239" i="1"/>
  <c r="G239" i="1"/>
  <c r="Q239" i="1" l="1"/>
  <c r="O239" i="1"/>
  <c r="C240" i="1"/>
  <c r="D240" i="1" s="1"/>
  <c r="F240" i="1" l="1"/>
  <c r="J239" i="1"/>
  <c r="I239" i="1"/>
  <c r="M239" i="1" s="1"/>
  <c r="G240" i="1" l="1"/>
  <c r="H240" i="1"/>
  <c r="K240" i="1"/>
  <c r="L239" i="1"/>
  <c r="O240" i="1" l="1"/>
  <c r="Q240" i="1"/>
  <c r="I240" i="1" s="1"/>
  <c r="M240" i="1" s="1"/>
  <c r="C241" i="1"/>
  <c r="D241" i="1" s="1"/>
  <c r="F241" i="1" l="1"/>
  <c r="J240" i="1"/>
  <c r="K241" i="1" l="1"/>
  <c r="L240" i="1"/>
  <c r="H241" i="1"/>
  <c r="G241" i="1"/>
  <c r="O241" i="1" l="1"/>
  <c r="Q241" i="1"/>
  <c r="C242" i="1"/>
  <c r="D242" i="1" s="1"/>
  <c r="F242" i="1" l="1"/>
  <c r="J241" i="1"/>
  <c r="I241" i="1"/>
  <c r="M241" i="1" s="1"/>
  <c r="K242" i="1" l="1"/>
  <c r="L241" i="1"/>
  <c r="G242" i="1"/>
  <c r="H242" i="1"/>
  <c r="Q242" i="1" l="1"/>
  <c r="O242" i="1"/>
  <c r="C243" i="1"/>
  <c r="D243" i="1" s="1"/>
  <c r="F243" i="1" s="1"/>
  <c r="H243" i="1" l="1"/>
  <c r="G243" i="1"/>
  <c r="C244" i="1"/>
  <c r="D244" i="1" s="1"/>
  <c r="J242" i="1"/>
  <c r="I242" i="1"/>
  <c r="M242" i="1" s="1"/>
  <c r="K243" i="1" l="1"/>
  <c r="L242" i="1"/>
  <c r="F244" i="1"/>
  <c r="O243" i="1"/>
  <c r="Q243" i="1"/>
  <c r="I243" i="1" s="1"/>
  <c r="M243" i="1" s="1"/>
  <c r="J243" i="1" l="1"/>
  <c r="L243" i="1" s="1"/>
  <c r="H244" i="1"/>
  <c r="G244" i="1"/>
  <c r="K244" i="1" l="1"/>
  <c r="O244" i="1"/>
  <c r="Q244" i="1"/>
  <c r="I244" i="1" s="1"/>
  <c r="M244" i="1" s="1"/>
  <c r="C245" i="1"/>
  <c r="D245" i="1" s="1"/>
  <c r="F245" i="1" l="1"/>
  <c r="J244" i="1"/>
  <c r="K245" i="1" l="1"/>
  <c r="L244" i="1"/>
  <c r="G245" i="1"/>
  <c r="H245" i="1"/>
  <c r="O245" i="1" l="1"/>
  <c r="Q245" i="1"/>
  <c r="C246" i="1"/>
  <c r="D246" i="1" s="1"/>
  <c r="J245" i="1" l="1"/>
  <c r="I245" i="1"/>
  <c r="M245" i="1" s="1"/>
  <c r="F246" i="1"/>
  <c r="H246" i="1" l="1"/>
  <c r="G246" i="1"/>
  <c r="K246" i="1"/>
  <c r="L245" i="1"/>
  <c r="Q246" i="1" l="1"/>
  <c r="I246" i="1" s="1"/>
  <c r="M246" i="1" s="1"/>
  <c r="O246" i="1"/>
  <c r="C247" i="1"/>
  <c r="D247" i="1" s="1"/>
  <c r="F247" i="1" s="1"/>
  <c r="G247" i="1" l="1"/>
  <c r="H247" i="1"/>
  <c r="C248" i="1"/>
  <c r="D248" i="1" s="1"/>
  <c r="J246" i="1"/>
  <c r="K247" i="1" l="1"/>
  <c r="L246" i="1"/>
  <c r="F248" i="1"/>
  <c r="O247" i="1"/>
  <c r="Q247" i="1"/>
  <c r="I247" i="1" s="1"/>
  <c r="M247" i="1" s="1"/>
  <c r="H248" i="1" l="1"/>
  <c r="J247" i="1"/>
  <c r="G248" i="1"/>
  <c r="K248" i="1" l="1"/>
  <c r="L247" i="1"/>
  <c r="O248" i="1"/>
  <c r="Q248" i="1"/>
  <c r="I248" i="1" s="1"/>
  <c r="M248" i="1" s="1"/>
  <c r="C249" i="1"/>
  <c r="D249" i="1" s="1"/>
  <c r="F249" i="1" s="1"/>
  <c r="H249" i="1" l="1"/>
  <c r="G249" i="1"/>
  <c r="J248" i="1"/>
  <c r="C250" i="1"/>
  <c r="D250" i="1" s="1"/>
  <c r="O249" i="1" l="1"/>
  <c r="F250" i="1"/>
  <c r="Q249" i="1"/>
  <c r="I249" i="1" s="1"/>
  <c r="M249" i="1" s="1"/>
  <c r="K249" i="1"/>
  <c r="L248" i="1"/>
  <c r="J249" i="1" l="1"/>
  <c r="K250" i="1"/>
  <c r="L249" i="1"/>
  <c r="G250" i="1"/>
  <c r="H250" i="1"/>
  <c r="Q250" i="1" l="1"/>
  <c r="O250" i="1"/>
  <c r="C251" i="1"/>
  <c r="D251" i="1" s="1"/>
  <c r="F251" i="1" s="1"/>
  <c r="G251" i="1" l="1"/>
  <c r="H251" i="1"/>
  <c r="C252" i="1"/>
  <c r="D252" i="1" s="1"/>
  <c r="J250" i="1"/>
  <c r="I250" i="1"/>
  <c r="M250" i="1" s="1"/>
  <c r="K251" i="1" l="1"/>
  <c r="L250" i="1"/>
  <c r="H252" i="1"/>
  <c r="G252" i="1"/>
  <c r="O251" i="1"/>
  <c r="Q251" i="1"/>
  <c r="I251" i="1" s="1"/>
  <c r="M251" i="1" s="1"/>
  <c r="F252" i="1"/>
  <c r="J251" i="1" l="1"/>
  <c r="K252" i="1" s="1"/>
  <c r="O252" i="1"/>
  <c r="Q252" i="1"/>
  <c r="I252" i="1" s="1"/>
  <c r="M252" i="1" s="1"/>
  <c r="C253" i="1"/>
  <c r="D253" i="1" s="1"/>
  <c r="F253" i="1" s="1"/>
  <c r="J252" i="1" l="1"/>
  <c r="L251" i="1"/>
  <c r="H253" i="1"/>
  <c r="G253" i="1"/>
  <c r="K253" i="1"/>
  <c r="L252" i="1"/>
  <c r="C254" i="1"/>
  <c r="D254" i="1" s="1"/>
  <c r="O253" i="1" l="1"/>
  <c r="Q253" i="1"/>
  <c r="I253" i="1" s="1"/>
  <c r="M253" i="1" s="1"/>
  <c r="F254" i="1"/>
  <c r="G254" i="1" l="1"/>
  <c r="J253" i="1"/>
  <c r="H254" i="1"/>
  <c r="K254" i="1" l="1"/>
  <c r="L253" i="1"/>
  <c r="Q254" i="1"/>
  <c r="I254" i="1" s="1"/>
  <c r="M254" i="1" s="1"/>
  <c r="O254" i="1"/>
  <c r="C255" i="1"/>
  <c r="D255" i="1" s="1"/>
  <c r="J254" i="1" l="1"/>
  <c r="F255" i="1"/>
  <c r="H255" i="1" l="1"/>
  <c r="G255" i="1"/>
  <c r="K255" i="1"/>
  <c r="L254" i="1"/>
  <c r="Q255" i="1" l="1"/>
  <c r="O255" i="1"/>
  <c r="C256" i="1"/>
  <c r="D256" i="1" s="1"/>
  <c r="F256" i="1" l="1"/>
  <c r="I255" i="1"/>
  <c r="M255" i="1" s="1"/>
  <c r="J255" i="1"/>
  <c r="K256" i="1" l="1"/>
  <c r="L255" i="1"/>
  <c r="G256" i="1"/>
  <c r="H256" i="1"/>
  <c r="O256" i="1" l="1"/>
  <c r="Q256" i="1"/>
  <c r="I256" i="1" s="1"/>
  <c r="M256" i="1" s="1"/>
  <c r="C257" i="1"/>
  <c r="D257" i="1" s="1"/>
  <c r="F257" i="1" s="1"/>
  <c r="G257" i="1" l="1"/>
  <c r="H257" i="1"/>
  <c r="C258" i="1"/>
  <c r="D258" i="1" s="1"/>
  <c r="J256" i="1"/>
  <c r="K257" i="1" l="1"/>
  <c r="L256" i="1"/>
  <c r="H258" i="1"/>
  <c r="O257" i="1"/>
  <c r="F258" i="1"/>
  <c r="Q257" i="1"/>
  <c r="I257" i="1" s="1"/>
  <c r="M257" i="1" s="1"/>
  <c r="J257" i="1" l="1"/>
  <c r="G258" i="1"/>
  <c r="Q258" i="1" l="1"/>
  <c r="I258" i="1" s="1"/>
  <c r="M258" i="1" s="1"/>
  <c r="O258" i="1"/>
  <c r="C259" i="1"/>
  <c r="D259" i="1" s="1"/>
  <c r="K258" i="1"/>
  <c r="J258" i="1"/>
  <c r="L257" i="1"/>
  <c r="K259" i="1" l="1"/>
  <c r="L258" i="1"/>
  <c r="F259" i="1"/>
  <c r="H259" i="1" l="1"/>
  <c r="G259" i="1"/>
  <c r="O259" i="1" l="1"/>
  <c r="Q259" i="1"/>
  <c r="C260" i="1"/>
  <c r="D260" i="1" s="1"/>
  <c r="F260" i="1" s="1"/>
  <c r="G260" i="1" l="1"/>
  <c r="H260" i="1"/>
  <c r="C261" i="1"/>
  <c r="D261" i="1" s="1"/>
  <c r="I259" i="1"/>
  <c r="M259" i="1" s="1"/>
  <c r="J259" i="1"/>
  <c r="K260" i="1" l="1"/>
  <c r="L259" i="1"/>
  <c r="H261" i="1"/>
  <c r="O260" i="1"/>
  <c r="G261" i="1"/>
  <c r="F261" i="1"/>
  <c r="Q260" i="1"/>
  <c r="I260" i="1" s="1"/>
  <c r="M260" i="1" s="1"/>
  <c r="J260" i="1" l="1"/>
  <c r="L260" i="1" s="1"/>
  <c r="K261" i="1"/>
  <c r="O261" i="1"/>
  <c r="Q261" i="1"/>
  <c r="C262" i="1"/>
  <c r="D262" i="1" s="1"/>
  <c r="F262" i="1" s="1"/>
  <c r="J261" i="1" l="1"/>
  <c r="K262" i="1" s="1"/>
  <c r="H262" i="1"/>
  <c r="G262" i="1"/>
  <c r="C263" i="1"/>
  <c r="D263" i="1" s="1"/>
  <c r="I261" i="1"/>
  <c r="M261" i="1" s="1"/>
  <c r="L261" i="1" l="1"/>
  <c r="F263" i="1"/>
  <c r="Q262" i="1"/>
  <c r="O262" i="1"/>
  <c r="G263" i="1"/>
  <c r="O263" i="1" l="1"/>
  <c r="Q263" i="1"/>
  <c r="I263" i="1" s="1"/>
  <c r="M263" i="1" s="1"/>
  <c r="I262" i="1"/>
  <c r="M262" i="1" s="1"/>
  <c r="J262" i="1"/>
  <c r="H263" i="1"/>
  <c r="C264" i="1"/>
  <c r="D264" i="1" s="1"/>
  <c r="F264" i="1" s="1"/>
  <c r="G264" i="1" l="1"/>
  <c r="K263" i="1"/>
  <c r="J263" i="1" s="1"/>
  <c r="L262" i="1"/>
  <c r="C265" i="1"/>
  <c r="D265" i="1" s="1"/>
  <c r="H264" i="1"/>
  <c r="H265" i="1" l="1"/>
  <c r="K264" i="1"/>
  <c r="L263" i="1"/>
  <c r="Q264" i="1"/>
  <c r="I264" i="1" s="1"/>
  <c r="M264" i="1" s="1"/>
  <c r="O264" i="1"/>
  <c r="F265" i="1"/>
  <c r="G265" i="1"/>
  <c r="C266" i="1" s="1"/>
  <c r="D266" i="1" s="1"/>
  <c r="J264" i="1" l="1"/>
  <c r="F266" i="1"/>
  <c r="Q265" i="1"/>
  <c r="I265" i="1" s="1"/>
  <c r="M265" i="1" s="1"/>
  <c r="O265" i="1"/>
  <c r="K265" i="1" l="1"/>
  <c r="J265" i="1" s="1"/>
  <c r="L264" i="1"/>
  <c r="G266" i="1"/>
  <c r="H266" i="1"/>
  <c r="K266" i="1" l="1"/>
  <c r="L265" i="1"/>
  <c r="O266" i="1"/>
  <c r="Q266" i="1"/>
  <c r="I266" i="1" s="1"/>
  <c r="M266" i="1" s="1"/>
  <c r="F267" i="1"/>
  <c r="H267" i="1" s="1"/>
  <c r="C267" i="1"/>
  <c r="D267" i="1" s="1"/>
  <c r="G267" i="1" l="1"/>
  <c r="J266" i="1"/>
  <c r="C268" i="1"/>
  <c r="D268" i="1" s="1"/>
  <c r="K267" i="1" l="1"/>
  <c r="L266" i="1"/>
  <c r="Q267" i="1"/>
  <c r="I267" i="1" s="1"/>
  <c r="M267" i="1" s="1"/>
  <c r="O267" i="1"/>
  <c r="F268" i="1"/>
  <c r="J267" i="1" l="1"/>
  <c r="K268" i="1" s="1"/>
  <c r="L267" i="1"/>
  <c r="H268" i="1"/>
  <c r="G268" i="1"/>
  <c r="O268" i="1" l="1"/>
  <c r="Q268" i="1"/>
  <c r="C269" i="1"/>
  <c r="D269" i="1" s="1"/>
  <c r="F269" i="1" s="1"/>
  <c r="H269" i="1" l="1"/>
  <c r="G269" i="1"/>
  <c r="C270" i="1"/>
  <c r="D270" i="1" s="1"/>
  <c r="J268" i="1"/>
  <c r="I268" i="1"/>
  <c r="M268" i="1" s="1"/>
  <c r="K269" i="1" l="1"/>
  <c r="L268" i="1"/>
  <c r="O269" i="1"/>
  <c r="F270" i="1"/>
  <c r="G270" i="1" s="1"/>
  <c r="Q269" i="1"/>
  <c r="I269" i="1" s="1"/>
  <c r="M269" i="1" s="1"/>
  <c r="J269" i="1" l="1"/>
  <c r="K270" i="1" s="1"/>
  <c r="O270" i="1"/>
  <c r="Q270" i="1"/>
  <c r="I270" i="1" s="1"/>
  <c r="M270" i="1" s="1"/>
  <c r="C271" i="1"/>
  <c r="D271" i="1" s="1"/>
  <c r="H270" i="1"/>
  <c r="L269" i="1" l="1"/>
  <c r="J270" i="1"/>
  <c r="K271" i="1" s="1"/>
  <c r="F271" i="1"/>
  <c r="H271" i="1"/>
  <c r="L270" i="1"/>
  <c r="G271" i="1" l="1"/>
  <c r="Q271" i="1" l="1"/>
  <c r="O271" i="1"/>
  <c r="C272" i="1"/>
  <c r="D272" i="1" s="1"/>
  <c r="F272" i="1" l="1"/>
  <c r="J271" i="1"/>
  <c r="I271" i="1"/>
  <c r="M271" i="1" s="1"/>
  <c r="K272" i="1" l="1"/>
  <c r="L271" i="1"/>
  <c r="H272" i="1"/>
  <c r="G272" i="1"/>
  <c r="Q272" i="1" l="1"/>
  <c r="O272" i="1"/>
  <c r="C273" i="1"/>
  <c r="D273" i="1" s="1"/>
  <c r="F273" i="1" l="1"/>
  <c r="J272" i="1"/>
  <c r="I272" i="1"/>
  <c r="M272" i="1" s="1"/>
  <c r="K273" i="1" l="1"/>
  <c r="L272" i="1"/>
  <c r="G273" i="1"/>
  <c r="H273" i="1"/>
  <c r="O273" i="1" l="1"/>
  <c r="Q273" i="1"/>
  <c r="C274" i="1"/>
  <c r="D274" i="1" s="1"/>
  <c r="F274" i="1" l="1"/>
  <c r="J273" i="1"/>
  <c r="I273" i="1"/>
  <c r="M273" i="1" s="1"/>
  <c r="K274" i="1" l="1"/>
  <c r="L273" i="1"/>
  <c r="G274" i="1"/>
  <c r="H274" i="1"/>
  <c r="O274" i="1" l="1"/>
  <c r="Q274" i="1"/>
  <c r="C275" i="1"/>
  <c r="D275" i="1" s="1"/>
  <c r="J274" i="1" l="1"/>
  <c r="I274" i="1"/>
  <c r="M274" i="1" s="1"/>
  <c r="F275" i="1"/>
  <c r="H275" i="1" l="1"/>
  <c r="G275" i="1"/>
  <c r="K275" i="1"/>
  <c r="L274" i="1"/>
  <c r="Q275" i="1" l="1"/>
  <c r="I275" i="1" s="1"/>
  <c r="M275" i="1" s="1"/>
  <c r="O275" i="1"/>
  <c r="C276" i="1"/>
  <c r="D276" i="1" s="1"/>
  <c r="F276" i="1" l="1"/>
  <c r="J275" i="1"/>
  <c r="K276" i="1" l="1"/>
  <c r="L275" i="1"/>
  <c r="G276" i="1"/>
  <c r="H276" i="1"/>
  <c r="O276" i="1" l="1"/>
  <c r="Q276" i="1"/>
  <c r="I276" i="1" s="1"/>
  <c r="M276" i="1" s="1"/>
  <c r="C277" i="1"/>
  <c r="D277" i="1" s="1"/>
  <c r="J276" i="1" l="1"/>
  <c r="L276" i="1" s="1"/>
  <c r="F277" i="1"/>
  <c r="K277" i="1" l="1"/>
  <c r="G277" i="1"/>
  <c r="H277" i="1"/>
  <c r="O277" i="1" l="1"/>
  <c r="Q277" i="1"/>
  <c r="C278" i="1"/>
  <c r="D278" i="1" s="1"/>
  <c r="I277" i="1" l="1"/>
  <c r="M277" i="1" s="1"/>
  <c r="J277" i="1"/>
  <c r="F278" i="1"/>
  <c r="H278" i="1" l="1"/>
  <c r="G278" i="1"/>
  <c r="K278" i="1"/>
  <c r="L277" i="1"/>
  <c r="O278" i="1" l="1"/>
  <c r="Q278" i="1"/>
  <c r="C279" i="1"/>
  <c r="D279" i="1" s="1"/>
  <c r="I278" i="1" l="1"/>
  <c r="M278" i="1" s="1"/>
  <c r="J278" i="1"/>
  <c r="F279" i="1"/>
  <c r="H279" i="1" l="1"/>
  <c r="G279" i="1"/>
  <c r="K279" i="1"/>
  <c r="L278" i="1"/>
  <c r="Q279" i="1" l="1"/>
  <c r="O279" i="1"/>
  <c r="C280" i="1"/>
  <c r="D280" i="1" s="1"/>
  <c r="F280" i="1" l="1"/>
  <c r="J279" i="1"/>
  <c r="I279" i="1"/>
  <c r="M279" i="1" s="1"/>
  <c r="K280" i="1" l="1"/>
  <c r="L279" i="1"/>
  <c r="H280" i="1"/>
  <c r="G280" i="1"/>
  <c r="O280" i="1" l="1"/>
  <c r="Q280" i="1"/>
  <c r="C281" i="1"/>
  <c r="D281" i="1" s="1"/>
  <c r="J280" i="1" l="1"/>
  <c r="I280" i="1"/>
  <c r="M280" i="1" s="1"/>
  <c r="F281" i="1"/>
  <c r="H281" i="1" l="1"/>
  <c r="G281" i="1"/>
  <c r="K281" i="1"/>
  <c r="L280" i="1"/>
  <c r="O281" i="1" l="1"/>
  <c r="Q281" i="1"/>
  <c r="C282" i="1"/>
  <c r="D282" i="1" s="1"/>
  <c r="F282" i="1" l="1"/>
  <c r="I281" i="1"/>
  <c r="M281" i="1" s="1"/>
  <c r="J281" i="1"/>
  <c r="K282" i="1" l="1"/>
  <c r="L281" i="1"/>
  <c r="H282" i="1"/>
  <c r="G282" i="1"/>
  <c r="O282" i="1" l="1"/>
  <c r="Q282" i="1"/>
  <c r="C283" i="1"/>
  <c r="D283" i="1" s="1"/>
  <c r="J282" i="1" l="1"/>
  <c r="I282" i="1"/>
  <c r="M282" i="1" s="1"/>
  <c r="F283" i="1"/>
  <c r="G283" i="1" l="1"/>
  <c r="H283" i="1"/>
  <c r="K283" i="1"/>
  <c r="L282" i="1"/>
  <c r="Q283" i="1" l="1"/>
  <c r="O283" i="1"/>
  <c r="C284" i="1"/>
  <c r="D284" i="1" s="1"/>
  <c r="F284" i="1" s="1"/>
  <c r="H284" i="1" l="1"/>
  <c r="G284" i="1"/>
  <c r="C285" i="1"/>
  <c r="D285" i="1" s="1"/>
  <c r="I283" i="1"/>
  <c r="M283" i="1" s="1"/>
  <c r="J283" i="1"/>
  <c r="K284" i="1" l="1"/>
  <c r="L283" i="1"/>
  <c r="O284" i="1"/>
  <c r="Q284" i="1"/>
  <c r="I284" i="1" s="1"/>
  <c r="M284" i="1" s="1"/>
  <c r="G285" i="1"/>
  <c r="F285" i="1"/>
  <c r="H285" i="1"/>
  <c r="J284" i="1" l="1"/>
  <c r="K285" i="1" s="1"/>
  <c r="Q285" i="1"/>
  <c r="I285" i="1" s="1"/>
  <c r="M285" i="1" s="1"/>
  <c r="O285" i="1"/>
  <c r="C286" i="1"/>
  <c r="D286" i="1" s="1"/>
  <c r="L284" i="1" l="1"/>
  <c r="J285" i="1"/>
  <c r="F286" i="1"/>
  <c r="H286" i="1" l="1"/>
  <c r="G286" i="1"/>
  <c r="K286" i="1"/>
  <c r="L285" i="1"/>
  <c r="Q286" i="1" l="1"/>
  <c r="O286" i="1"/>
  <c r="C287" i="1"/>
  <c r="D287" i="1" s="1"/>
  <c r="F287" i="1" l="1"/>
  <c r="I286" i="1"/>
  <c r="M286" i="1" s="1"/>
  <c r="J286" i="1"/>
  <c r="K287" i="1" l="1"/>
  <c r="L286" i="1"/>
  <c r="H287" i="1"/>
  <c r="G287" i="1"/>
  <c r="Q287" i="1" l="1"/>
  <c r="O287" i="1"/>
  <c r="C288" i="1"/>
  <c r="D288" i="1" s="1"/>
  <c r="J287" i="1" l="1"/>
  <c r="I287" i="1"/>
  <c r="M287" i="1" s="1"/>
  <c r="F288" i="1"/>
  <c r="G288" i="1" l="1"/>
  <c r="H288" i="1"/>
  <c r="K288" i="1"/>
  <c r="L287" i="1"/>
  <c r="O288" i="1" l="1"/>
  <c r="Q288" i="1"/>
  <c r="I288" i="1" s="1"/>
  <c r="M288" i="1" s="1"/>
  <c r="C289" i="1"/>
  <c r="D289" i="1" s="1"/>
  <c r="F289" i="1" l="1"/>
  <c r="J288" i="1"/>
  <c r="H289" i="1" l="1"/>
  <c r="G289" i="1"/>
  <c r="K289" i="1"/>
  <c r="L288" i="1"/>
  <c r="Q289" i="1" l="1"/>
  <c r="O289" i="1"/>
  <c r="C290" i="1"/>
  <c r="D290" i="1" s="1"/>
  <c r="I289" i="1" l="1"/>
  <c r="M289" i="1" s="1"/>
  <c r="J289" i="1"/>
  <c r="F290" i="1"/>
  <c r="K290" i="1" l="1"/>
  <c r="L289" i="1"/>
  <c r="G290" i="1"/>
  <c r="H290" i="1"/>
  <c r="O290" i="1" l="1"/>
  <c r="Q290" i="1"/>
  <c r="C291" i="1"/>
  <c r="D291" i="1" s="1"/>
  <c r="F291" i="1" s="1"/>
  <c r="H291" i="1" l="1"/>
  <c r="G291" i="1"/>
  <c r="C292" i="1"/>
  <c r="D292" i="1" s="1"/>
  <c r="J290" i="1"/>
  <c r="I290" i="1"/>
  <c r="M290" i="1" s="1"/>
  <c r="K291" i="1" l="1"/>
  <c r="L290" i="1"/>
  <c r="Q291" i="1"/>
  <c r="I291" i="1" s="1"/>
  <c r="M291" i="1" s="1"/>
  <c r="F292" i="1"/>
  <c r="H292" i="1" s="1"/>
  <c r="O291" i="1"/>
  <c r="G292" i="1" l="1"/>
  <c r="J291" i="1"/>
  <c r="K292" i="1" l="1"/>
  <c r="L291" i="1"/>
  <c r="O292" i="1"/>
  <c r="Q292" i="1"/>
  <c r="I292" i="1" s="1"/>
  <c r="M292" i="1" s="1"/>
  <c r="C293" i="1"/>
  <c r="D293" i="1" s="1"/>
  <c r="F293" i="1" s="1"/>
  <c r="H293" i="1" l="1"/>
  <c r="G293" i="1"/>
  <c r="J292" i="1"/>
  <c r="C294" i="1"/>
  <c r="D294" i="1" s="1"/>
  <c r="K293" i="1" l="1"/>
  <c r="L292" i="1"/>
  <c r="Q293" i="1"/>
  <c r="I293" i="1" s="1"/>
  <c r="M293" i="1" s="1"/>
  <c r="O293" i="1"/>
  <c r="G294" i="1"/>
  <c r="F294" i="1"/>
  <c r="H294" i="1"/>
  <c r="Q294" i="1" l="1"/>
  <c r="I294" i="1" s="1"/>
  <c r="M294" i="1" s="1"/>
  <c r="O294" i="1"/>
  <c r="C295" i="1"/>
  <c r="D295" i="1" s="1"/>
  <c r="J293" i="1"/>
  <c r="K294" i="1" l="1"/>
  <c r="J294" i="1"/>
  <c r="L293" i="1"/>
  <c r="F295" i="1"/>
  <c r="G295" i="1" l="1"/>
  <c r="H295" i="1"/>
  <c r="K295" i="1"/>
  <c r="L294" i="1"/>
  <c r="Q295" i="1" l="1"/>
  <c r="I295" i="1" s="1"/>
  <c r="M295" i="1" s="1"/>
  <c r="O295" i="1"/>
  <c r="C296" i="1"/>
  <c r="D296" i="1" s="1"/>
  <c r="F296" i="1" s="1"/>
  <c r="H296" i="1" l="1"/>
  <c r="G296" i="1"/>
  <c r="C297" i="1"/>
  <c r="D297" i="1" s="1"/>
  <c r="J295" i="1"/>
  <c r="K296" i="1" l="1"/>
  <c r="L295" i="1"/>
  <c r="Q296" i="1"/>
  <c r="I296" i="1" s="1"/>
  <c r="M296" i="1" s="1"/>
  <c r="O296" i="1"/>
  <c r="F297" i="1"/>
  <c r="H297" i="1"/>
  <c r="J296" i="1" l="1"/>
  <c r="G297" i="1"/>
  <c r="Q297" i="1" l="1"/>
  <c r="I297" i="1" s="1"/>
  <c r="M297" i="1" s="1"/>
  <c r="O297" i="1"/>
  <c r="C298" i="1"/>
  <c r="D298" i="1" s="1"/>
  <c r="K297" i="1"/>
  <c r="J297" i="1" s="1"/>
  <c r="L296" i="1"/>
  <c r="K298" i="1" l="1"/>
  <c r="L297" i="1"/>
  <c r="F298" i="1"/>
  <c r="H298" i="1" l="1"/>
  <c r="G298" i="1"/>
  <c r="Q298" i="1" l="1"/>
  <c r="O298" i="1"/>
  <c r="C299" i="1"/>
  <c r="D299" i="1" s="1"/>
  <c r="I298" i="1" l="1"/>
  <c r="M298" i="1" s="1"/>
  <c r="J298" i="1"/>
  <c r="F299" i="1"/>
  <c r="K299" i="1" l="1"/>
  <c r="L298" i="1"/>
  <c r="H299" i="1"/>
  <c r="G299" i="1"/>
  <c r="Q299" i="1" l="1"/>
  <c r="O299" i="1"/>
  <c r="C300" i="1"/>
  <c r="D300" i="1" s="1"/>
  <c r="J299" i="1" l="1"/>
  <c r="I299" i="1"/>
  <c r="M299" i="1" s="1"/>
  <c r="F300" i="1"/>
  <c r="G300" i="1" l="1"/>
  <c r="H300" i="1"/>
  <c r="K300" i="1"/>
  <c r="L299" i="1"/>
  <c r="Q300" i="1" l="1"/>
  <c r="I300" i="1" s="1"/>
  <c r="M300" i="1" s="1"/>
  <c r="O300" i="1"/>
  <c r="C301" i="1"/>
  <c r="D301" i="1" s="1"/>
  <c r="F301" i="1" l="1"/>
  <c r="J300" i="1"/>
  <c r="K301" i="1" l="1"/>
  <c r="L300" i="1"/>
  <c r="H301" i="1"/>
  <c r="G301" i="1"/>
  <c r="Q301" i="1" l="1"/>
  <c r="I301" i="1" s="1"/>
  <c r="M301" i="1" s="1"/>
  <c r="O301" i="1"/>
  <c r="C302" i="1"/>
  <c r="D302" i="1" s="1"/>
  <c r="F302" i="1" l="1"/>
  <c r="J301" i="1"/>
  <c r="K302" i="1" l="1"/>
  <c r="L301" i="1"/>
  <c r="H302" i="1"/>
  <c r="G302" i="1"/>
  <c r="O302" i="1" l="1"/>
  <c r="Q302" i="1"/>
  <c r="C303" i="1"/>
  <c r="D303" i="1" s="1"/>
  <c r="J302" i="1" l="1"/>
  <c r="I302" i="1"/>
  <c r="M302" i="1" s="1"/>
  <c r="F303" i="1"/>
  <c r="H303" i="1" l="1"/>
  <c r="G303" i="1"/>
  <c r="K303" i="1"/>
  <c r="L302" i="1"/>
  <c r="Q303" i="1" l="1"/>
  <c r="O303" i="1"/>
  <c r="C304" i="1"/>
  <c r="D304" i="1" s="1"/>
  <c r="I303" i="1" l="1"/>
  <c r="M303" i="1" s="1"/>
  <c r="J303" i="1"/>
  <c r="F304" i="1"/>
  <c r="G304" i="1" l="1"/>
  <c r="H304" i="1"/>
  <c r="K304" i="1"/>
  <c r="L303" i="1"/>
  <c r="Q304" i="1" l="1"/>
  <c r="O304" i="1"/>
  <c r="C305" i="1"/>
  <c r="D305" i="1" s="1"/>
  <c r="F305" i="1" l="1"/>
  <c r="I304" i="1"/>
  <c r="M304" i="1" s="1"/>
  <c r="J304" i="1"/>
  <c r="K305" i="1" l="1"/>
  <c r="L304" i="1"/>
  <c r="H305" i="1"/>
  <c r="G305" i="1"/>
  <c r="Q305" i="1" l="1"/>
  <c r="I305" i="1" s="1"/>
  <c r="M305" i="1" s="1"/>
  <c r="O305" i="1"/>
  <c r="C306" i="1"/>
  <c r="D306" i="1" s="1"/>
  <c r="F306" i="1" s="1"/>
  <c r="G306" i="1" l="1"/>
  <c r="H306" i="1"/>
  <c r="C307" i="1"/>
  <c r="D307" i="1" s="1"/>
  <c r="J305" i="1"/>
  <c r="K306" i="1" l="1"/>
  <c r="L305" i="1"/>
  <c r="F307" i="1"/>
  <c r="O306" i="1"/>
  <c r="Q306" i="1"/>
  <c r="I306" i="1" s="1"/>
  <c r="M306" i="1" s="1"/>
  <c r="J306" i="1" l="1"/>
  <c r="L306" i="1" s="1"/>
  <c r="H307" i="1"/>
  <c r="K307" i="1"/>
  <c r="G307" i="1"/>
  <c r="Q307" i="1" l="1"/>
  <c r="O307" i="1"/>
  <c r="C308" i="1"/>
  <c r="D308" i="1" s="1"/>
  <c r="I307" i="1" l="1"/>
  <c r="M307" i="1" s="1"/>
  <c r="J307" i="1"/>
  <c r="F308" i="1"/>
  <c r="K308" i="1" l="1"/>
  <c r="L307" i="1"/>
  <c r="G308" i="1"/>
  <c r="H308" i="1"/>
  <c r="Q308" i="1" l="1"/>
  <c r="I308" i="1" s="1"/>
  <c r="M308" i="1" s="1"/>
  <c r="O308" i="1"/>
  <c r="C309" i="1"/>
  <c r="D309" i="1" s="1"/>
  <c r="F309" i="1" l="1"/>
  <c r="J308" i="1"/>
  <c r="K309" i="1" l="1"/>
  <c r="L308" i="1"/>
  <c r="H309" i="1"/>
  <c r="G309" i="1"/>
  <c r="Q309" i="1" l="1"/>
  <c r="I309" i="1" s="1"/>
  <c r="M309" i="1" s="1"/>
  <c r="O309" i="1"/>
  <c r="C310" i="1"/>
  <c r="D310" i="1" s="1"/>
  <c r="F310" i="1" l="1"/>
  <c r="J309" i="1"/>
  <c r="K310" i="1" l="1"/>
  <c r="L309" i="1"/>
  <c r="G310" i="1"/>
  <c r="H310" i="1"/>
  <c r="Q310" i="1" l="1"/>
  <c r="O310" i="1"/>
  <c r="C311" i="1"/>
  <c r="D311" i="1" s="1"/>
  <c r="J310" i="1" l="1"/>
  <c r="I310" i="1"/>
  <c r="M310" i="1" s="1"/>
  <c r="F311" i="1"/>
  <c r="H311" i="1" l="1"/>
  <c r="G311" i="1"/>
  <c r="K311" i="1"/>
  <c r="L310" i="1"/>
  <c r="O311" i="1" l="1"/>
  <c r="Q311" i="1"/>
  <c r="C312" i="1"/>
  <c r="D312" i="1" s="1"/>
  <c r="F312" i="1" s="1"/>
  <c r="G312" i="1" l="1"/>
  <c r="H312" i="1"/>
  <c r="I311" i="1"/>
  <c r="M311" i="1" s="1"/>
  <c r="J311" i="1"/>
  <c r="C313" i="1"/>
  <c r="D313" i="1" s="1"/>
  <c r="K312" i="1" l="1"/>
  <c r="L311" i="1"/>
  <c r="Q312" i="1"/>
  <c r="I312" i="1" s="1"/>
  <c r="M312" i="1" s="1"/>
  <c r="O312" i="1"/>
  <c r="F313" i="1"/>
  <c r="J312" i="1" l="1"/>
  <c r="H313" i="1"/>
  <c r="G313" i="1"/>
  <c r="Q313" i="1" l="1"/>
  <c r="I313" i="1" s="1"/>
  <c r="M313" i="1" s="1"/>
  <c r="O313" i="1"/>
  <c r="C314" i="1"/>
  <c r="D314" i="1" s="1"/>
  <c r="F314" i="1" s="1"/>
  <c r="K313" i="1"/>
  <c r="L312" i="1"/>
  <c r="J313" i="1" l="1"/>
  <c r="K314" i="1" s="1"/>
  <c r="H314" i="1"/>
  <c r="G314" i="1"/>
  <c r="C315" i="1"/>
  <c r="D315" i="1" s="1"/>
  <c r="L313" i="1" l="1"/>
  <c r="F315" i="1"/>
  <c r="H315" i="1" s="1"/>
  <c r="Q314" i="1"/>
  <c r="I314" i="1" s="1"/>
  <c r="M314" i="1" s="1"/>
  <c r="O314" i="1"/>
  <c r="J314" i="1" l="1"/>
  <c r="G315" i="1"/>
  <c r="K315" i="1" l="1"/>
  <c r="L314" i="1"/>
  <c r="Q315" i="1"/>
  <c r="I315" i="1" s="1"/>
  <c r="M315" i="1" s="1"/>
  <c r="O315" i="1"/>
  <c r="C316" i="1"/>
  <c r="D316" i="1" s="1"/>
  <c r="F316" i="1" s="1"/>
  <c r="H316" i="1" l="1"/>
  <c r="G316" i="1"/>
  <c r="J315" i="1"/>
  <c r="C317" i="1"/>
  <c r="D317" i="1" s="1"/>
  <c r="K316" i="1" l="1"/>
  <c r="L315" i="1"/>
  <c r="Q316" i="1"/>
  <c r="I316" i="1" s="1"/>
  <c r="M316" i="1" s="1"/>
  <c r="O316" i="1"/>
  <c r="F317" i="1"/>
  <c r="G317" i="1" s="1"/>
  <c r="Q317" i="1" l="1"/>
  <c r="O317" i="1"/>
  <c r="C318" i="1"/>
  <c r="D318" i="1" s="1"/>
  <c r="J316" i="1"/>
  <c r="H317" i="1"/>
  <c r="I317" i="1"/>
  <c r="M317" i="1" s="1"/>
  <c r="F318" i="1" l="1"/>
  <c r="K317" i="1"/>
  <c r="J317" i="1" s="1"/>
  <c r="L316" i="1"/>
  <c r="K318" i="1" l="1"/>
  <c r="L317" i="1"/>
  <c r="G318" i="1"/>
  <c r="H318" i="1"/>
  <c r="Q318" i="1" l="1"/>
  <c r="O318" i="1"/>
  <c r="C319" i="1"/>
  <c r="D319" i="1" s="1"/>
  <c r="J318" i="1" l="1"/>
  <c r="I318" i="1"/>
  <c r="M318" i="1" s="1"/>
  <c r="F319" i="1"/>
  <c r="H319" i="1" l="1"/>
  <c r="G319" i="1"/>
  <c r="K319" i="1"/>
  <c r="L318" i="1"/>
  <c r="Q319" i="1" l="1"/>
  <c r="O319" i="1"/>
  <c r="C320" i="1"/>
  <c r="D320" i="1" s="1"/>
  <c r="I319" i="1" l="1"/>
  <c r="M319" i="1" s="1"/>
  <c r="J319" i="1"/>
  <c r="F320" i="1"/>
  <c r="H320" i="1" l="1"/>
  <c r="G320" i="1"/>
  <c r="K320" i="1"/>
  <c r="L319" i="1"/>
  <c r="Q320" i="1" l="1"/>
  <c r="O320" i="1"/>
  <c r="C321" i="1"/>
  <c r="D321" i="1" s="1"/>
  <c r="F321" i="1" s="1"/>
  <c r="H321" i="1" l="1"/>
  <c r="G321" i="1"/>
  <c r="I320" i="1"/>
  <c r="M320" i="1" s="1"/>
  <c r="J320" i="1"/>
  <c r="C322" i="1"/>
  <c r="D322" i="1" s="1"/>
  <c r="K321" i="1" l="1"/>
  <c r="L320" i="1"/>
  <c r="Q321" i="1"/>
  <c r="I321" i="1" s="1"/>
  <c r="M321" i="1" s="1"/>
  <c r="O321" i="1"/>
  <c r="F322" i="1"/>
  <c r="J321" i="1" l="1"/>
  <c r="L321" i="1" s="1"/>
  <c r="G322" i="1"/>
  <c r="H322" i="1"/>
  <c r="K322" i="1" l="1"/>
  <c r="O322" i="1"/>
  <c r="Q322" i="1"/>
  <c r="C323" i="1"/>
  <c r="D323" i="1" s="1"/>
  <c r="I322" i="1" l="1"/>
  <c r="M322" i="1" s="1"/>
  <c r="J322" i="1"/>
  <c r="F323" i="1"/>
  <c r="G323" i="1" l="1"/>
  <c r="H323" i="1"/>
  <c r="K323" i="1"/>
  <c r="L322" i="1"/>
  <c r="Q323" i="1" l="1"/>
  <c r="O323" i="1"/>
  <c r="C324" i="1"/>
  <c r="D324" i="1" s="1"/>
  <c r="I323" i="1" l="1"/>
  <c r="M323" i="1" s="1"/>
  <c r="J323" i="1"/>
  <c r="F324" i="1"/>
  <c r="H324" i="1" l="1"/>
  <c r="G324" i="1"/>
  <c r="K324" i="1"/>
  <c r="L323" i="1"/>
  <c r="Q324" i="1" l="1"/>
  <c r="I324" i="1" s="1"/>
  <c r="M324" i="1" s="1"/>
  <c r="O324" i="1"/>
  <c r="C325" i="1"/>
  <c r="D325" i="1" s="1"/>
  <c r="F325" i="1" l="1"/>
  <c r="J324" i="1"/>
  <c r="K325" i="1" l="1"/>
  <c r="L324" i="1"/>
  <c r="G325" i="1"/>
  <c r="H325" i="1"/>
  <c r="Q325" i="1" l="1"/>
  <c r="I325" i="1" s="1"/>
  <c r="M325" i="1" s="1"/>
  <c r="O325" i="1"/>
  <c r="C326" i="1"/>
  <c r="D326" i="1" s="1"/>
  <c r="F326" i="1" l="1"/>
  <c r="J325" i="1"/>
  <c r="G326" i="1" l="1"/>
  <c r="H326" i="1"/>
  <c r="K326" i="1"/>
  <c r="L325" i="1"/>
  <c r="Q326" i="1" l="1"/>
  <c r="O326" i="1"/>
  <c r="C327" i="1"/>
  <c r="D327" i="1" s="1"/>
  <c r="I326" i="1" l="1"/>
  <c r="M326" i="1" s="1"/>
  <c r="J326" i="1"/>
  <c r="F327" i="1"/>
  <c r="H327" i="1" l="1"/>
  <c r="G327" i="1"/>
  <c r="K327" i="1"/>
  <c r="L326" i="1"/>
  <c r="O327" i="1" l="1"/>
  <c r="Q327" i="1"/>
  <c r="C328" i="1"/>
  <c r="D328" i="1" s="1"/>
  <c r="I327" i="1" l="1"/>
  <c r="M327" i="1" s="1"/>
  <c r="J327" i="1"/>
  <c r="F328" i="1"/>
  <c r="G328" i="1" l="1"/>
  <c r="H328" i="1"/>
  <c r="K328" i="1"/>
  <c r="L327" i="1"/>
  <c r="Q328" i="1" l="1"/>
  <c r="O328" i="1"/>
  <c r="C329" i="1"/>
  <c r="D329" i="1" s="1"/>
  <c r="F329" i="1" l="1"/>
  <c r="I328" i="1"/>
  <c r="M328" i="1" s="1"/>
  <c r="J328" i="1"/>
  <c r="K329" i="1" l="1"/>
  <c r="L328" i="1"/>
  <c r="H329" i="1"/>
  <c r="G329" i="1"/>
  <c r="Q329" i="1" l="1"/>
  <c r="I329" i="1" s="1"/>
  <c r="M329" i="1" s="1"/>
  <c r="O329" i="1"/>
  <c r="C330" i="1"/>
  <c r="D330" i="1" s="1"/>
  <c r="F330" i="1" l="1"/>
  <c r="J329" i="1"/>
  <c r="K330" i="1" l="1"/>
  <c r="L329" i="1"/>
  <c r="G330" i="1"/>
  <c r="H330" i="1"/>
  <c r="O330" i="1" l="1"/>
  <c r="Q330" i="1"/>
  <c r="C331" i="1"/>
  <c r="D331" i="1" s="1"/>
  <c r="J330" i="1" l="1"/>
  <c r="I330" i="1"/>
  <c r="M330" i="1" s="1"/>
  <c r="F331" i="1"/>
  <c r="H331" i="1" l="1"/>
  <c r="G331" i="1"/>
  <c r="K331" i="1"/>
  <c r="L330" i="1"/>
  <c r="Q331" i="1" l="1"/>
  <c r="I331" i="1" s="1"/>
  <c r="M331" i="1" s="1"/>
  <c r="O331" i="1"/>
  <c r="C332" i="1"/>
  <c r="D332" i="1" s="1"/>
  <c r="F332" i="1" s="1"/>
  <c r="G332" i="1" l="1"/>
  <c r="H332" i="1"/>
  <c r="J331" i="1"/>
  <c r="K332" i="1" l="1"/>
  <c r="L331" i="1"/>
  <c r="Q332" i="1"/>
  <c r="I332" i="1" s="1"/>
  <c r="M332" i="1" s="1"/>
  <c r="O332" i="1"/>
  <c r="J332" i="1" l="1"/>
  <c r="L332" i="1" s="1"/>
</calcChain>
</file>

<file path=xl/sharedStrings.xml><?xml version="1.0" encoding="utf-8"?>
<sst xmlns="http://schemas.openxmlformats.org/spreadsheetml/2006/main" count="4194" uniqueCount="555">
  <si>
    <t>Month</t>
  </si>
  <si>
    <t>Participation
Rate</t>
  </si>
  <si>
    <t>New Employees
Added</t>
  </si>
  <si>
    <t>Cumulative
Employees</t>
  </si>
  <si>
    <t>Credits per
Employee</t>
  </si>
  <si>
    <t>Credits Minted
(Month)</t>
  </si>
  <si>
    <t>Total System
Credits</t>
  </si>
  <si>
    <t>Treasury
Wallet ($)</t>
  </si>
  <si>
    <t>Admin Wallet
($)</t>
  </si>
  <si>
    <t>Escrow
Wallet ($)</t>
  </si>
  <si>
    <t>Interest
Earned ($)</t>
  </si>
  <si>
    <t>Cash / Credit
Reserve</t>
  </si>
  <si>
    <t>Admin Profit per credit accepted</t>
  </si>
  <si>
    <t>Capacity
Growth</t>
  </si>
  <si>
    <t>Total Liability ($)</t>
  </si>
  <si>
    <t>Credits
Burned</t>
  </si>
  <si>
    <t>Escrow→Admin
Transfer ($)</t>
  </si>
  <si>
    <t>Raise | Financial Model</t>
  </si>
  <si>
    <t>EDITABLE ASSUMPTIONS</t>
  </si>
  <si>
    <t>CAPACITY GROWTH PER MONTH (by year)</t>
  </si>
  <si>
    <t>Credits per Employee / Month (max 5,000)</t>
  </si>
  <si>
    <t>Year</t>
  </si>
  <si>
    <t>Monthly Growth</t>
  </si>
  <si>
    <t>Treasury % (of $1.00 per credit)</t>
  </si>
  <si>
    <t>Year 1</t>
  </si>
  <si>
    <t>Admin Fee per Credit (%)</t>
  </si>
  <si>
    <t>Year 2</t>
  </si>
  <si>
    <t>Escrow % (of $1.00 per credit)</t>
  </si>
  <si>
    <t>Year 3</t>
  </si>
  <si>
    <t>Annual Interest Rate (Escrow)</t>
  </si>
  <si>
    <t>Year 4</t>
  </si>
  <si>
    <t>System Credit Capacity (Month 1)</t>
  </si>
  <si>
    <t>Year 5</t>
  </si>
  <si>
    <t>System Credit Ceiling (max total credits)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</si>
  <si>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</si>
  <si>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</si>
  <si>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</si>
  <si>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</si>
  <si>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</si>
  <si>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</si>
  <si>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</si>
  <si>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</si>
  <si>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</si>
  <si>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</si>
  <si>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</si>
  <si>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</si>
  <si>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</si>
  <si>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</si>
  <si>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</si>
  <si>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</si>
  <si>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</si>
  <si>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</si>
  <si>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</si>
  <si>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</si>
  <si>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Wind-Down Analysis — RAISE Financial Model</t>
  </si>
  <si>
    <t>Phase 1 ends Month 301 | E=2,000 credits/employee/mo | P=0 (no burns)</t>
  </si>
  <si>
    <t>Phase 1 End State</t>
  </si>
  <si>
    <t>Metric</t>
  </si>
  <si>
    <t>Value</t>
  </si>
  <si>
    <t>Stop Month</t>
  </si>
  <si>
    <t>Total System Credits (G)</t>
  </si>
  <si>
    <t>Escrow Wallet (J)</t>
  </si>
  <si>
    <t>Cash/Credit Reserve (L = J/2G)</t>
  </si>
  <si>
    <t>Monthly Interest @ 4%/yr</t>
  </si>
  <si>
    <t>Wind-Down Scenarios</t>
  </si>
  <si>
    <t>Scenario</t>
  </si>
  <si>
    <t>L Min
Required</t>
  </si>
  <si>
    <t>Phase 2
(Accumulation)</t>
  </si>
  <si>
    <t>Phase 3
(Burn Period)</t>
  </si>
  <si>
    <t>J at Phase 3
Start</t>
  </si>
  <si>
    <t>L at Phase 3
Start</t>
  </si>
  <si>
    <t>Total
Duration</t>
  </si>
  <si>
    <t>Monthly
Payout (Ph3)</t>
  </si>
  <si>
    <t>5-Year</t>
  </si>
  <si>
    <t>520 mo (43.3 yr)</t>
  </si>
  <si>
    <t>60 mo (5 yr)</t>
  </si>
  <si>
    <t>881 mo (73.4 yr)</t>
  </si>
  <si>
    <t>7-Year</t>
  </si>
  <si>
    <t>508 mo (42.3 yr)</t>
  </si>
  <si>
    <t>84 mo (7 yr)</t>
  </si>
  <si>
    <t>893 mo (74.4 yr)</t>
  </si>
  <si>
    <t>10-Year</t>
  </si>
  <si>
    <t>491 mo (40.9 yr)</t>
  </si>
  <si>
    <t>120 mo (10 yr)</t>
  </si>
  <si>
    <t>912 mo (76.0 yr)</t>
  </si>
  <si>
    <t>12-Year</t>
  </si>
  <si>
    <t>480 mo (40.0 yr)</t>
  </si>
  <si>
    <t>144 mo (12 yr)</t>
  </si>
  <si>
    <t>925 mo (77.1 yr)</t>
  </si>
  <si>
    <t>15-Year</t>
  </si>
  <si>
    <t>464 mo (38.7 yr)</t>
  </si>
  <si>
    <t>180 mo (15 yr)</t>
  </si>
  <si>
    <t>945 mo (78.8 yr)</t>
  </si>
  <si>
    <t>Notes</t>
  </si>
  <si>
    <t>• Phase 1: Normal operations, P=0 (no burns). Stops when J peaks.</t>
  </si>
  <si>
    <t>• Phase 2: Minting stops. G frozen. J compounds at 4%/yr. No admin fees, no Q transfers.</t>
  </si>
  <si>
    <t>• Phase 3: Constant burns at $2/credit. Rate = Total Credits / Wind-Down Months.</t>
  </si>
  <si>
    <t>• L_min = (1 − e^(−r·T)) / (r·T) — ensures J and G reach zero simultaneously.</t>
  </si>
  <si>
    <t>• See "Phase 2 - Accumulation" and "Phase 3 - Wind-Down" sheets for month-by-month detail.</t>
  </si>
  <si>
    <t>Phase 2 — Escrow Accumulation (Minting Stopped)</t>
  </si>
  <si>
    <t>G frozen at 451.295B credits | J compounds at 4%/yr monthly | No admin fees, no Q transfers</t>
  </si>
  <si>
    <t>Month
(Phase 2)</t>
  </si>
  <si>
    <t>Escrow (J)
All Scenarios</t>
  </si>
  <si>
    <t>G (frozen)</t>
  </si>
  <si>
    <t>5-Year
L (J/2G)</t>
  </si>
  <si>
    <t>Reached
L_min?</t>
  </si>
  <si>
    <t>7-Year
L (J/2G)</t>
  </si>
  <si>
    <t>10-Year
L (J/2G)</t>
  </si>
  <si>
    <t>12-Year
L (J/2G)</t>
  </si>
  <si>
    <t>15-Year
L (J/2G)</t>
  </si>
  <si>
    <t>START</t>
  </si>
  <si>
    <t>&lt; target</t>
  </si>
  <si>
    <t>✓ REACHED</t>
  </si>
  <si>
    <t>Phase 3 — Credit Burn Wind-Down ($2.00 per credit burned)</t>
  </si>
  <si>
    <t>Each scenario burns G / T3 credits per month. J and G reach zero simultaneously.</t>
  </si>
  <si>
    <t>Month
(Phase 3)</t>
  </si>
  <si>
    <t>5-Year Wind-Down
(Burns/mo: 7521.6M credits)</t>
  </si>
  <si>
    <t>7-Year Wind-Down
(Burns/mo: 5372.6M credits)</t>
  </si>
  <si>
    <t>10-Year Wind-Down
(Burns/mo: 3760.8M credits)</t>
  </si>
  <si>
    <t>12-Year Wind-Down
(Burns/mo: 3134.0M credits)</t>
  </si>
  <si>
    <t>15-Year Wind-Down
(Burns/mo: 2507.2M credits)</t>
  </si>
  <si>
    <t>Credits
Remaining (G)</t>
  </si>
  <si>
    <t>Escrow (J)</t>
  </si>
  <si>
    <t>L = J/2G</t>
  </si>
  <si>
    <t>Monthly
Payout ($)</t>
  </si>
  <si>
    <t>Status</t>
  </si>
  <si>
    <t>Start</t>
  </si>
  <si>
    <t>Phase 3 Start</t>
  </si>
  <si>
    <t>Yr 0.1</t>
  </si>
  <si>
    <t>2% done</t>
  </si>
  <si>
    <t>1% done</t>
  </si>
  <si>
    <t>Yr 0.2</t>
  </si>
  <si>
    <t>3% done</t>
  </si>
  <si>
    <t>5% done</t>
  </si>
  <si>
    <t>4% done</t>
  </si>
  <si>
    <t>Yr 0.3</t>
  </si>
  <si>
    <t>7% done</t>
  </si>
  <si>
    <t>Yr 0.4</t>
  </si>
  <si>
    <t>8% done</t>
  </si>
  <si>
    <t>6% done</t>
  </si>
  <si>
    <t>Yr 0.5</t>
  </si>
  <si>
    <t>10% done</t>
  </si>
  <si>
    <t>Yr 0.6</t>
  </si>
  <si>
    <t>12% done</t>
  </si>
  <si>
    <t>Yr 0.7</t>
  </si>
  <si>
    <t>13% done</t>
  </si>
  <si>
    <t>Yr 0.8</t>
  </si>
  <si>
    <t>15% done</t>
  </si>
  <si>
    <t>11% done</t>
  </si>
  <si>
    <t>17% done</t>
  </si>
  <si>
    <t>Yr 0.9</t>
  </si>
  <si>
    <t>18% done</t>
  </si>
  <si>
    <t>9% done</t>
  </si>
  <si>
    <t>Yr 1.0</t>
  </si>
  <si>
    <t>20% done</t>
  </si>
  <si>
    <t>14% done</t>
  </si>
  <si>
    <t>Yr 1.1</t>
  </si>
  <si>
    <t>22% done</t>
  </si>
  <si>
    <t>Yr 1.2</t>
  </si>
  <si>
    <t>23% done</t>
  </si>
  <si>
    <t>25% done</t>
  </si>
  <si>
    <t>Yr 1.3</t>
  </si>
  <si>
    <t>27% done</t>
  </si>
  <si>
    <t>19% done</t>
  </si>
  <si>
    <t>Yr 1.4</t>
  </si>
  <si>
    <t>28% done</t>
  </si>
  <si>
    <t>Yr 1.5</t>
  </si>
  <si>
    <t>30% done</t>
  </si>
  <si>
    <t>21% done</t>
  </si>
  <si>
    <t>Yr 1.6</t>
  </si>
  <si>
    <t>32% done</t>
  </si>
  <si>
    <t>16% done</t>
  </si>
  <si>
    <t>Yr 1.7</t>
  </si>
  <si>
    <t>33% done</t>
  </si>
  <si>
    <t>24% done</t>
  </si>
  <si>
    <t>Yr 1.8</t>
  </si>
  <si>
    <t>35% done</t>
  </si>
  <si>
    <t>37% done</t>
  </si>
  <si>
    <t>26% done</t>
  </si>
  <si>
    <t>Yr 1.9</t>
  </si>
  <si>
    <t>38% done</t>
  </si>
  <si>
    <t>Yr 2.0</t>
  </si>
  <si>
    <t>40% done</t>
  </si>
  <si>
    <t>29% done</t>
  </si>
  <si>
    <t>Yr 2.1</t>
  </si>
  <si>
    <t>42% done</t>
  </si>
  <si>
    <t>Yr 2.2</t>
  </si>
  <si>
    <t>43% done</t>
  </si>
  <si>
    <t>31% done</t>
  </si>
  <si>
    <t>45% done</t>
  </si>
  <si>
    <t>Yr 2.3</t>
  </si>
  <si>
    <t>47% done</t>
  </si>
  <si>
    <t>Yr 2.4</t>
  </si>
  <si>
    <t>48% done</t>
  </si>
  <si>
    <t>Yr 2.5</t>
  </si>
  <si>
    <t>50% done</t>
  </si>
  <si>
    <t>36% done</t>
  </si>
  <si>
    <t>Yr 2.6</t>
  </si>
  <si>
    <t>52% done</t>
  </si>
  <si>
    <t>Yr 2.7</t>
  </si>
  <si>
    <t>53% done</t>
  </si>
  <si>
    <t>Yr 2.8</t>
  </si>
  <si>
    <t>55% done</t>
  </si>
  <si>
    <t>39% done</t>
  </si>
  <si>
    <t>57% done</t>
  </si>
  <si>
    <t>Yr 2.9</t>
  </si>
  <si>
    <t>58% done</t>
  </si>
  <si>
    <t>Yr 3.0</t>
  </si>
  <si>
    <t>60% done</t>
  </si>
  <si>
    <t>Yr 3.1</t>
  </si>
  <si>
    <t>62% done</t>
  </si>
  <si>
    <t>44% done</t>
  </si>
  <si>
    <t>Yr 3.2</t>
  </si>
  <si>
    <t>63% done</t>
  </si>
  <si>
    <t>65% done</t>
  </si>
  <si>
    <t>46% done</t>
  </si>
  <si>
    <t>Yr 3.3</t>
  </si>
  <si>
    <t>67% done</t>
  </si>
  <si>
    <t>Yr 3.4</t>
  </si>
  <si>
    <t>68% done</t>
  </si>
  <si>
    <t>49% done</t>
  </si>
  <si>
    <t>34% done</t>
  </si>
  <si>
    <t>Yr 3.5</t>
  </si>
  <si>
    <t>70% done</t>
  </si>
  <si>
    <t>Yr 3.6</t>
  </si>
  <si>
    <t>72% done</t>
  </si>
  <si>
    <t>51% done</t>
  </si>
  <si>
    <t>Yr 3.7</t>
  </si>
  <si>
    <t>73% done</t>
  </si>
  <si>
    <t>Yr 3.8</t>
  </si>
  <si>
    <t>75% done</t>
  </si>
  <si>
    <t>54% done</t>
  </si>
  <si>
    <t>77% done</t>
  </si>
  <si>
    <t>Yr 3.9</t>
  </si>
  <si>
    <t>78% done</t>
  </si>
  <si>
    <t>56% done</t>
  </si>
  <si>
    <t>Yr 4.0</t>
  </si>
  <si>
    <t>80% done</t>
  </si>
  <si>
    <t>Yr 4.1</t>
  </si>
  <si>
    <t>82% done</t>
  </si>
  <si>
    <t>41% done</t>
  </si>
  <si>
    <t>Yr 4.2</t>
  </si>
  <si>
    <t>83% done</t>
  </si>
  <si>
    <t>85% done</t>
  </si>
  <si>
    <t>61% done</t>
  </si>
  <si>
    <t>Yr 4.3</t>
  </si>
  <si>
    <t>87% done</t>
  </si>
  <si>
    <t>Yr 4.4</t>
  </si>
  <si>
    <t>88% done</t>
  </si>
  <si>
    <t>Yr 4.5</t>
  </si>
  <si>
    <t>90% done</t>
  </si>
  <si>
    <t>64% done</t>
  </si>
  <si>
    <t>Yr 4.6</t>
  </si>
  <si>
    <t>92% done</t>
  </si>
  <si>
    <t>Yr 4.7</t>
  </si>
  <si>
    <t>93% done</t>
  </si>
  <si>
    <t>Yr 4.8</t>
  </si>
  <si>
    <t>95% done</t>
  </si>
  <si>
    <t>97% done</t>
  </si>
  <si>
    <t>69% done</t>
  </si>
  <si>
    <t>Yr 4.9</t>
  </si>
  <si>
    <t>98% done</t>
  </si>
  <si>
    <t>Yr 5.0</t>
  </si>
  <si>
    <t>✓ COMPLETE</t>
  </si>
  <si>
    <t>71% done</t>
  </si>
  <si>
    <t>Yr 5.1</t>
  </si>
  <si>
    <t>Yr 5.2</t>
  </si>
  <si>
    <t>74% done</t>
  </si>
  <si>
    <t>Yr 5.3</t>
  </si>
  <si>
    <t>76% done</t>
  </si>
  <si>
    <t>Yr 5.4</t>
  </si>
  <si>
    <t>Yr 5.5</t>
  </si>
  <si>
    <t>79% done</t>
  </si>
  <si>
    <t>Yr 5.6</t>
  </si>
  <si>
    <t>Yr 5.7</t>
  </si>
  <si>
    <t>81% done</t>
  </si>
  <si>
    <t>Yr 5.8</t>
  </si>
  <si>
    <t>Yr 5.9</t>
  </si>
  <si>
    <t>59% done</t>
  </si>
  <si>
    <t>Yr 6.0</t>
  </si>
  <si>
    <t>86% done</t>
  </si>
  <si>
    <t>Yr 6.1</t>
  </si>
  <si>
    <t>Yr 6.2</t>
  </si>
  <si>
    <t>89% done</t>
  </si>
  <si>
    <t>Yr 6.3</t>
  </si>
  <si>
    <t>Yr 6.4</t>
  </si>
  <si>
    <t>Yr 6.5</t>
  </si>
  <si>
    <t>Yr 6.6</t>
  </si>
  <si>
    <t>94% done</t>
  </si>
  <si>
    <t>66% done</t>
  </si>
  <si>
    <t>Yr 6.7</t>
  </si>
  <si>
    <t>Yr 6.8</t>
  </si>
  <si>
    <t>96% done</t>
  </si>
  <si>
    <t>Yr 6.9</t>
  </si>
  <si>
    <t>99% done</t>
  </si>
  <si>
    <t>Yr 7.0</t>
  </si>
  <si>
    <t>Yr 7.1</t>
  </si>
  <si>
    <t>Yr 7.2</t>
  </si>
  <si>
    <t>Yr 7.3</t>
  </si>
  <si>
    <t>Yr 7.4</t>
  </si>
  <si>
    <t>Yr 7.5</t>
  </si>
  <si>
    <t>Yr 7.6</t>
  </si>
  <si>
    <t>Yr 7.7</t>
  </si>
  <si>
    <t>Yr 7.8</t>
  </si>
  <si>
    <t>Yr 7.9</t>
  </si>
  <si>
    <t>Yr 8.0</t>
  </si>
  <si>
    <t>Yr 8.1</t>
  </si>
  <si>
    <t>Yr 8.2</t>
  </si>
  <si>
    <t>Yr 8.3</t>
  </si>
  <si>
    <t>Yr 8.4</t>
  </si>
  <si>
    <t>84% done</t>
  </si>
  <si>
    <t>Yr 8.5</t>
  </si>
  <si>
    <t>Yr 8.6</t>
  </si>
  <si>
    <t>Yr 8.7</t>
  </si>
  <si>
    <t>Yr 8.8</t>
  </si>
  <si>
    <t>Yr 8.9</t>
  </si>
  <si>
    <t>Yr 9.0</t>
  </si>
  <si>
    <t>Yr 9.1</t>
  </si>
  <si>
    <t>91% done</t>
  </si>
  <si>
    <t>Yr 9.2</t>
  </si>
  <si>
    <t>Yr 9.3</t>
  </si>
  <si>
    <t>Yr 9.4</t>
  </si>
  <si>
    <t>Yr 9.5</t>
  </si>
  <si>
    <t>Yr 9.6</t>
  </si>
  <si>
    <t>Yr 9.7</t>
  </si>
  <si>
    <t>Yr 9.8</t>
  </si>
  <si>
    <t>Yr 9.9</t>
  </si>
  <si>
    <t>Yr 10.0</t>
  </si>
  <si>
    <t>Yr 10.1</t>
  </si>
  <si>
    <t>Yr 10.2</t>
  </si>
  <si>
    <t>Yr 10.3</t>
  </si>
  <si>
    <t>Yr 10.4</t>
  </si>
  <si>
    <t>Yr 10.5</t>
  </si>
  <si>
    <t>Yr 10.6</t>
  </si>
  <si>
    <t>Yr 10.7</t>
  </si>
  <si>
    <t>Yr 10.8</t>
  </si>
  <si>
    <t>Yr 10.9</t>
  </si>
  <si>
    <t>Yr 11.0</t>
  </si>
  <si>
    <t>Yr 11.1</t>
  </si>
  <si>
    <t>Yr 11.2</t>
  </si>
  <si>
    <t>Yr 11.3</t>
  </si>
  <si>
    <t>Yr 11.4</t>
  </si>
  <si>
    <t>Yr 11.5</t>
  </si>
  <si>
    <t>Yr 11.6</t>
  </si>
  <si>
    <t>Yr 11.7</t>
  </si>
  <si>
    <t>Yr 11.8</t>
  </si>
  <si>
    <t>Yr 11.9</t>
  </si>
  <si>
    <t>Yr 12.0</t>
  </si>
  <si>
    <t>Yr 12.1</t>
  </si>
  <si>
    <t>Yr 12.2</t>
  </si>
  <si>
    <t>Yr 12.3</t>
  </si>
  <si>
    <t>Yr 12.4</t>
  </si>
  <si>
    <t>Yr 12.5</t>
  </si>
  <si>
    <t>Yr 12.6</t>
  </si>
  <si>
    <t>Yr 12.7</t>
  </si>
  <si>
    <t>Yr 12.8</t>
  </si>
  <si>
    <t>Yr 12.9</t>
  </si>
  <si>
    <t>Yr 13.0</t>
  </si>
  <si>
    <t>Yr 13.1</t>
  </si>
  <si>
    <t>Yr 13.2</t>
  </si>
  <si>
    <t>Yr 13.3</t>
  </si>
  <si>
    <t>Yr 13.4</t>
  </si>
  <si>
    <t>Yr 13.5</t>
  </si>
  <si>
    <t>Yr 13.6</t>
  </si>
  <si>
    <t>Yr 13.7</t>
  </si>
  <si>
    <t>Yr 13.8</t>
  </si>
  <si>
    <t>Yr 13.9</t>
  </si>
  <si>
    <t>Yr 14.0</t>
  </si>
  <si>
    <t>Yr 14.1</t>
  </si>
  <si>
    <t>Yr 14.2</t>
  </si>
  <si>
    <t>Yr 14.3</t>
  </si>
  <si>
    <t>Yr 14.4</t>
  </si>
  <si>
    <t>Yr 14.5</t>
  </si>
  <si>
    <t>Yr 14.6</t>
  </si>
  <si>
    <t>Yr 14.7</t>
  </si>
  <si>
    <t>Yr 14.8</t>
  </si>
  <si>
    <t>Yr 14.9</t>
  </si>
  <si>
    <t>Yr 15.0</t>
  </si>
  <si>
    <t>L ≥ 35% Gate Analysis — Phase 1 Impact on Participation</t>
  </si>
  <si>
    <t>E=2,000 credits/employee/mo | P=0 | Baseline vs. L≥35% hard gate (new enrollment capped to prevent L dropping below 35%)</t>
  </si>
  <si>
    <t>L
Baseline</t>
  </si>
  <si>
    <t>L
Gated</t>
  </si>
  <si>
    <t>L
Difference</t>
  </si>
  <si>
    <t>Employees
Baseline</t>
  </si>
  <si>
    <t>Employees
Gated</t>
  </si>
  <si>
    <t>Employees
Lost to Gate</t>
  </si>
  <si>
    <t>Escrow J
Baseline</t>
  </si>
  <si>
    <t>Escrow J
Gated</t>
  </si>
  <si>
    <t>Cumulative
Waitlist</t>
  </si>
  <si>
    <t>Key Findings</t>
  </si>
  <si>
    <t>• A hard L≥35% gate maintains solvency but severely restricts participation — especially in years 1–10 where the gate is most binding.</t>
  </si>
  <si>
    <t>• Employees locked out of the system accumulate on the waitlist, representing latent demand that cannot be served until L naturally recovers through growth.</t>
  </si>
  <si>
    <t>• By Year 10, the baseline has ~400K employees vs ~15K under the gate — a 96% reduction in participation to gain +5pp of L floor protection.</t>
  </si>
  <si>
    <t>• Recommendation: Use the tiered gate (SS-3 through SS-6) rather than a hard 35% freeze. The tiered approach throttles growth gradually, preserving more participation while still protecting L.</t>
  </si>
  <si>
    <t>Month-by-Month Detail — Baseline vs L≥35% Gate</t>
  </si>
  <si>
    <t>L Baseline</t>
  </si>
  <si>
    <t>L Gated</t>
  </si>
  <si>
    <t>New Emp
Baseline</t>
  </si>
  <si>
    <t>New Emp
Gated (allowed)</t>
  </si>
  <si>
    <t>Waitlisted
This Month</t>
  </si>
  <si>
    <t>Cumul.
Waitlist</t>
  </si>
  <si>
    <t>Yr 15.1</t>
  </si>
  <si>
    <t>Yr 15.2</t>
  </si>
  <si>
    <t>Yr 15.3</t>
  </si>
  <si>
    <t>Yr 15.4</t>
  </si>
  <si>
    <t>Yr 15.5</t>
  </si>
  <si>
    <t>Yr 15.6</t>
  </si>
  <si>
    <t>Yr 15.7</t>
  </si>
  <si>
    <t>Yr 15.8</t>
  </si>
  <si>
    <t>Yr 15.9</t>
  </si>
  <si>
    <t>Yr 16.0</t>
  </si>
  <si>
    <t>Yr 16.1</t>
  </si>
  <si>
    <t>Yr 16.2</t>
  </si>
  <si>
    <t>Yr 16.3</t>
  </si>
  <si>
    <t>Yr 16.4</t>
  </si>
  <si>
    <t>Yr 16.5</t>
  </si>
  <si>
    <t>Yr 16.6</t>
  </si>
  <si>
    <t>Yr 16.7</t>
  </si>
  <si>
    <t>Yr 16.8</t>
  </si>
  <si>
    <t>Yr 16.9</t>
  </si>
  <si>
    <t>Yr 17.0</t>
  </si>
  <si>
    <t>Yr 17.1</t>
  </si>
  <si>
    <t>Yr 17.2</t>
  </si>
  <si>
    <t>Yr 17.3</t>
  </si>
  <si>
    <t>Yr 17.4</t>
  </si>
  <si>
    <t>Yr 17.5</t>
  </si>
  <si>
    <t>Yr 17.6</t>
  </si>
  <si>
    <t>Yr 17.7</t>
  </si>
  <si>
    <t>Yr 17.8</t>
  </si>
  <si>
    <t>Yr 17.9</t>
  </si>
  <si>
    <t>Yr 18.0</t>
  </si>
  <si>
    <t>Yr 18.1</t>
  </si>
  <si>
    <t>Yr 18.2</t>
  </si>
  <si>
    <t>Yr 18.3</t>
  </si>
  <si>
    <t>Yr 18.4</t>
  </si>
  <si>
    <t>Yr 18.5</t>
  </si>
  <si>
    <t>Yr 18.6</t>
  </si>
  <si>
    <t>Yr 18.7</t>
  </si>
  <si>
    <t>Yr 18.8</t>
  </si>
  <si>
    <t>Yr 18.9</t>
  </si>
  <si>
    <t>Yr 19.0</t>
  </si>
  <si>
    <t>Yr 19.1</t>
  </si>
  <si>
    <t>Yr 19.2</t>
  </si>
  <si>
    <t>Yr 19.3</t>
  </si>
  <si>
    <t>Yr 19.4</t>
  </si>
  <si>
    <t>Yr 19.5</t>
  </si>
  <si>
    <t>Yr 19.6</t>
  </si>
  <si>
    <t>Yr 19.7</t>
  </si>
  <si>
    <t>Yr 19.8</t>
  </si>
  <si>
    <t>Yr 19.9</t>
  </si>
  <si>
    <t>Yr 20.0</t>
  </si>
  <si>
    <t>Yr 20.1</t>
  </si>
  <si>
    <t>Yr 20.2</t>
  </si>
  <si>
    <t>Yr 20.3</t>
  </si>
  <si>
    <t>Yr 20.4</t>
  </si>
  <si>
    <t>Yr 20.5</t>
  </si>
  <si>
    <t>Yr 20.6</t>
  </si>
  <si>
    <t>Yr 20.7</t>
  </si>
  <si>
    <t>Yr 20.8</t>
  </si>
  <si>
    <t>Yr 20.9</t>
  </si>
  <si>
    <t>Yr 21.0</t>
  </si>
  <si>
    <t>Yr 21.1</t>
  </si>
  <si>
    <t>Yr 21.2</t>
  </si>
  <si>
    <t>Yr 21.3</t>
  </si>
  <si>
    <t>Yr 21.4</t>
  </si>
  <si>
    <t>Yr 21.5</t>
  </si>
  <si>
    <t>Yr 21.6</t>
  </si>
  <si>
    <t>Yr 21.7</t>
  </si>
  <si>
    <t>Yr 21.8</t>
  </si>
  <si>
    <t>Yr 21.9</t>
  </si>
  <si>
    <t>Yr 22.0</t>
  </si>
  <si>
    <t>Yr 22.1</t>
  </si>
  <si>
    <t>Yr 22.2</t>
  </si>
  <si>
    <t>Yr 22.3</t>
  </si>
  <si>
    <t>Yr 22.4</t>
  </si>
  <si>
    <t>Yr 22.5</t>
  </si>
  <si>
    <t>Yr 22.6</t>
  </si>
  <si>
    <t>Yr 22.7</t>
  </si>
  <si>
    <t>Yr 22.8</t>
  </si>
  <si>
    <t>Yr 22.9</t>
  </si>
  <si>
    <t>Yr 23.0</t>
  </si>
  <si>
    <t>Yr 23.1</t>
  </si>
  <si>
    <t>Yr 23.2</t>
  </si>
  <si>
    <t>Yr 23.3</t>
  </si>
  <si>
    <t>Yr 23.4</t>
  </si>
  <si>
    <t>Yr 23.5</t>
  </si>
  <si>
    <t>Yr 23.6</t>
  </si>
  <si>
    <t>Yr 23.7</t>
  </si>
  <si>
    <t>Yr 23.8</t>
  </si>
  <si>
    <t>Yr 23.9</t>
  </si>
  <si>
    <t>Yr 24.0</t>
  </si>
  <si>
    <t>Yr 24.1</t>
  </si>
  <si>
    <t>Yr 24.2</t>
  </si>
  <si>
    <t>Yr 24.3</t>
  </si>
  <si>
    <t>Yr 24.4</t>
  </si>
  <si>
    <t>Yr 24.5</t>
  </si>
  <si>
    <t>Yr 24.6</t>
  </si>
  <si>
    <t>Yr 24.7</t>
  </si>
  <si>
    <t>Yr 24.8</t>
  </si>
  <si>
    <t>Yr 24.9</t>
  </si>
  <si>
    <t>Yr 25.0</t>
  </si>
  <si>
    <t>Phase 1 Strategy Comparison — Participation vs. L Health</t>
  </si>
  <si>
    <t>Baseline (no gate)  vs.  Hard Gate (L≥35% or freeze)  vs.  Tiered Throttle (EC-5 cohort rules: 100% / 75% / 50% / 0%)</t>
  </si>
  <si>
    <t>Baseline
(No Gate)</t>
  </si>
  <si>
    <t>Hard Gate
(L ≥ 35%)</t>
  </si>
  <si>
    <t>Tiered Throttle
(Recommended)</t>
  </si>
  <si>
    <t>L%</t>
  </si>
  <si>
    <t>Employees</t>
  </si>
  <si>
    <t>Waitlist</t>
  </si>
  <si>
    <t>Rec. vs.
Baseline Emp</t>
  </si>
  <si>
    <t>Yr 1</t>
  </si>
  <si>
    <t>Yr 2</t>
  </si>
  <si>
    <t>Yr 3</t>
  </si>
  <si>
    <t>Yr 5</t>
  </si>
  <si>
    <t>Yr 7</t>
  </si>
  <si>
    <t>Yr 10</t>
  </si>
  <si>
    <t>Yr 12</t>
  </si>
  <si>
    <t>Yr 15</t>
  </si>
  <si>
    <t>Yr 17</t>
  </si>
  <si>
    <t>Yr 20</t>
  </si>
  <si>
    <t>Yr 22</t>
  </si>
  <si>
    <t>Yr 25</t>
  </si>
  <si>
    <t>How to read the Tiered column:</t>
  </si>
  <si>
    <t>Green L%  =  L ≥ 35% (Healthy)       Yellow L%  =  25% ≤ L &lt; 35% (Watch/Caution)       Red L%  =  L &lt; 25% (Protect)</t>
  </si>
  <si>
    <t>Blue Employees = tiered throttle active — enrollment slowed but not stopped</t>
  </si>
  <si>
    <t>Tiered vs Baseline %: how close tiered participation is to unconstrained baseline (green = within 10%, yellow = within 30%, red = more than 30% below baseline)</t>
  </si>
  <si>
    <t>Interest Rate Scenario Comparison — Phase 1 (20 yr) + Phase 2 (8 yr)</t>
  </si>
  <si>
    <t>Color key:  Green ≥35% (SS-3 Healthy)  |  Yellow 25-35% (SS-4 Watch)  |  Orange 15-25% (SS-5 Caution)  |  Red &lt;15% (SS-6 Protect)</t>
  </si>
  <si>
    <t>4% / 4%  (Current Baseline)</t>
  </si>
  <si>
    <t>9% / 9%  (Stretch — Realistic)</t>
  </si>
  <si>
    <t>12% / 12%  (Achieves 50% / 100%)</t>
  </si>
  <si>
    <t>Period</t>
  </si>
  <si>
    <t>L</t>
  </si>
  <si>
    <t>Escrow ($B)</t>
  </si>
  <si>
    <t>── PHASE 1 ──</t>
  </si>
  <si>
    <t>Year 20  ← Phase 2 Entry</t>
  </si>
  <si>
    <t>── PHASE 2 (G frozen) ──</t>
  </si>
  <si>
    <t>P2 Year 1</t>
  </si>
  <si>
    <t>(frozen)</t>
  </si>
  <si>
    <t>P2 Year 2</t>
  </si>
  <si>
    <t>P2 Year 3</t>
  </si>
  <si>
    <t>P2 Year 4</t>
  </si>
  <si>
    <t>P2 Year 5</t>
  </si>
  <si>
    <t>P2 Year 6</t>
  </si>
  <si>
    <t>P2 Year 7</t>
  </si>
  <si>
    <t>P2 Year 8  ← Phase 3 Entry</t>
  </si>
  <si>
    <t>Final L entering Phase 3:   4%/4% = 33.1%   |   9%/9% = 75.5%   |   12%/12% = 127.1%</t>
  </si>
  <si>
    <t>9% Interest — Monthly Detail (Phase 1: 20yr + Phase 2: 8yr)</t>
  </si>
  <si>
    <t>Phase</t>
  </si>
  <si>
    <t>G (Total Credits)</t>
  </si>
  <si>
    <t>F (Monthly Minting)</t>
  </si>
  <si>
    <t>Interest Earned ($)</t>
  </si>
  <si>
    <t>J (Escrow $)</t>
  </si>
  <si>
    <t>Phase 1</t>
  </si>
  <si>
    <t>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</si>
</sst>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"/>
    <numFmt numFmtId="165" formatCode="_(&quot;$&quot;* #,##0.0000_);_(&quot;$&quot;* \(#,##0.0000\);_(&quot;$&quot;* &quot;-&quot;??_);_(@_)"/>
    <numFmt numFmtId="166" formatCode="_(&quot;$&quot;* #,##0_);_(&quot;$&quot;* \(#,##0\);_(&quot;$&quot;* &quot;-&quot;??_);_(@_)"/>
    <numFmt numFmtId="167" formatCode="\$#,##0.00,,&quot;B&quot;"/>
    <numFmt numFmtId="168" formatCode="\$#,##0.0,&quot;M&quot;"/>
    <numFmt numFmtId="169" formatCode="\+0.0%;\-0.0%;0.0%"/>
    <numFmt numFmtId="170" formatCode="0.0%"/>
    <numFmt numFmtId="171" formatCode="\$#,##0.0"/>
    <numFmt numFmtId="172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u/>
      <sz val="11"/>
      <name val="Calibri"/>
    </font>
    <font>
      <b/>
      <sz val="10"/>
      <name val="Calibri"/>
    </font>
    <font>
      <b/>
      <sz val="11"/>
      <name val="Calibri"/>
    </font>
    <font>
      <b/>
      <sz val="10"/>
      <color rgb="FFFFFFFF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1F3864"/>
      <name val="Calibri"/>
    </font>
    <font>
      <b/>
      <sz val="10"/>
      <color rgb="FFFFFFFF"/>
      <name val="Calibri"/>
    </font>
    <font>
      <i/>
      <sz val="9"/>
      <name val="Calibri"/>
    </font>
    <font>
      <b/>
      <sz val="13"/>
      <color rgb="FF1F3864"/>
      <name val="Calibri"/>
    </font>
    <font>
      <i/>
      <sz val="9"/>
      <color rgb="FF595959"/>
      <name val="Calibri"/>
    </font>
    <font>
      <b/>
      <sz val="11"/>
      <color rgb="FF375623"/>
      <name val="Calibri"/>
    </font>
    <font>
      <b/>
      <sz val="9"/>
      <name val="Calibri"/>
    </font>
    <font>
      <b/>
      <sz val="11"/>
      <color rgb="FFC00000"/>
      <name val="Calibri"/>
    </font>
    <font>
      <b/>
      <sz val="12"/>
      <color rgb="FF1F3864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i/>
      <sz val="11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E1F4"/>
      </patternFill>
    </fill>
    <fill>
      <patternFill patternType="solid">
        <fgColor rgb="FF2E75B6"/>
      </patternFill>
    </fill>
    <fill>
      <patternFill patternType="solid">
        <fgColor rgb="FFF2F7FF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rgb="FFFFE0E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40404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4">
    <xf numFmtId="0" fontId="0" fillId="0" borderId="0"/>
    <xf numFmtId="44" fontId="6" fillId="0" borderId="0"/>
    <xf numFmtId="9" fontId="6" fillId="0" borderId="0"/>
    <xf numFmtId="43" fontId="6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3" fontId="4" fillId="2" borderId="1" xfId="0" applyNumberFormat="1" applyFont="1" applyFill="1" applyBorder="1"/>
    <xf numFmtId="0" fontId="5" fillId="3" borderId="0" xfId="0" applyFont="1" applyFill="1" applyAlignment="1">
      <alignment horizontal="center"/>
    </xf>
    <xf numFmtId="9" fontId="4" fillId="2" borderId="1" xfId="0" applyNumberFormat="1" applyFont="1" applyFill="1" applyBorder="1"/>
    <xf numFmtId="0" fontId="3" fillId="0" borderId="1" xfId="0" applyFont="1" applyBorder="1" applyAlignment="1">
      <alignment horizontal="center"/>
    </xf>
    <xf numFmtId="10" fontId="4" fillId="2" borderId="1" xfId="0" applyNumberFormat="1" applyFont="1" applyFill="1" applyBorder="1"/>
    <xf numFmtId="0" fontId="5" fillId="4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9" fontId="0" fillId="2" borderId="0" xfId="0" applyNumberFormat="1" applyFill="1" applyAlignment="1">
      <alignment horizontal="center"/>
    </xf>
    <xf numFmtId="3" fontId="0" fillId="0" borderId="0" xfId="0" applyNumberFormat="1"/>
    <xf numFmtId="10" fontId="0" fillId="0" borderId="0" xfId="0" applyNumberFormat="1"/>
    <xf numFmtId="9" fontId="4" fillId="2" borderId="1" xfId="2" applyFont="1" applyFill="1" applyBorder="1"/>
    <xf numFmtId="164" fontId="0" fillId="0" borderId="0" xfId="0" applyNumberFormat="1"/>
    <xf numFmtId="165" fontId="0" fillId="0" borderId="0" xfId="0" applyNumberFormat="1"/>
    <xf numFmtId="165" fontId="5" fillId="4" borderId="0" xfId="0" applyNumberFormat="1" applyFont="1" applyFill="1" applyAlignment="1">
      <alignment horizontal="center" wrapText="1"/>
    </xf>
    <xf numFmtId="165" fontId="0" fillId="0" borderId="0" xfId="1" applyNumberFormat="1" applyFont="1"/>
    <xf numFmtId="44" fontId="0" fillId="0" borderId="0" xfId="0" applyNumberFormat="1"/>
    <xf numFmtId="166" fontId="0" fillId="0" borderId="0" xfId="1" applyNumberFormat="1" applyFont="1"/>
    <xf numFmtId="0" fontId="7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0" fillId="0" borderId="0" xfId="0" applyFont="1"/>
    <xf numFmtId="0" fontId="11" fillId="5" borderId="0" xfId="0" applyFont="1" applyFill="1" applyAlignment="1">
      <alignment horizontal="center" wrapText="1"/>
    </xf>
    <xf numFmtId="0" fontId="7" fillId="0" borderId="0" xfId="0" applyFont="1"/>
    <xf numFmtId="167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6" borderId="0" xfId="0" applyFill="1" applyAlignment="1">
      <alignment horizontal="center"/>
    </xf>
    <xf numFmtId="10" fontId="0" fillId="6" borderId="0" xfId="0" applyNumberFormat="1" applyFill="1" applyAlignment="1">
      <alignment horizontal="right"/>
    </xf>
    <xf numFmtId="167" fontId="0" fillId="6" borderId="0" xfId="0" applyNumberFormat="1" applyFill="1" applyAlignment="1">
      <alignment horizontal="right"/>
    </xf>
    <xf numFmtId="168" fontId="0" fillId="6" borderId="0" xfId="0" applyNumberFormat="1" applyFill="1" applyAlignment="1">
      <alignment horizontal="right"/>
    </xf>
    <xf numFmtId="0" fontId="0" fillId="7" borderId="0" xfId="0" applyFill="1" applyAlignment="1">
      <alignment horizontal="center"/>
    </xf>
    <xf numFmtId="10" fontId="0" fillId="7" borderId="0" xfId="0" applyNumberFormat="1" applyFill="1" applyAlignment="1">
      <alignment horizontal="right"/>
    </xf>
    <xf numFmtId="167" fontId="0" fillId="7" borderId="0" xfId="0" applyNumberFormat="1" applyFill="1" applyAlignment="1">
      <alignment horizontal="right"/>
    </xf>
    <xf numFmtId="168" fontId="0" fillId="7" borderId="0" xfId="0" applyNumberFormat="1" applyFill="1" applyAlignment="1">
      <alignment horizontal="right"/>
    </xf>
    <xf numFmtId="0" fontId="0" fillId="8" borderId="0" xfId="0" applyFill="1" applyAlignment="1">
      <alignment horizontal="center"/>
    </xf>
    <xf numFmtId="10" fontId="0" fillId="8" borderId="0" xfId="0" applyNumberFormat="1" applyFill="1" applyAlignment="1">
      <alignment horizontal="right"/>
    </xf>
    <xf numFmtId="167" fontId="0" fillId="8" borderId="0" xfId="0" applyNumberFormat="1" applyFill="1" applyAlignment="1">
      <alignment horizontal="right"/>
    </xf>
    <xf numFmtId="168" fontId="0" fillId="8" borderId="0" xfId="0" applyNumberFormat="1" applyFill="1" applyAlignment="1">
      <alignment horizontal="right"/>
    </xf>
    <xf numFmtId="0" fontId="0" fillId="9" borderId="0" xfId="0" applyFill="1" applyAlignment="1">
      <alignment horizontal="center"/>
    </xf>
    <xf numFmtId="10" fontId="0" fillId="9" borderId="0" xfId="0" applyNumberFormat="1" applyFill="1" applyAlignment="1">
      <alignment horizontal="right"/>
    </xf>
    <xf numFmtId="167" fontId="0" fillId="9" borderId="0" xfId="0" applyNumberFormat="1" applyFill="1" applyAlignment="1">
      <alignment horizontal="right"/>
    </xf>
    <xf numFmtId="168" fontId="0" fillId="9" borderId="0" xfId="0" applyNumberFormat="1" applyFill="1" applyAlignment="1">
      <alignment horizontal="right"/>
    </xf>
    <xf numFmtId="0" fontId="0" fillId="10" borderId="0" xfId="0" applyFill="1" applyAlignment="1">
      <alignment horizontal="center"/>
    </xf>
    <xf numFmtId="10" fontId="0" fillId="10" borderId="0" xfId="0" applyNumberFormat="1" applyFill="1" applyAlignment="1">
      <alignment horizontal="right"/>
    </xf>
    <xf numFmtId="167" fontId="0" fillId="10" borderId="0" xfId="0" applyNumberFormat="1" applyFill="1" applyAlignment="1">
      <alignment horizontal="right"/>
    </xf>
    <xf numFmtId="168" fontId="0" fillId="10" borderId="0" xfId="0" applyNumberFormat="1" applyFill="1" applyAlignment="1">
      <alignment horizontal="right"/>
    </xf>
    <xf numFmtId="0" fontId="12" fillId="0" borderId="0" xfId="0" applyFont="1"/>
    <xf numFmtId="0" fontId="11" fillId="11" borderId="0" xfId="0" applyFont="1" applyFill="1" applyAlignment="1">
      <alignment horizontal="center" wrapText="1"/>
    </xf>
    <xf numFmtId="0" fontId="0" fillId="12" borderId="0" xfId="0" applyFill="1" applyAlignment="1">
      <alignment horizontal="center"/>
    </xf>
    <xf numFmtId="167" fontId="0" fillId="12" borderId="0" xfId="0" applyNumberFormat="1" applyFill="1" applyAlignment="1">
      <alignment horizontal="right"/>
    </xf>
    <xf numFmtId="10" fontId="0" fillId="12" borderId="0" xfId="0" applyNumberFormat="1" applyFill="1" applyAlignment="1">
      <alignment horizontal="right"/>
    </xf>
    <xf numFmtId="0" fontId="0" fillId="12" borderId="0" xfId="0" applyFill="1"/>
    <xf numFmtId="10" fontId="15" fillId="8" borderId="0" xfId="0" applyNumberFormat="1" applyFont="1" applyFill="1" applyAlignment="1">
      <alignment horizontal="right"/>
    </xf>
    <xf numFmtId="0" fontId="15" fillId="8" borderId="0" xfId="0" applyFont="1" applyFill="1"/>
    <xf numFmtId="0" fontId="16" fillId="13" borderId="0" xfId="0" applyFont="1" applyFill="1" applyAlignment="1">
      <alignment horizontal="center"/>
    </xf>
    <xf numFmtId="0" fontId="16" fillId="13" borderId="0" xfId="0" applyFont="1" applyFill="1" applyAlignment="1">
      <alignment horizontal="center" wrapText="1"/>
    </xf>
    <xf numFmtId="167" fontId="7" fillId="9" borderId="0" xfId="0" applyNumberFormat="1" applyFont="1" applyFill="1" applyAlignment="1">
      <alignment horizontal="right"/>
    </xf>
    <xf numFmtId="10" fontId="7" fillId="9" borderId="0" xfId="0" applyNumberFormat="1" applyFont="1" applyFill="1" applyAlignment="1">
      <alignment horizontal="right"/>
    </xf>
    <xf numFmtId="168" fontId="7" fillId="9" borderId="0" xfId="0" applyNumberFormat="1" applyFont="1" applyFill="1" applyAlignment="1">
      <alignment horizontal="right"/>
    </xf>
    <xf numFmtId="0" fontId="7" fillId="9" borderId="0" xfId="0" applyFont="1" applyFill="1" applyAlignment="1">
      <alignment horizontal="center"/>
    </xf>
    <xf numFmtId="168" fontId="0" fillId="0" borderId="0" xfId="0" applyNumberFormat="1" applyAlignment="1">
      <alignment horizontal="right"/>
    </xf>
    <xf numFmtId="168" fontId="0" fillId="12" borderId="0" xfId="0" applyNumberFormat="1" applyFill="1" applyAlignment="1">
      <alignment horizontal="right"/>
    </xf>
    <xf numFmtId="167" fontId="0" fillId="14" borderId="0" xfId="0" applyNumberFormat="1" applyFill="1" applyAlignment="1">
      <alignment horizontal="right"/>
    </xf>
    <xf numFmtId="10" fontId="0" fillId="14" borderId="0" xfId="0" applyNumberFormat="1" applyFill="1" applyAlignment="1">
      <alignment horizontal="right"/>
    </xf>
    <xf numFmtId="168" fontId="0" fillId="14" borderId="0" xfId="0" applyNumberFormat="1" applyFill="1" applyAlignment="1">
      <alignment horizontal="right"/>
    </xf>
    <xf numFmtId="0" fontId="0" fillId="14" borderId="0" xfId="0" applyFill="1" applyAlignment="1">
      <alignment horizontal="center"/>
    </xf>
    <xf numFmtId="167" fontId="15" fillId="15" borderId="0" xfId="0" applyNumberFormat="1" applyFont="1" applyFill="1" applyAlignment="1">
      <alignment horizontal="right"/>
    </xf>
    <xf numFmtId="10" fontId="15" fillId="15" borderId="0" xfId="0" applyNumberFormat="1" applyFont="1" applyFill="1" applyAlignment="1">
      <alignment horizontal="right"/>
    </xf>
    <xf numFmtId="168" fontId="15" fillId="15" borderId="0" xfId="0" applyNumberFormat="1" applyFont="1" applyFill="1" applyAlignment="1">
      <alignment horizontal="right"/>
    </xf>
    <xf numFmtId="0" fontId="15" fillId="15" borderId="0" xfId="0" applyFont="1" applyFill="1" applyAlignment="1">
      <alignment horizontal="center"/>
    </xf>
    <xf numFmtId="10" fontId="15" fillId="12" borderId="0" xfId="0" applyNumberFormat="1" applyFont="1" applyFill="1" applyAlignment="1">
      <alignment horizontal="right"/>
    </xf>
    <xf numFmtId="3" fontId="0" fillId="12" borderId="0" xfId="0" applyNumberFormat="1" applyFill="1" applyAlignment="1">
      <alignment horizontal="right"/>
    </xf>
    <xf numFmtId="3" fontId="0" fillId="9" borderId="0" xfId="0" applyNumberFormat="1" applyFill="1" applyAlignment="1">
      <alignment horizontal="right"/>
    </xf>
    <xf numFmtId="3" fontId="17" fillId="16" borderId="0" xfId="0" applyNumberFormat="1" applyFont="1" applyFill="1" applyAlignment="1">
      <alignment horizontal="right"/>
    </xf>
    <xf numFmtId="10" fontId="15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0" fontId="17" fillId="12" borderId="0" xfId="0" applyNumberFormat="1" applyFont="1" applyFill="1" applyAlignment="1">
      <alignment horizontal="right"/>
    </xf>
    <xf numFmtId="10" fontId="17" fillId="0" borderId="0" xfId="0" applyNumberFormat="1" applyFont="1" applyAlignment="1">
      <alignment horizontal="right"/>
    </xf>
    <xf numFmtId="10" fontId="17" fillId="16" borderId="0" xfId="0" applyNumberFormat="1" applyFont="1" applyFill="1" applyAlignment="1">
      <alignment horizontal="right"/>
    </xf>
    <xf numFmtId="0" fontId="0" fillId="5" borderId="0" xfId="0" applyFill="1"/>
    <xf numFmtId="10" fontId="7" fillId="12" borderId="0" xfId="0" applyNumberFormat="1" applyFont="1" applyFill="1" applyAlignment="1">
      <alignment horizontal="right"/>
    </xf>
    <xf numFmtId="3" fontId="0" fillId="16" borderId="0" xfId="0" applyNumberFormat="1" applyFill="1" applyAlignment="1">
      <alignment horizontal="right"/>
    </xf>
    <xf numFmtId="3" fontId="0" fillId="19" borderId="0" xfId="0" applyNumberFormat="1" applyFill="1" applyAlignment="1">
      <alignment horizontal="right"/>
    </xf>
    <xf numFmtId="169" fontId="0" fillId="8" borderId="0" xfId="0" applyNumberFormat="1" applyFill="1" applyAlignment="1">
      <alignment horizontal="right"/>
    </xf>
    <xf numFmtId="10" fontId="7" fillId="0" borderId="0" xfId="0" applyNumberFormat="1" applyFont="1" applyAlignment="1">
      <alignment horizontal="right"/>
    </xf>
    <xf numFmtId="10" fontId="0" fillId="16" borderId="0" xfId="0" applyNumberFormat="1" applyFill="1" applyAlignment="1">
      <alignment horizontal="right"/>
    </xf>
    <xf numFmtId="169" fontId="0" fillId="9" borderId="0" xfId="0" applyNumberFormat="1" applyFill="1" applyAlignment="1">
      <alignment horizontal="right"/>
    </xf>
    <xf numFmtId="169" fontId="0" fillId="16" borderId="0" xfId="0" applyNumberFormat="1" applyFill="1" applyAlignment="1">
      <alignment horizontal="right"/>
    </xf>
    <xf numFmtId="0" fontId="11" fillId="22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21" fillId="0" borderId="0" xfId="0" applyFont="1"/>
    <xf numFmtId="170" fontId="0" fillId="14" borderId="0" xfId="0" applyNumberFormat="1" applyFill="1" applyAlignment="1">
      <alignment horizontal="center"/>
    </xf>
    <xf numFmtId="171" fontId="0" fillId="0" borderId="0" xfId="0" applyNumberFormat="1" applyAlignment="1">
      <alignment horizontal="right"/>
    </xf>
    <xf numFmtId="170" fontId="0" fillId="23" borderId="0" xfId="0" applyNumberFormat="1" applyFill="1" applyAlignment="1">
      <alignment horizontal="center"/>
    </xf>
    <xf numFmtId="170" fontId="0" fillId="24" borderId="0" xfId="0" applyNumberFormat="1" applyFill="1" applyAlignment="1">
      <alignment horizontal="center"/>
    </xf>
    <xf numFmtId="0" fontId="22" fillId="0" borderId="0" xfId="0" applyFont="1"/>
    <xf numFmtId="0" fontId="11" fillId="20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72" fontId="6" fillId="0" borderId="0" xfId="3" applyNumberFormat="1"/>
    <xf numFmtId="0" fontId="24" fillId="11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0" fontId="3" fillId="0" borderId="1" xfId="0" applyFont="1" applyBorder="1"/>
    <xf numFmtId="0" fontId="0" fillId="0" borderId="1" xfId="0" applyBorder="1"/>
    <xf numFmtId="0" fontId="2" fillId="0" borderId="0" xfId="0" applyFont="1"/>
    <xf numFmtId="0" fontId="9" fillId="0" borderId="0" xfId="0" applyFont="1"/>
    <xf numFmtId="0" fontId="8" fillId="0" borderId="0" xfId="0" applyFont="1"/>
    <xf numFmtId="0" fontId="14" fillId="0" borderId="0" xfId="0" applyFont="1"/>
    <xf numFmtId="0" fontId="13" fillId="0" borderId="0" xfId="0" applyFont="1"/>
    <xf numFmtId="0" fontId="11" fillId="11" borderId="0" xfId="0" applyFont="1" applyFill="1" applyAlignment="1">
      <alignment horizontal="center" wrapText="1"/>
    </xf>
    <xf numFmtId="0" fontId="12" fillId="0" borderId="0" xfId="0" applyFont="1"/>
    <xf numFmtId="0" fontId="10" fillId="0" borderId="0" xfId="0" applyFont="1"/>
    <xf numFmtId="0" fontId="18" fillId="0" borderId="0" xfId="0" applyFont="1"/>
    <xf numFmtId="0" fontId="11" fillId="18" borderId="0" xfId="0" applyFont="1" applyFill="1" applyAlignment="1">
      <alignment horizontal="center" wrapText="1"/>
    </xf>
    <xf numFmtId="0" fontId="7" fillId="0" borderId="0" xfId="0" applyFont="1"/>
    <xf numFmtId="0" fontId="11" fillId="17" borderId="0" xfId="0" applyFont="1" applyFill="1" applyAlignment="1">
      <alignment horizontal="center" wrapText="1"/>
    </xf>
    <xf numFmtId="0" fontId="19" fillId="20" borderId="0" xfId="0" applyFont="1" applyFill="1" applyAlignment="1">
      <alignment horizontal="center" vertical="center"/>
    </xf>
    <xf numFmtId="0" fontId="20" fillId="21" borderId="0" xfId="0" applyFont="1" applyFill="1" applyAlignment="1">
      <alignment horizontal="center"/>
    </xf>
    <xf numFmtId="0" fontId="23" fillId="20" borderId="0" xfId="0" applyFont="1" applyFill="1" applyAlignment="1">
      <alignment horizontal="center"/>
    </xf>
    <xf numFmtId="0" fontId="21" fillId="25" borderId="0" xfId="0" applyFont="1" applyFill="1"/>
    <xf numFmtId="0" fontId="12" fillId="0" borderId="0" xfId="0" applyFont="1" applyAlignment="1">
      <alignment horizontal="center"/>
    </xf>
    <xf numFmtId="0" fontId="20" fillId="11" borderId="0" xfId="0" applyFont="1" applyFill="1" applyAlignment="1">
      <alignment horizontal="center"/>
    </xf>
    <xf numFmtId="0" fontId="20" fillId="18" borderId="0" xfId="0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2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8" customWidth="1"/>
    <col min="2" max="2" width="14" customWidth="1"/>
    <col min="3" max="3" width="15" customWidth="1"/>
    <col min="4" max="4" width="16.28515625" customWidth="1"/>
    <col min="5" max="5" width="14" customWidth="1"/>
    <col min="6" max="6" width="17" customWidth="1"/>
    <col min="7" max="7" width="22.7109375" customWidth="1"/>
    <col min="8" max="8" width="18.7109375" bestFit="1" customWidth="1"/>
    <col min="9" max="9" width="17" customWidth="1"/>
    <col min="10" max="10" width="20" bestFit="1" customWidth="1"/>
    <col min="11" max="11" width="17.5703125" bestFit="1" customWidth="1"/>
    <col min="12" max="12" width="15" customWidth="1"/>
    <col min="13" max="13" width="15" style="14" customWidth="1"/>
    <col min="14" max="14" width="13" hidden="1" customWidth="1"/>
    <col min="15" max="15" width="21.28515625" bestFit="1" customWidth="1"/>
    <col min="17" max="17" width="15" bestFit="1" customWidth="1"/>
    <col min="18" max="19" width="20.140625" bestFit="1" customWidth="1"/>
  </cols>
  <sheetData>
    <row r="1" spans="1:17" ht="26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5" t="s">
        <v>12</v>
      </c>
      <c r="N1" s="20" t="s">
        <v>13</v>
      </c>
      <c r="O1" s="7" t="s">
        <v>14</v>
      </c>
      <c r="P1" s="19" t="s">
        <v>15</v>
      </c>
      <c r="Q1" s="19" t="s">
        <v>16</v>
      </c>
    </row>
    <row r="2" spans="1:17" ht="18.75" customHeight="1" x14ac:dyDescent="0.3">
      <c r="A2" s="103" t="s">
        <v>17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4"/>
    </row>
    <row r="4" spans="1:17" x14ac:dyDescent="0.25">
      <c r="A4" s="1" t="s">
        <v>18</v>
      </c>
      <c r="F4" s="107" t="s">
        <v>19</v>
      </c>
      <c r="G4" s="102"/>
    </row>
    <row r="5" spans="1:17" x14ac:dyDescent="0.25">
      <c r="A5" s="105" t="s">
        <v>20</v>
      </c>
      <c r="B5" s="106"/>
      <c r="C5" s="106"/>
      <c r="D5" s="2">
        <v>2000</v>
      </c>
      <c r="F5" s="3" t="s">
        <v>21</v>
      </c>
      <c r="G5" s="3" t="s">
        <v>22</v>
      </c>
    </row>
    <row r="6" spans="1:17" x14ac:dyDescent="0.25">
      <c r="A6" s="105" t="s">
        <v>23</v>
      </c>
      <c r="B6" s="106"/>
      <c r="C6" s="106"/>
      <c r="D6" s="4">
        <v>0</v>
      </c>
      <c r="F6" s="5" t="s">
        <v>24</v>
      </c>
      <c r="G6" s="2">
        <v>1000000</v>
      </c>
    </row>
    <row r="7" spans="1:17" x14ac:dyDescent="0.25">
      <c r="A7" s="105" t="s">
        <v>25</v>
      </c>
      <c r="B7" s="106"/>
      <c r="C7" s="106"/>
      <c r="D7" s="12">
        <v>1</v>
      </c>
      <c r="F7" s="5" t="s">
        <v>26</v>
      </c>
      <c r="G7" s="2">
        <v>5000000</v>
      </c>
    </row>
    <row r="8" spans="1:17" x14ac:dyDescent="0.25">
      <c r="A8" s="105" t="s">
        <v>27</v>
      </c>
      <c r="B8" s="106"/>
      <c r="C8" s="106"/>
      <c r="D8" s="4">
        <v>1</v>
      </c>
      <c r="F8" s="5" t="s">
        <v>28</v>
      </c>
      <c r="G8" s="2">
        <v>5000000</v>
      </c>
    </row>
    <row r="9" spans="1:17" x14ac:dyDescent="0.25">
      <c r="A9" s="105" t="s">
        <v>29</v>
      </c>
      <c r="B9" s="106"/>
      <c r="C9" s="106"/>
      <c r="D9" s="6">
        <v>0.04</v>
      </c>
      <c r="F9" s="5" t="s">
        <v>30</v>
      </c>
      <c r="G9" s="2">
        <v>5000000</v>
      </c>
    </row>
    <row r="10" spans="1:17" x14ac:dyDescent="0.25">
      <c r="A10" s="105" t="s">
        <v>31</v>
      </c>
      <c r="B10" s="106"/>
      <c r="C10" s="106"/>
      <c r="D10" s="2">
        <v>5000000</v>
      </c>
      <c r="F10" s="5" t="s">
        <v>32</v>
      </c>
      <c r="G10" s="2">
        <v>6000000</v>
      </c>
    </row>
    <row r="11" spans="1:17" x14ac:dyDescent="0.25">
      <c r="A11" s="105" t="s">
        <v>33</v>
      </c>
      <c r="B11" s="106"/>
      <c r="C11" s="106"/>
      <c r="D11" s="2">
        <v>500000000000</v>
      </c>
      <c r="F11" s="5" t="s">
        <v>34</v>
      </c>
      <c r="G11" s="2">
        <v>7000000</v>
      </c>
    </row>
    <row r="12" spans="1:17" x14ac:dyDescent="0.25">
      <c r="F12" s="5" t="s">
        <v>35</v>
      </c>
      <c r="G12" s="2">
        <v>8000000</v>
      </c>
    </row>
    <row r="13" spans="1:17" x14ac:dyDescent="0.25">
      <c r="F13" s="5" t="s">
        <v>36</v>
      </c>
      <c r="G13" s="2">
        <v>10000000</v>
      </c>
    </row>
    <row r="14" spans="1:17" x14ac:dyDescent="0.25">
      <c r="F14" s="5" t="s">
        <v>37</v>
      </c>
      <c r="G14" s="2">
        <v>10000000</v>
      </c>
    </row>
    <row r="15" spans="1:17" x14ac:dyDescent="0.25">
      <c r="F15" s="5" t="s">
        <v>38</v>
      </c>
      <c r="G15" s="2">
        <v>10000000</v>
      </c>
    </row>
    <row r="16" spans="1:17" x14ac:dyDescent="0.25">
      <c r="F16" s="5" t="s">
        <v>39</v>
      </c>
      <c r="G16" s="2">
        <v>10000000</v>
      </c>
    </row>
    <row r="17" spans="1:17" x14ac:dyDescent="0.25">
      <c r="F17" s="5" t="s">
        <v>40</v>
      </c>
      <c r="G17" s="2">
        <v>10000000</v>
      </c>
    </row>
    <row r="18" spans="1:17" x14ac:dyDescent="0.25">
      <c r="F18" s="5" t="s">
        <v>41</v>
      </c>
      <c r="G18" s="2">
        <v>10000000</v>
      </c>
    </row>
    <row r="19" spans="1:17" x14ac:dyDescent="0.25">
      <c r="F19" s="5" t="s">
        <v>42</v>
      </c>
      <c r="G19" s="2">
        <v>20000000</v>
      </c>
    </row>
    <row r="20" spans="1:17" x14ac:dyDescent="0.25">
      <c r="F20" s="5" t="s">
        <v>43</v>
      </c>
      <c r="G20" s="2">
        <v>20000000</v>
      </c>
    </row>
    <row r="21" spans="1:17" x14ac:dyDescent="0.25">
      <c r="F21" s="5" t="s">
        <v>44</v>
      </c>
      <c r="G21" s="2">
        <v>20000000</v>
      </c>
    </row>
    <row r="22" spans="1:17" x14ac:dyDescent="0.25">
      <c r="F22" s="5" t="s">
        <v>45</v>
      </c>
      <c r="G22" s="2">
        <v>20000000</v>
      </c>
    </row>
    <row r="23" spans="1:17" x14ac:dyDescent="0.25">
      <c r="F23" s="5" t="s">
        <v>46</v>
      </c>
      <c r="G23" s="2">
        <v>20000000</v>
      </c>
    </row>
    <row r="24" spans="1:17" x14ac:dyDescent="0.25">
      <c r="F24" s="5" t="s">
        <v>47</v>
      </c>
      <c r="G24" s="2">
        <v>20000000</v>
      </c>
    </row>
    <row r="25" spans="1:17" x14ac:dyDescent="0.25">
      <c r="F25" s="5" t="s">
        <v>48</v>
      </c>
      <c r="G25" s="2">
        <v>20000000</v>
      </c>
    </row>
    <row r="26" spans="1:17" x14ac:dyDescent="0.25">
      <c r="F26" s="5" t="s">
        <v>49</v>
      </c>
      <c r="G26" s="2">
        <v>20000000</v>
      </c>
    </row>
    <row r="27" spans="1:17" x14ac:dyDescent="0.25">
      <c r="F27" s="5" t="s">
        <v>50</v>
      </c>
      <c r="G27" s="2">
        <v>20000000</v>
      </c>
    </row>
    <row r="28" spans="1:17" x14ac:dyDescent="0.25">
      <c r="F28" s="5" t="s">
        <v>51</v>
      </c>
      <c r="G28" s="2">
        <v>20000000</v>
      </c>
    </row>
    <row r="29" spans="1:17" x14ac:dyDescent="0.25">
      <c r="F29" s="5" t="s">
        <v>52</v>
      </c>
      <c r="G29" s="2">
        <v>20000000</v>
      </c>
    </row>
    <row r="30" spans="1:17" x14ac:dyDescent="0.25">
      <c r="F30" s="5" t="s">
        <v>53</v>
      </c>
      <c r="G30" s="2">
        <v>20000000</v>
      </c>
    </row>
    <row r="31" spans="1:17" ht="35.1" customHeight="1" x14ac:dyDescent="0.25"/>
    <row r="32" spans="1:17" ht="26.25" customHeight="1" x14ac:dyDescent="0.25">
      <c r="A32" s="7" t="s">
        <v>0</v>
      </c>
      <c r="B32" s="7" t="s">
        <v>1</v>
      </c>
      <c r="C32" s="7" t="s">
        <v>2</v>
      </c>
      <c r="D32" s="7" t="s">
        <v>3</v>
      </c>
      <c r="E32" s="7" t="s">
        <v>4</v>
      </c>
      <c r="F32" s="7" t="s">
        <v>5</v>
      </c>
      <c r="G32" s="7" t="s">
        <v>6</v>
      </c>
      <c r="H32" s="7" t="s">
        <v>7</v>
      </c>
      <c r="I32" s="7" t="s">
        <v>8</v>
      </c>
      <c r="J32" s="7" t="s">
        <v>9</v>
      </c>
      <c r="K32" s="7" t="s">
        <v>10</v>
      </c>
      <c r="L32" s="7" t="s">
        <v>11</v>
      </c>
      <c r="M32" s="15" t="s">
        <v>12</v>
      </c>
      <c r="N32" s="20" t="s">
        <v>13</v>
      </c>
      <c r="O32" s="7" t="s">
        <v>14</v>
      </c>
      <c r="P32" s="20" t="s">
        <v>15</v>
      </c>
      <c r="Q32" s="20" t="s">
        <v>16</v>
      </c>
    </row>
    <row r="33" spans="1:17" x14ac:dyDescent="0.25">
      <c r="A33" s="8">
        <v>1</v>
      </c>
      <c r="B33" s="9">
        <v>1</v>
      </c>
      <c r="C33" s="10">
        <f>MAX(0,MIN(INT($D$10/$D$5*B33),INT($D$11/$D$5)))</f>
        <v>2500</v>
      </c>
      <c r="D33" s="10">
        <f>C33</f>
        <v>2500</v>
      </c>
      <c r="E33" s="10">
        <f t="shared" ref="E33:E96" si="0">$D$5</f>
        <v>2000</v>
      </c>
      <c r="F33" s="10">
        <f>MIN(D33*E33,$D$11)</f>
        <v>5000000</v>
      </c>
      <c r="G33" s="10">
        <f>F33-P33</f>
        <v>5000000</v>
      </c>
      <c r="H33" s="13">
        <f>$D$6*F33</f>
        <v>0</v>
      </c>
      <c r="I33" s="13">
        <f t="shared" ref="I33:I96" si="1">$D$7*F33+Q33</f>
        <v>5000000</v>
      </c>
      <c r="J33" s="13">
        <f>$D$8*F33-P33*2-Q33</f>
        <v>5000000</v>
      </c>
      <c r="K33" s="13">
        <v>0</v>
      </c>
      <c r="L33" s="11">
        <f t="shared" ref="L33:L96" si="2">IF(G33=0,0,(J33/G33)/2)</f>
        <v>0.5</v>
      </c>
      <c r="M33" s="16">
        <f t="shared" ref="M33:M96" si="3">I33/G33</f>
        <v>1</v>
      </c>
      <c r="N33" s="10">
        <f t="shared" ref="N33:N96" si="4">INDEX($G$6:$G$30,MIN(INT((A33-1)/12)+1,25))</f>
        <v>1000000</v>
      </c>
      <c r="O33" s="18">
        <f t="shared" ref="O33:O96" si="5">G33*2</f>
        <v>10000000</v>
      </c>
      <c r="P33">
        <v>0</v>
      </c>
      <c r="Q33">
        <f t="shared" ref="Q33:Q96" si="6">MAX(0,0.01*G33-$D$7*F33)</f>
        <v>0</v>
      </c>
    </row>
    <row r="34" spans="1:17" x14ac:dyDescent="0.25">
      <c r="A34" s="8">
        <v>2</v>
      </c>
      <c r="B34" s="9">
        <v>1</v>
      </c>
      <c r="C34" s="10">
        <f>MAX(0,MIN(INT(($D$10+SUM($N$33:N33)+SUM($P$33:P33))/$D$5*B34)-D33,IF($D$11&gt;G33,INT(($D$11-G33)/$D$5),0)-D33))</f>
        <v>500</v>
      </c>
      <c r="D34" s="10">
        <f t="shared" ref="D34:D97" si="7">D33+C34</f>
        <v>3000</v>
      </c>
      <c r="E34" s="10">
        <f t="shared" si="0"/>
        <v>2000</v>
      </c>
      <c r="F34" s="10">
        <f t="shared" ref="F34:F97" si="8">IF(G33&gt;=$D$11,0,MIN(D34*E34,$D$11-G33))</f>
        <v>6000000</v>
      </c>
      <c r="G34" s="10">
        <f t="shared" ref="G34:G97" si="9">G33+F34-P34</f>
        <v>11000000</v>
      </c>
      <c r="H34" s="13">
        <f t="shared" ref="H34:H97" si="10">H33+$D$6*F34</f>
        <v>0</v>
      </c>
      <c r="I34" s="13">
        <f t="shared" si="1"/>
        <v>6000000</v>
      </c>
      <c r="J34" s="13">
        <f t="shared" ref="J34:J97" si="11">J33+$D$8*F34+K34-P34*2-Q34</f>
        <v>11016666.666666666</v>
      </c>
      <c r="K34" s="13">
        <f t="shared" ref="K34:K97" si="12">($D$9/12)*J33</f>
        <v>16666.666666666668</v>
      </c>
      <c r="L34" s="11">
        <f t="shared" si="2"/>
        <v>0.50075757575757573</v>
      </c>
      <c r="M34" s="16">
        <f t="shared" si="3"/>
        <v>0.54545454545454541</v>
      </c>
      <c r="N34" s="10">
        <f t="shared" si="4"/>
        <v>1000000</v>
      </c>
      <c r="O34" s="18">
        <f t="shared" si="5"/>
        <v>22000000</v>
      </c>
      <c r="P34">
        <v>0</v>
      </c>
      <c r="Q34">
        <f t="shared" si="6"/>
        <v>0</v>
      </c>
    </row>
    <row r="35" spans="1:17" x14ac:dyDescent="0.25">
      <c r="A35" s="8">
        <v>3</v>
      </c>
      <c r="B35" s="9">
        <v>1</v>
      </c>
      <c r="C35" s="10">
        <f>MAX(0,MIN(INT(($D$10+SUM($N$33:N34)+SUM($P$33:P34))/$D$5*B35)-D34,IF($D$11&gt;G34,INT(($D$11-G34)/$D$5),0)-D34))</f>
        <v>500</v>
      </c>
      <c r="D35" s="10">
        <f t="shared" si="7"/>
        <v>3500</v>
      </c>
      <c r="E35" s="10">
        <f t="shared" si="0"/>
        <v>2000</v>
      </c>
      <c r="F35" s="10">
        <f t="shared" si="8"/>
        <v>7000000</v>
      </c>
      <c r="G35" s="10">
        <f t="shared" si="9"/>
        <v>18000000</v>
      </c>
      <c r="H35" s="13">
        <f t="shared" si="10"/>
        <v>0</v>
      </c>
      <c r="I35" s="13">
        <f t="shared" si="1"/>
        <v>7000000</v>
      </c>
      <c r="J35" s="13">
        <f t="shared" si="11"/>
        <v>18053388.888888888</v>
      </c>
      <c r="K35" s="13">
        <f t="shared" si="12"/>
        <v>36722.222222222219</v>
      </c>
      <c r="L35" s="11">
        <f t="shared" si="2"/>
        <v>0.50148302469135797</v>
      </c>
      <c r="M35" s="16">
        <f t="shared" si="3"/>
        <v>0.3888888888888889</v>
      </c>
      <c r="N35" s="10">
        <f t="shared" si="4"/>
        <v>1000000</v>
      </c>
      <c r="O35" s="18">
        <f t="shared" si="5"/>
        <v>36000000</v>
      </c>
      <c r="P35">
        <v>0</v>
      </c>
      <c r="Q35">
        <f t="shared" si="6"/>
        <v>0</v>
      </c>
    </row>
    <row r="36" spans="1:17" x14ac:dyDescent="0.25">
      <c r="A36" s="8">
        <v>4</v>
      </c>
      <c r="B36" s="9">
        <v>1</v>
      </c>
      <c r="C36" s="10">
        <f>MAX(0,MIN(INT(($D$10+SUM($N$33:N35)+SUM($P$33:P35))/$D$5*B36)-D35,IF($D$11&gt;G35,INT(($D$11-G35)/$D$5),0)-D35))</f>
        <v>500</v>
      </c>
      <c r="D36" s="10">
        <f t="shared" si="7"/>
        <v>4000</v>
      </c>
      <c r="E36" s="10">
        <f t="shared" si="0"/>
        <v>2000</v>
      </c>
      <c r="F36" s="10">
        <f t="shared" si="8"/>
        <v>8000000</v>
      </c>
      <c r="G36" s="10">
        <f t="shared" si="9"/>
        <v>26000000</v>
      </c>
      <c r="H36" s="13">
        <f t="shared" si="10"/>
        <v>0</v>
      </c>
      <c r="I36" s="13">
        <f t="shared" si="1"/>
        <v>8000000</v>
      </c>
      <c r="J36" s="13">
        <f t="shared" si="11"/>
        <v>26113566.851851851</v>
      </c>
      <c r="K36" s="13">
        <f t="shared" si="12"/>
        <v>60177.962962962964</v>
      </c>
      <c r="L36" s="11">
        <f t="shared" si="2"/>
        <v>0.50218397792022795</v>
      </c>
      <c r="M36" s="16">
        <f t="shared" si="3"/>
        <v>0.30769230769230771</v>
      </c>
      <c r="N36" s="10">
        <f t="shared" si="4"/>
        <v>1000000</v>
      </c>
      <c r="O36" s="18">
        <f t="shared" si="5"/>
        <v>52000000</v>
      </c>
      <c r="P36">
        <v>0</v>
      </c>
      <c r="Q36">
        <f t="shared" si="6"/>
        <v>0</v>
      </c>
    </row>
    <row r="37" spans="1:17" x14ac:dyDescent="0.25">
      <c r="A37" s="8">
        <v>5</v>
      </c>
      <c r="B37" s="9">
        <v>1</v>
      </c>
      <c r="C37" s="10">
        <f>MAX(0,MIN(INT(($D$10+SUM($N$33:N36)+SUM($P$33:P36))/$D$5*B37)-D36,IF($D$11&gt;G36,INT(($D$11-G36)/$D$5),0)-D36))</f>
        <v>500</v>
      </c>
      <c r="D37" s="10">
        <f t="shared" si="7"/>
        <v>4500</v>
      </c>
      <c r="E37" s="10">
        <f t="shared" si="0"/>
        <v>2000</v>
      </c>
      <c r="F37" s="10">
        <f t="shared" si="8"/>
        <v>9000000</v>
      </c>
      <c r="G37" s="10">
        <f t="shared" si="9"/>
        <v>35000000</v>
      </c>
      <c r="H37" s="13">
        <f t="shared" si="10"/>
        <v>0</v>
      </c>
      <c r="I37" s="13">
        <f t="shared" si="1"/>
        <v>9000000</v>
      </c>
      <c r="J37" s="13">
        <f t="shared" si="11"/>
        <v>35200612.074691355</v>
      </c>
      <c r="K37" s="13">
        <f t="shared" si="12"/>
        <v>87045.222839506168</v>
      </c>
      <c r="L37" s="11">
        <f t="shared" si="2"/>
        <v>0.50286588678130506</v>
      </c>
      <c r="M37" s="16">
        <f t="shared" si="3"/>
        <v>0.25714285714285712</v>
      </c>
      <c r="N37" s="10">
        <f t="shared" si="4"/>
        <v>1000000</v>
      </c>
      <c r="O37" s="18">
        <f t="shared" si="5"/>
        <v>70000000</v>
      </c>
      <c r="P37">
        <v>0</v>
      </c>
      <c r="Q37">
        <f t="shared" si="6"/>
        <v>0</v>
      </c>
    </row>
    <row r="38" spans="1:17" x14ac:dyDescent="0.25">
      <c r="A38" s="8">
        <v>6</v>
      </c>
      <c r="B38" s="9">
        <v>1</v>
      </c>
      <c r="C38" s="10">
        <f>MAX(0,MIN(INT(($D$10+SUM($N$33:N37)+SUM($P$33:P37))/$D$5*B38)-D37,IF($D$11&gt;G37,INT(($D$11-G37)/$D$5),0)-D37))</f>
        <v>500</v>
      </c>
      <c r="D38" s="10">
        <f t="shared" si="7"/>
        <v>5000</v>
      </c>
      <c r="E38" s="10">
        <f t="shared" si="0"/>
        <v>2000</v>
      </c>
      <c r="F38" s="10">
        <f t="shared" si="8"/>
        <v>10000000</v>
      </c>
      <c r="G38" s="10">
        <f t="shared" si="9"/>
        <v>45000000</v>
      </c>
      <c r="H38" s="13">
        <f t="shared" si="10"/>
        <v>0</v>
      </c>
      <c r="I38" s="13">
        <f t="shared" si="1"/>
        <v>10000000</v>
      </c>
      <c r="J38" s="13">
        <f t="shared" si="11"/>
        <v>45317947.448273659</v>
      </c>
      <c r="K38" s="13">
        <f t="shared" si="12"/>
        <v>117335.37358230453</v>
      </c>
      <c r="L38" s="11">
        <f t="shared" si="2"/>
        <v>0.50353274942526283</v>
      </c>
      <c r="M38" s="16">
        <f t="shared" si="3"/>
        <v>0.22222222222222221</v>
      </c>
      <c r="N38" s="10">
        <f t="shared" si="4"/>
        <v>1000000</v>
      </c>
      <c r="O38" s="18">
        <f t="shared" si="5"/>
        <v>90000000</v>
      </c>
      <c r="P38">
        <v>0</v>
      </c>
      <c r="Q38">
        <f t="shared" si="6"/>
        <v>0</v>
      </c>
    </row>
    <row r="39" spans="1:17" x14ac:dyDescent="0.25">
      <c r="A39" s="8">
        <v>7</v>
      </c>
      <c r="B39" s="9">
        <v>1</v>
      </c>
      <c r="C39" s="10">
        <f>MAX(0,MIN(INT(($D$10+SUM($N$33:N38)+SUM($P$33:P38))/$D$5*B39)-D38,IF($D$11&gt;G38,INT(($D$11-G38)/$D$5),0)-D38))</f>
        <v>500</v>
      </c>
      <c r="D39" s="10">
        <f t="shared" si="7"/>
        <v>5500</v>
      </c>
      <c r="E39" s="10">
        <f t="shared" si="0"/>
        <v>2000</v>
      </c>
      <c r="F39" s="10">
        <f t="shared" si="8"/>
        <v>11000000</v>
      </c>
      <c r="G39" s="10">
        <f t="shared" si="9"/>
        <v>56000000</v>
      </c>
      <c r="H39" s="13">
        <f t="shared" si="10"/>
        <v>0</v>
      </c>
      <c r="I39" s="13">
        <f t="shared" si="1"/>
        <v>11000000</v>
      </c>
      <c r="J39" s="13">
        <f t="shared" si="11"/>
        <v>56469007.27310124</v>
      </c>
      <c r="K39" s="13">
        <f t="shared" si="12"/>
        <v>151059.82482757888</v>
      </c>
      <c r="L39" s="11">
        <f t="shared" si="2"/>
        <v>0.50418756493840389</v>
      </c>
      <c r="M39" s="16">
        <f t="shared" si="3"/>
        <v>0.19642857142857142</v>
      </c>
      <c r="N39" s="10">
        <f t="shared" si="4"/>
        <v>1000000</v>
      </c>
      <c r="O39" s="18">
        <f t="shared" si="5"/>
        <v>112000000</v>
      </c>
      <c r="P39">
        <v>0</v>
      </c>
      <c r="Q39">
        <f t="shared" si="6"/>
        <v>0</v>
      </c>
    </row>
    <row r="40" spans="1:17" x14ac:dyDescent="0.25">
      <c r="A40" s="8">
        <v>8</v>
      </c>
      <c r="B40" s="9">
        <v>1</v>
      </c>
      <c r="C40" s="10">
        <f>MAX(0,MIN(INT(($D$10+SUM($N$33:N39)+SUM($P$33:P39))/$D$5*B40)-D39,IF($D$11&gt;G39,INT(($D$11-G39)/$D$5),0)-D39))</f>
        <v>500</v>
      </c>
      <c r="D40" s="10">
        <f t="shared" si="7"/>
        <v>6000</v>
      </c>
      <c r="E40" s="10">
        <f t="shared" si="0"/>
        <v>2000</v>
      </c>
      <c r="F40" s="10">
        <f t="shared" si="8"/>
        <v>12000000</v>
      </c>
      <c r="G40" s="10">
        <f t="shared" si="9"/>
        <v>68000000</v>
      </c>
      <c r="H40" s="13">
        <f t="shared" si="10"/>
        <v>0</v>
      </c>
      <c r="I40" s="13">
        <f t="shared" si="1"/>
        <v>12000000</v>
      </c>
      <c r="J40" s="13">
        <f t="shared" si="11"/>
        <v>68657237.297344908</v>
      </c>
      <c r="K40" s="13">
        <f t="shared" si="12"/>
        <v>188230.02424367081</v>
      </c>
      <c r="L40" s="11">
        <f t="shared" si="2"/>
        <v>0.50483262718635957</v>
      </c>
      <c r="M40" s="16">
        <f t="shared" si="3"/>
        <v>0.17647058823529413</v>
      </c>
      <c r="N40" s="10">
        <f t="shared" si="4"/>
        <v>1000000</v>
      </c>
      <c r="O40" s="18">
        <f t="shared" si="5"/>
        <v>136000000</v>
      </c>
      <c r="P40">
        <v>0</v>
      </c>
      <c r="Q40">
        <f t="shared" si="6"/>
        <v>0</v>
      </c>
    </row>
    <row r="41" spans="1:17" x14ac:dyDescent="0.25">
      <c r="A41" s="8">
        <v>9</v>
      </c>
      <c r="B41" s="9">
        <v>1</v>
      </c>
      <c r="C41" s="10">
        <f>MAX(0,MIN(INT(($D$10+SUM($N$33:N40)+SUM($P$33:P40))/$D$5*B41)-D40,IF($D$11&gt;G40,INT(($D$11-G40)/$D$5),0)-D40))</f>
        <v>500</v>
      </c>
      <c r="D41" s="10">
        <f t="shared" si="7"/>
        <v>6500</v>
      </c>
      <c r="E41" s="10">
        <f t="shared" si="0"/>
        <v>2000</v>
      </c>
      <c r="F41" s="10">
        <f t="shared" si="8"/>
        <v>13000000</v>
      </c>
      <c r="G41" s="10">
        <f t="shared" si="9"/>
        <v>81000000</v>
      </c>
      <c r="H41" s="13">
        <f t="shared" si="10"/>
        <v>0</v>
      </c>
      <c r="I41" s="13">
        <f t="shared" si="1"/>
        <v>13000000</v>
      </c>
      <c r="J41" s="13">
        <f t="shared" si="11"/>
        <v>81886094.755002722</v>
      </c>
      <c r="K41" s="13">
        <f t="shared" si="12"/>
        <v>228857.45765781638</v>
      </c>
      <c r="L41" s="11">
        <f t="shared" si="2"/>
        <v>0.50546972070989338</v>
      </c>
      <c r="M41" s="16">
        <f t="shared" si="3"/>
        <v>0.16049382716049382</v>
      </c>
      <c r="N41" s="10">
        <f t="shared" si="4"/>
        <v>1000000</v>
      </c>
      <c r="O41" s="18">
        <f t="shared" si="5"/>
        <v>162000000</v>
      </c>
      <c r="P41">
        <v>0</v>
      </c>
      <c r="Q41">
        <f t="shared" si="6"/>
        <v>0</v>
      </c>
    </row>
    <row r="42" spans="1:17" x14ac:dyDescent="0.25">
      <c r="A42" s="8">
        <v>10</v>
      </c>
      <c r="B42" s="9">
        <v>1</v>
      </c>
      <c r="C42" s="10">
        <f>MAX(0,MIN(INT(($D$10+SUM($N$33:N41)+SUM($P$33:P41))/$D$5*B42)-D41,IF($D$11&gt;G41,INT(($D$11-G41)/$D$5),0)-D41))</f>
        <v>500</v>
      </c>
      <c r="D42" s="10">
        <f t="shared" si="7"/>
        <v>7000</v>
      </c>
      <c r="E42" s="10">
        <f t="shared" si="0"/>
        <v>2000</v>
      </c>
      <c r="F42" s="10">
        <f t="shared" si="8"/>
        <v>14000000</v>
      </c>
      <c r="G42" s="10">
        <f t="shared" si="9"/>
        <v>95000000</v>
      </c>
      <c r="H42" s="13">
        <f t="shared" si="10"/>
        <v>0</v>
      </c>
      <c r="I42" s="13">
        <f t="shared" si="1"/>
        <v>14000000</v>
      </c>
      <c r="J42" s="13">
        <f t="shared" si="11"/>
        <v>96159048.40418607</v>
      </c>
      <c r="K42" s="13">
        <f t="shared" si="12"/>
        <v>272953.64918334241</v>
      </c>
      <c r="L42" s="11">
        <f t="shared" si="2"/>
        <v>0.5061002547588741</v>
      </c>
      <c r="M42" s="16">
        <f t="shared" si="3"/>
        <v>0.14736842105263157</v>
      </c>
      <c r="N42" s="10">
        <f t="shared" si="4"/>
        <v>1000000</v>
      </c>
      <c r="O42" s="18">
        <f t="shared" si="5"/>
        <v>190000000</v>
      </c>
      <c r="P42">
        <v>0</v>
      </c>
      <c r="Q42">
        <f t="shared" si="6"/>
        <v>0</v>
      </c>
    </row>
    <row r="43" spans="1:17" x14ac:dyDescent="0.25">
      <c r="A43" s="8">
        <v>11</v>
      </c>
      <c r="B43" s="9">
        <v>1</v>
      </c>
      <c r="C43" s="10">
        <f>MAX(0,MIN(INT(($D$10+SUM($N$33:N42)+SUM($P$33:P42))/$D$5*B43)-D42,IF($D$11&gt;G42,INT(($D$11-G42)/$D$5),0)-D42))</f>
        <v>500</v>
      </c>
      <c r="D43" s="10">
        <f t="shared" si="7"/>
        <v>7500</v>
      </c>
      <c r="E43" s="10">
        <f t="shared" si="0"/>
        <v>2000</v>
      </c>
      <c r="F43" s="10">
        <f t="shared" si="8"/>
        <v>15000000</v>
      </c>
      <c r="G43" s="10">
        <f t="shared" si="9"/>
        <v>110000000</v>
      </c>
      <c r="H43" s="13">
        <f t="shared" si="10"/>
        <v>0</v>
      </c>
      <c r="I43" s="13">
        <f t="shared" si="1"/>
        <v>15000000</v>
      </c>
      <c r="J43" s="13">
        <f t="shared" si="11"/>
        <v>111479578.56553335</v>
      </c>
      <c r="K43" s="13">
        <f t="shared" si="12"/>
        <v>320530.16134728689</v>
      </c>
      <c r="L43" s="11">
        <f t="shared" si="2"/>
        <v>0.5067253571160607</v>
      </c>
      <c r="M43" s="16">
        <f t="shared" si="3"/>
        <v>0.13636363636363635</v>
      </c>
      <c r="N43" s="10">
        <f t="shared" si="4"/>
        <v>1000000</v>
      </c>
      <c r="O43" s="18">
        <f t="shared" si="5"/>
        <v>220000000</v>
      </c>
      <c r="P43">
        <v>0</v>
      </c>
      <c r="Q43">
        <f t="shared" si="6"/>
        <v>0</v>
      </c>
    </row>
    <row r="44" spans="1:17" x14ac:dyDescent="0.25">
      <c r="A44" s="8">
        <v>12</v>
      </c>
      <c r="B44" s="9">
        <v>1</v>
      </c>
      <c r="C44" s="10">
        <f>MAX(0,MIN(INT(($D$10+SUM($N$33:N43)+SUM($P$33:P43))/$D$5*B44)-D43,IF($D$11&gt;G43,INT(($D$11-G43)/$D$5),0)-D43))</f>
        <v>500</v>
      </c>
      <c r="D44" s="10">
        <f t="shared" si="7"/>
        <v>8000</v>
      </c>
      <c r="E44" s="10">
        <f t="shared" si="0"/>
        <v>2000</v>
      </c>
      <c r="F44" s="10">
        <f t="shared" si="8"/>
        <v>16000000</v>
      </c>
      <c r="G44" s="10">
        <f t="shared" si="9"/>
        <v>126000000</v>
      </c>
      <c r="H44" s="13">
        <f t="shared" si="10"/>
        <v>0</v>
      </c>
      <c r="I44" s="13">
        <f t="shared" si="1"/>
        <v>16000000</v>
      </c>
      <c r="J44" s="13">
        <f t="shared" si="11"/>
        <v>127851177.1607518</v>
      </c>
      <c r="K44" s="13">
        <f t="shared" si="12"/>
        <v>371598.59521844453</v>
      </c>
      <c r="L44" s="11">
        <f t="shared" si="2"/>
        <v>0.50734594111409448</v>
      </c>
      <c r="M44" s="16">
        <f t="shared" si="3"/>
        <v>0.12698412698412698</v>
      </c>
      <c r="N44" s="10">
        <f t="shared" si="4"/>
        <v>1000000</v>
      </c>
      <c r="O44" s="18">
        <f t="shared" si="5"/>
        <v>252000000</v>
      </c>
      <c r="P44">
        <v>0</v>
      </c>
      <c r="Q44">
        <f t="shared" si="6"/>
        <v>0</v>
      </c>
    </row>
    <row r="45" spans="1:17" x14ac:dyDescent="0.25">
      <c r="A45" s="8">
        <v>13</v>
      </c>
      <c r="B45" s="9">
        <v>1</v>
      </c>
      <c r="C45" s="10">
        <f>MAX(0,MIN(INT(($D$10+SUM($N$33:N44)+SUM($P$33:P44))/$D$5*B45)-D44,IF($D$11&gt;G44,INT(($D$11-G44)/$D$5),0)-D44))</f>
        <v>500</v>
      </c>
      <c r="D45" s="10">
        <f t="shared" si="7"/>
        <v>8500</v>
      </c>
      <c r="E45" s="10">
        <f t="shared" si="0"/>
        <v>2000</v>
      </c>
      <c r="F45" s="10">
        <f t="shared" si="8"/>
        <v>17000000</v>
      </c>
      <c r="G45" s="10">
        <f t="shared" si="9"/>
        <v>143000000</v>
      </c>
      <c r="H45" s="13">
        <f t="shared" si="10"/>
        <v>0</v>
      </c>
      <c r="I45" s="13">
        <f t="shared" si="1"/>
        <v>17000000</v>
      </c>
      <c r="J45" s="13">
        <f t="shared" si="11"/>
        <v>145277347.75128767</v>
      </c>
      <c r="K45" s="13">
        <f t="shared" si="12"/>
        <v>426170.59053583938</v>
      </c>
      <c r="L45" s="11">
        <f t="shared" si="2"/>
        <v>0.50796275437513172</v>
      </c>
      <c r="M45" s="16">
        <f t="shared" si="3"/>
        <v>0.11888111888111888</v>
      </c>
      <c r="N45" s="10">
        <f t="shared" si="4"/>
        <v>5000000</v>
      </c>
      <c r="O45" s="18">
        <f t="shared" si="5"/>
        <v>286000000</v>
      </c>
      <c r="P45">
        <v>0</v>
      </c>
      <c r="Q45">
        <f t="shared" si="6"/>
        <v>0</v>
      </c>
    </row>
    <row r="46" spans="1:17" x14ac:dyDescent="0.25">
      <c r="A46" s="8">
        <v>14</v>
      </c>
      <c r="B46" s="9">
        <v>1</v>
      </c>
      <c r="C46" s="10">
        <f>MAX(0,MIN(INT(($D$10+SUM($N$33:N45)+SUM($P$33:P45))/$D$5*B46)-D45,IF($D$11&gt;G45,INT(($D$11-G45)/$D$5),0)-D45))</f>
        <v>2500</v>
      </c>
      <c r="D46" s="10">
        <f t="shared" si="7"/>
        <v>11000</v>
      </c>
      <c r="E46" s="10">
        <f t="shared" si="0"/>
        <v>2000</v>
      </c>
      <c r="F46" s="10">
        <f t="shared" si="8"/>
        <v>22000000</v>
      </c>
      <c r="G46" s="10">
        <f t="shared" si="9"/>
        <v>165000000</v>
      </c>
      <c r="H46" s="13">
        <f t="shared" si="10"/>
        <v>0</v>
      </c>
      <c r="I46" s="13">
        <f t="shared" si="1"/>
        <v>22000000</v>
      </c>
      <c r="J46" s="13">
        <f t="shared" si="11"/>
        <v>167761605.57712528</v>
      </c>
      <c r="K46" s="13">
        <f t="shared" si="12"/>
        <v>484257.8258376256</v>
      </c>
      <c r="L46" s="11">
        <f t="shared" si="2"/>
        <v>0.5083685017488645</v>
      </c>
      <c r="M46" s="16">
        <f t="shared" si="3"/>
        <v>0.13333333333333333</v>
      </c>
      <c r="N46" s="10">
        <f t="shared" si="4"/>
        <v>5000000</v>
      </c>
      <c r="O46" s="18">
        <f t="shared" si="5"/>
        <v>330000000</v>
      </c>
      <c r="P46">
        <v>0</v>
      </c>
      <c r="Q46">
        <f t="shared" si="6"/>
        <v>0</v>
      </c>
    </row>
    <row r="47" spans="1:17" x14ac:dyDescent="0.25">
      <c r="A47" s="8">
        <v>15</v>
      </c>
      <c r="B47" s="9">
        <v>1</v>
      </c>
      <c r="C47" s="10">
        <f>MAX(0,MIN(INT(($D$10+SUM($N$33:N46)+SUM($P$33:P46))/$D$5*B47)-D46,IF($D$11&gt;G46,INT(($D$11-G46)/$D$5),0)-D46))</f>
        <v>2500</v>
      </c>
      <c r="D47" s="10">
        <f t="shared" si="7"/>
        <v>13500</v>
      </c>
      <c r="E47" s="10">
        <f t="shared" si="0"/>
        <v>2000</v>
      </c>
      <c r="F47" s="10">
        <f t="shared" si="8"/>
        <v>27000000</v>
      </c>
      <c r="G47" s="10">
        <f t="shared" si="9"/>
        <v>192000000</v>
      </c>
      <c r="H47" s="13">
        <f t="shared" si="10"/>
        <v>0</v>
      </c>
      <c r="I47" s="13">
        <f t="shared" si="1"/>
        <v>27000000</v>
      </c>
      <c r="J47" s="13">
        <f t="shared" si="11"/>
        <v>195320810.92904904</v>
      </c>
      <c r="K47" s="13">
        <f t="shared" si="12"/>
        <v>559205.35192375095</v>
      </c>
      <c r="L47" s="11">
        <f t="shared" si="2"/>
        <v>0.50864794512773193</v>
      </c>
      <c r="M47" s="16">
        <f t="shared" si="3"/>
        <v>0.140625</v>
      </c>
      <c r="N47" s="10">
        <f t="shared" si="4"/>
        <v>5000000</v>
      </c>
      <c r="O47" s="18">
        <f t="shared" si="5"/>
        <v>384000000</v>
      </c>
      <c r="P47">
        <v>0</v>
      </c>
      <c r="Q47">
        <f t="shared" si="6"/>
        <v>0</v>
      </c>
    </row>
    <row r="48" spans="1:17" x14ac:dyDescent="0.25">
      <c r="A48" s="8">
        <v>16</v>
      </c>
      <c r="B48" s="9">
        <v>1</v>
      </c>
      <c r="C48" s="10">
        <f>MAX(0,MIN(INT(($D$10+SUM($N$33:N47)+SUM($P$33:P47))/$D$5*B48)-D47,IF($D$11&gt;G47,INT(($D$11-G47)/$D$5),0)-D47))</f>
        <v>2500</v>
      </c>
      <c r="D48" s="10">
        <f t="shared" si="7"/>
        <v>16000</v>
      </c>
      <c r="E48" s="10">
        <f t="shared" si="0"/>
        <v>2000</v>
      </c>
      <c r="F48" s="10">
        <f t="shared" si="8"/>
        <v>32000000</v>
      </c>
      <c r="G48" s="10">
        <f t="shared" si="9"/>
        <v>224000000</v>
      </c>
      <c r="H48" s="13">
        <f t="shared" si="10"/>
        <v>0</v>
      </c>
      <c r="I48" s="13">
        <f t="shared" si="1"/>
        <v>32000000</v>
      </c>
      <c r="J48" s="13">
        <f t="shared" si="11"/>
        <v>227971880.29881254</v>
      </c>
      <c r="K48" s="13">
        <f t="shared" si="12"/>
        <v>651069.36976349691</v>
      </c>
      <c r="L48" s="11">
        <f t="shared" si="2"/>
        <v>0.50886580423842087</v>
      </c>
      <c r="M48" s="16">
        <f t="shared" si="3"/>
        <v>0.14285714285714285</v>
      </c>
      <c r="N48" s="10">
        <f t="shared" si="4"/>
        <v>5000000</v>
      </c>
      <c r="O48" s="18">
        <f t="shared" si="5"/>
        <v>448000000</v>
      </c>
      <c r="P48">
        <v>0</v>
      </c>
      <c r="Q48">
        <f t="shared" si="6"/>
        <v>0</v>
      </c>
    </row>
    <row r="49" spans="1:17" x14ac:dyDescent="0.25">
      <c r="A49" s="8">
        <v>17</v>
      </c>
      <c r="B49" s="9">
        <v>1</v>
      </c>
      <c r="C49" s="10">
        <f>MAX(0,MIN(INT(($D$10+SUM($N$33:N48)+SUM($P$33:P48))/$D$5*B49)-D48,IF($D$11&gt;G48,INT(($D$11-G48)/$D$5),0)-D48))</f>
        <v>2500</v>
      </c>
      <c r="D49" s="10">
        <f t="shared" si="7"/>
        <v>18500</v>
      </c>
      <c r="E49" s="10">
        <f t="shared" si="0"/>
        <v>2000</v>
      </c>
      <c r="F49" s="10">
        <f t="shared" si="8"/>
        <v>37000000</v>
      </c>
      <c r="G49" s="10">
        <f t="shared" si="9"/>
        <v>261000000</v>
      </c>
      <c r="H49" s="13">
        <f t="shared" si="10"/>
        <v>0</v>
      </c>
      <c r="I49" s="13">
        <f t="shared" si="1"/>
        <v>37000000</v>
      </c>
      <c r="J49" s="13">
        <f t="shared" si="11"/>
        <v>265731786.56647524</v>
      </c>
      <c r="K49" s="13">
        <f t="shared" si="12"/>
        <v>759906.26766270853</v>
      </c>
      <c r="L49" s="11">
        <f t="shared" si="2"/>
        <v>0.50906472522313262</v>
      </c>
      <c r="M49" s="16">
        <f t="shared" si="3"/>
        <v>0.1417624521072797</v>
      </c>
      <c r="N49" s="10">
        <f t="shared" si="4"/>
        <v>5000000</v>
      </c>
      <c r="O49" s="18">
        <f t="shared" si="5"/>
        <v>522000000</v>
      </c>
      <c r="P49">
        <v>0</v>
      </c>
      <c r="Q49">
        <f t="shared" si="6"/>
        <v>0</v>
      </c>
    </row>
    <row r="50" spans="1:17" x14ac:dyDescent="0.25">
      <c r="A50" s="8">
        <v>18</v>
      </c>
      <c r="B50" s="9">
        <v>1</v>
      </c>
      <c r="C50" s="10">
        <f>MAX(0,MIN(INT(($D$10+SUM($N$33:N49)+SUM($P$33:P49))/$D$5*B50)-D49,IF($D$11&gt;G49,INT(($D$11-G49)/$D$5),0)-D49))</f>
        <v>2500</v>
      </c>
      <c r="D50" s="10">
        <f t="shared" si="7"/>
        <v>21000</v>
      </c>
      <c r="E50" s="10">
        <f t="shared" si="0"/>
        <v>2000</v>
      </c>
      <c r="F50" s="10">
        <f t="shared" si="8"/>
        <v>42000000</v>
      </c>
      <c r="G50" s="10">
        <f t="shared" si="9"/>
        <v>303000000</v>
      </c>
      <c r="H50" s="13">
        <f t="shared" si="10"/>
        <v>0</v>
      </c>
      <c r="I50" s="13">
        <f t="shared" si="1"/>
        <v>42000000</v>
      </c>
      <c r="J50" s="13">
        <f t="shared" si="11"/>
        <v>308617559.18836355</v>
      </c>
      <c r="K50" s="13">
        <f t="shared" si="12"/>
        <v>885772.62188825081</v>
      </c>
      <c r="L50" s="11">
        <f t="shared" si="2"/>
        <v>0.50926989965076497</v>
      </c>
      <c r="M50" s="16">
        <f t="shared" si="3"/>
        <v>0.13861386138613863</v>
      </c>
      <c r="N50" s="10">
        <f t="shared" si="4"/>
        <v>5000000</v>
      </c>
      <c r="O50" s="18">
        <f t="shared" si="5"/>
        <v>606000000</v>
      </c>
      <c r="P50">
        <v>0</v>
      </c>
      <c r="Q50">
        <f t="shared" si="6"/>
        <v>0</v>
      </c>
    </row>
    <row r="51" spans="1:17" x14ac:dyDescent="0.25">
      <c r="A51" s="8">
        <v>19</v>
      </c>
      <c r="B51" s="9">
        <v>1</v>
      </c>
      <c r="C51" s="10">
        <f>MAX(0,MIN(INT(($D$10+SUM($N$33:N50)+SUM($P$33:P50))/$D$5*B51)-D50,IF($D$11&gt;G50,INT(($D$11-G50)/$D$5),0)-D50))</f>
        <v>2500</v>
      </c>
      <c r="D51" s="10">
        <f t="shared" si="7"/>
        <v>23500</v>
      </c>
      <c r="E51" s="10">
        <f t="shared" si="0"/>
        <v>2000</v>
      </c>
      <c r="F51" s="10">
        <f t="shared" si="8"/>
        <v>47000000</v>
      </c>
      <c r="G51" s="10">
        <f t="shared" si="9"/>
        <v>350000000</v>
      </c>
      <c r="H51" s="13">
        <f t="shared" si="10"/>
        <v>0</v>
      </c>
      <c r="I51" s="13">
        <f t="shared" si="1"/>
        <v>47000000</v>
      </c>
      <c r="J51" s="13">
        <f t="shared" si="11"/>
        <v>356646284.38565809</v>
      </c>
      <c r="K51" s="13">
        <f t="shared" si="12"/>
        <v>1028725.1972945452</v>
      </c>
      <c r="L51" s="11">
        <f t="shared" si="2"/>
        <v>0.50949469197951158</v>
      </c>
      <c r="M51" s="16">
        <f t="shared" si="3"/>
        <v>0.13428571428571429</v>
      </c>
      <c r="N51" s="10">
        <f t="shared" si="4"/>
        <v>5000000</v>
      </c>
      <c r="O51" s="18">
        <f t="shared" si="5"/>
        <v>700000000</v>
      </c>
      <c r="P51">
        <v>0</v>
      </c>
      <c r="Q51">
        <f t="shared" si="6"/>
        <v>0</v>
      </c>
    </row>
    <row r="52" spans="1:17" x14ac:dyDescent="0.25">
      <c r="A52" s="8">
        <v>20</v>
      </c>
      <c r="B52" s="9">
        <v>1</v>
      </c>
      <c r="C52" s="10">
        <f>MAX(0,MIN(INT(($D$10+SUM($N$33:N51)+SUM($P$33:P51))/$D$5*B52)-D51,IF($D$11&gt;G51,INT(($D$11-G51)/$D$5),0)-D51))</f>
        <v>2500</v>
      </c>
      <c r="D52" s="10">
        <f t="shared" si="7"/>
        <v>26000</v>
      </c>
      <c r="E52" s="10">
        <f t="shared" si="0"/>
        <v>2000</v>
      </c>
      <c r="F52" s="10">
        <f t="shared" si="8"/>
        <v>52000000</v>
      </c>
      <c r="G52" s="10">
        <f t="shared" si="9"/>
        <v>402000000</v>
      </c>
      <c r="H52" s="13">
        <f t="shared" si="10"/>
        <v>0</v>
      </c>
      <c r="I52" s="13">
        <f t="shared" si="1"/>
        <v>52000000</v>
      </c>
      <c r="J52" s="13">
        <f t="shared" si="11"/>
        <v>409835105.3336103</v>
      </c>
      <c r="K52" s="13">
        <f t="shared" si="12"/>
        <v>1188820.9479521937</v>
      </c>
      <c r="L52" s="11">
        <f t="shared" si="2"/>
        <v>0.50974515588757496</v>
      </c>
      <c r="M52" s="16">
        <f t="shared" si="3"/>
        <v>0.12935323383084577</v>
      </c>
      <c r="N52" s="10">
        <f t="shared" si="4"/>
        <v>5000000</v>
      </c>
      <c r="O52" s="18">
        <f t="shared" si="5"/>
        <v>804000000</v>
      </c>
      <c r="P52">
        <v>0</v>
      </c>
      <c r="Q52">
        <f t="shared" si="6"/>
        <v>0</v>
      </c>
    </row>
    <row r="53" spans="1:17" x14ac:dyDescent="0.25">
      <c r="A53" s="8">
        <v>21</v>
      </c>
      <c r="B53" s="9">
        <v>1</v>
      </c>
      <c r="C53" s="10">
        <f>MAX(0,MIN(INT(($D$10+SUM($N$33:N52)+SUM($P$33:P52))/$D$5*B53)-D52,IF($D$11&gt;G52,INT(($D$11-G52)/$D$5),0)-D52))</f>
        <v>2500</v>
      </c>
      <c r="D53" s="10">
        <f t="shared" si="7"/>
        <v>28500</v>
      </c>
      <c r="E53" s="10">
        <f t="shared" si="0"/>
        <v>2000</v>
      </c>
      <c r="F53" s="10">
        <f t="shared" si="8"/>
        <v>57000000</v>
      </c>
      <c r="G53" s="10">
        <f t="shared" si="9"/>
        <v>459000000</v>
      </c>
      <c r="H53" s="13">
        <f t="shared" si="10"/>
        <v>0</v>
      </c>
      <c r="I53" s="13">
        <f t="shared" si="1"/>
        <v>57000000</v>
      </c>
      <c r="J53" s="13">
        <f t="shared" si="11"/>
        <v>468201222.35138899</v>
      </c>
      <c r="K53" s="13">
        <f t="shared" si="12"/>
        <v>1366117.0177787011</v>
      </c>
      <c r="L53" s="11">
        <f t="shared" si="2"/>
        <v>0.51002311802983546</v>
      </c>
      <c r="M53" s="16">
        <f t="shared" si="3"/>
        <v>0.12418300653594772</v>
      </c>
      <c r="N53" s="10">
        <f t="shared" si="4"/>
        <v>5000000</v>
      </c>
      <c r="O53" s="18">
        <f t="shared" si="5"/>
        <v>918000000</v>
      </c>
      <c r="P53">
        <v>0</v>
      </c>
      <c r="Q53">
        <f t="shared" si="6"/>
        <v>0</v>
      </c>
    </row>
    <row r="54" spans="1:17" x14ac:dyDescent="0.25">
      <c r="A54" s="8">
        <v>22</v>
      </c>
      <c r="B54" s="9">
        <v>1</v>
      </c>
      <c r="C54" s="10">
        <f>MAX(0,MIN(INT(($D$10+SUM($N$33:N53)+SUM($P$33:P53))/$D$5*B54)-D53,IF($D$11&gt;G53,INT(($D$11-G53)/$D$5),0)-D53))</f>
        <v>2500</v>
      </c>
      <c r="D54" s="10">
        <f t="shared" si="7"/>
        <v>31000</v>
      </c>
      <c r="E54" s="10">
        <f t="shared" si="0"/>
        <v>2000</v>
      </c>
      <c r="F54" s="10">
        <f t="shared" si="8"/>
        <v>62000000</v>
      </c>
      <c r="G54" s="10">
        <f t="shared" si="9"/>
        <v>521000000</v>
      </c>
      <c r="H54" s="13">
        <f t="shared" si="10"/>
        <v>0</v>
      </c>
      <c r="I54" s="13">
        <f t="shared" si="1"/>
        <v>62000000</v>
      </c>
      <c r="J54" s="13">
        <f t="shared" si="11"/>
        <v>531761893.09256029</v>
      </c>
      <c r="K54" s="13">
        <f t="shared" si="12"/>
        <v>1560670.7411712967</v>
      </c>
      <c r="L54" s="11">
        <f t="shared" si="2"/>
        <v>0.51032811237289855</v>
      </c>
      <c r="M54" s="16">
        <f t="shared" si="3"/>
        <v>0.11900191938579655</v>
      </c>
      <c r="N54" s="10">
        <f t="shared" si="4"/>
        <v>5000000</v>
      </c>
      <c r="O54" s="18">
        <f t="shared" si="5"/>
        <v>1042000000</v>
      </c>
      <c r="P54">
        <v>0</v>
      </c>
      <c r="Q54">
        <f t="shared" si="6"/>
        <v>0</v>
      </c>
    </row>
    <row r="55" spans="1:17" x14ac:dyDescent="0.25">
      <c r="A55" s="8">
        <v>23</v>
      </c>
      <c r="B55" s="9">
        <v>1</v>
      </c>
      <c r="C55" s="10">
        <f>MAX(0,MIN(INT(($D$10+SUM($N$33:N54)+SUM($P$33:P54))/$D$5*B55)-D54,IF($D$11&gt;G54,INT(($D$11-G54)/$D$5),0)-D54))</f>
        <v>2500</v>
      </c>
      <c r="D55" s="10">
        <f t="shared" si="7"/>
        <v>33500</v>
      </c>
      <c r="E55" s="10">
        <f t="shared" si="0"/>
        <v>2000</v>
      </c>
      <c r="F55" s="10">
        <f t="shared" si="8"/>
        <v>67000000</v>
      </c>
      <c r="G55" s="10">
        <f t="shared" si="9"/>
        <v>588000000</v>
      </c>
      <c r="H55" s="13">
        <f t="shared" si="10"/>
        <v>0</v>
      </c>
      <c r="I55" s="13">
        <f t="shared" si="1"/>
        <v>67000000</v>
      </c>
      <c r="J55" s="13">
        <f t="shared" si="11"/>
        <v>600534432.73620212</v>
      </c>
      <c r="K55" s="13">
        <f t="shared" si="12"/>
        <v>1772539.6436418677</v>
      </c>
      <c r="L55" s="11">
        <f t="shared" si="2"/>
        <v>0.5106585312382671</v>
      </c>
      <c r="M55" s="16">
        <f t="shared" si="3"/>
        <v>0.11394557823129252</v>
      </c>
      <c r="N55" s="10">
        <f t="shared" si="4"/>
        <v>5000000</v>
      </c>
      <c r="O55" s="18">
        <f t="shared" si="5"/>
        <v>1176000000</v>
      </c>
      <c r="P55">
        <v>0</v>
      </c>
      <c r="Q55">
        <f t="shared" si="6"/>
        <v>0</v>
      </c>
    </row>
    <row r="56" spans="1:17" x14ac:dyDescent="0.25">
      <c r="A56" s="8">
        <v>24</v>
      </c>
      <c r="B56" s="9">
        <v>1</v>
      </c>
      <c r="C56" s="10">
        <f>MAX(0,MIN(INT(($D$10+SUM($N$33:N55)+SUM($P$33:P55))/$D$5*B56)-D55,IF($D$11&gt;G55,INT(($D$11-G55)/$D$5),0)-D55))</f>
        <v>2500</v>
      </c>
      <c r="D56" s="10">
        <f t="shared" si="7"/>
        <v>36000</v>
      </c>
      <c r="E56" s="10">
        <f t="shared" si="0"/>
        <v>2000</v>
      </c>
      <c r="F56" s="10">
        <f t="shared" si="8"/>
        <v>72000000</v>
      </c>
      <c r="G56" s="10">
        <f t="shared" si="9"/>
        <v>660000000</v>
      </c>
      <c r="H56" s="13">
        <f t="shared" si="10"/>
        <v>0</v>
      </c>
      <c r="I56" s="13">
        <f t="shared" si="1"/>
        <v>72000000</v>
      </c>
      <c r="J56" s="13">
        <f t="shared" si="11"/>
        <v>674536214.1786561</v>
      </c>
      <c r="K56" s="13">
        <f t="shared" si="12"/>
        <v>2001781.4424540072</v>
      </c>
      <c r="L56" s="11">
        <f t="shared" si="2"/>
        <v>0.51101228346867889</v>
      </c>
      <c r="M56" s="16">
        <f t="shared" si="3"/>
        <v>0.10909090909090909</v>
      </c>
      <c r="N56" s="10">
        <f t="shared" si="4"/>
        <v>5000000</v>
      </c>
      <c r="O56" s="18">
        <f t="shared" si="5"/>
        <v>1320000000</v>
      </c>
      <c r="P56">
        <v>0</v>
      </c>
      <c r="Q56">
        <f t="shared" si="6"/>
        <v>0</v>
      </c>
    </row>
    <row r="57" spans="1:17" x14ac:dyDescent="0.25">
      <c r="A57" s="8">
        <v>25</v>
      </c>
      <c r="B57" s="9">
        <v>1</v>
      </c>
      <c r="C57" s="10">
        <f>MAX(0,MIN(INT(($D$10+SUM($N$33:N56)+SUM($P$33:P56))/$D$5*B57)-D56,IF($D$11&gt;G56,INT(($D$11-G56)/$D$5),0)-D56))</f>
        <v>2500</v>
      </c>
      <c r="D57" s="10">
        <f t="shared" si="7"/>
        <v>38500</v>
      </c>
      <c r="E57" s="10">
        <f t="shared" si="0"/>
        <v>2000</v>
      </c>
      <c r="F57" s="10">
        <f t="shared" si="8"/>
        <v>77000000</v>
      </c>
      <c r="G57" s="10">
        <f t="shared" si="9"/>
        <v>737000000</v>
      </c>
      <c r="H57" s="13">
        <f t="shared" si="10"/>
        <v>0</v>
      </c>
      <c r="I57" s="13">
        <f t="shared" si="1"/>
        <v>77000000</v>
      </c>
      <c r="J57" s="13">
        <f t="shared" si="11"/>
        <v>753784668.22591829</v>
      </c>
      <c r="K57" s="13">
        <f t="shared" si="12"/>
        <v>2248454.0472621871</v>
      </c>
      <c r="L57" s="11">
        <f t="shared" si="2"/>
        <v>0.51138715619126074</v>
      </c>
      <c r="M57" s="16">
        <f t="shared" si="3"/>
        <v>0.1044776119402985</v>
      </c>
      <c r="N57" s="10">
        <f t="shared" si="4"/>
        <v>5000000</v>
      </c>
      <c r="O57" s="18">
        <f t="shared" si="5"/>
        <v>1474000000</v>
      </c>
      <c r="P57">
        <v>0</v>
      </c>
      <c r="Q57">
        <f t="shared" si="6"/>
        <v>0</v>
      </c>
    </row>
    <row r="58" spans="1:17" x14ac:dyDescent="0.25">
      <c r="A58" s="8">
        <v>26</v>
      </c>
      <c r="B58" s="9">
        <v>1</v>
      </c>
      <c r="C58" s="10">
        <f>MAX(0,MIN(INT(($D$10+SUM($N$33:N57)+SUM($P$33:P57))/$D$5*B58)-D57,IF($D$11&gt;G57,INT(($D$11-G57)/$D$5),0)-D57))</f>
        <v>2500</v>
      </c>
      <c r="D58" s="10">
        <f t="shared" si="7"/>
        <v>41000</v>
      </c>
      <c r="E58" s="10">
        <f t="shared" si="0"/>
        <v>2000</v>
      </c>
      <c r="F58" s="10">
        <f t="shared" si="8"/>
        <v>82000000</v>
      </c>
      <c r="G58" s="10">
        <f t="shared" si="9"/>
        <v>819000000</v>
      </c>
      <c r="H58" s="13">
        <f t="shared" si="10"/>
        <v>0</v>
      </c>
      <c r="I58" s="13">
        <f t="shared" si="1"/>
        <v>82000000</v>
      </c>
      <c r="J58" s="13">
        <f t="shared" si="11"/>
        <v>838297283.7866714</v>
      </c>
      <c r="K58" s="13">
        <f t="shared" si="12"/>
        <v>2512615.560753061</v>
      </c>
      <c r="L58" s="11">
        <f t="shared" si="2"/>
        <v>0.51178100353276645</v>
      </c>
      <c r="M58" s="16">
        <f t="shared" si="3"/>
        <v>0.10012210012210013</v>
      </c>
      <c r="N58" s="10">
        <f t="shared" si="4"/>
        <v>5000000</v>
      </c>
      <c r="O58" s="18">
        <f t="shared" si="5"/>
        <v>1638000000</v>
      </c>
      <c r="P58">
        <v>0</v>
      </c>
      <c r="Q58">
        <f t="shared" si="6"/>
        <v>0</v>
      </c>
    </row>
    <row r="59" spans="1:17" x14ac:dyDescent="0.25">
      <c r="A59" s="8">
        <v>27</v>
      </c>
      <c r="B59" s="9">
        <v>1</v>
      </c>
      <c r="C59" s="10">
        <f>MAX(0,MIN(INT(($D$10+SUM($N$33:N58)+SUM($P$33:P58))/$D$5*B59)-D58,IF($D$11&gt;G58,INT(($D$11-G58)/$D$5),0)-D58))</f>
        <v>2500</v>
      </c>
      <c r="D59" s="10">
        <f t="shared" si="7"/>
        <v>43500</v>
      </c>
      <c r="E59" s="10">
        <f t="shared" si="0"/>
        <v>2000</v>
      </c>
      <c r="F59" s="10">
        <f t="shared" si="8"/>
        <v>87000000</v>
      </c>
      <c r="G59" s="10">
        <f t="shared" si="9"/>
        <v>906000000</v>
      </c>
      <c r="H59" s="13">
        <f t="shared" si="10"/>
        <v>0</v>
      </c>
      <c r="I59" s="13">
        <f t="shared" si="1"/>
        <v>87000000</v>
      </c>
      <c r="J59" s="13">
        <f t="shared" si="11"/>
        <v>928091608.06596029</v>
      </c>
      <c r="K59" s="13">
        <f t="shared" si="12"/>
        <v>2794324.2792889047</v>
      </c>
      <c r="L59" s="11">
        <f t="shared" si="2"/>
        <v>0.51219183668099355</v>
      </c>
      <c r="M59" s="16">
        <f t="shared" si="3"/>
        <v>9.602649006622517E-2</v>
      </c>
      <c r="N59" s="10">
        <f t="shared" si="4"/>
        <v>5000000</v>
      </c>
      <c r="O59" s="18">
        <f t="shared" si="5"/>
        <v>1812000000</v>
      </c>
      <c r="P59">
        <v>0</v>
      </c>
      <c r="Q59">
        <f t="shared" si="6"/>
        <v>0</v>
      </c>
    </row>
    <row r="60" spans="1:17" x14ac:dyDescent="0.25">
      <c r="A60" s="8">
        <v>28</v>
      </c>
      <c r="B60" s="9">
        <v>1</v>
      </c>
      <c r="C60" s="10">
        <f>MAX(0,MIN(INT(($D$10+SUM($N$33:N59)+SUM($P$33:P59))/$D$5*B60)-D59,IF($D$11&gt;G59,INT(($D$11-G59)/$D$5),0)-D59))</f>
        <v>2500</v>
      </c>
      <c r="D60" s="10">
        <f t="shared" si="7"/>
        <v>46000</v>
      </c>
      <c r="E60" s="10">
        <f t="shared" si="0"/>
        <v>2000</v>
      </c>
      <c r="F60" s="10">
        <f t="shared" si="8"/>
        <v>92000000</v>
      </c>
      <c r="G60" s="10">
        <f t="shared" si="9"/>
        <v>998000000</v>
      </c>
      <c r="H60" s="13">
        <f t="shared" si="10"/>
        <v>0</v>
      </c>
      <c r="I60" s="13">
        <f t="shared" si="1"/>
        <v>92000000</v>
      </c>
      <c r="J60" s="13">
        <f t="shared" si="11"/>
        <v>1023185246.7595135</v>
      </c>
      <c r="K60" s="13">
        <f t="shared" si="12"/>
        <v>3093638.6935532014</v>
      </c>
      <c r="L60" s="11">
        <f t="shared" si="2"/>
        <v>0.51261785909795266</v>
      </c>
      <c r="M60" s="16">
        <f t="shared" si="3"/>
        <v>9.2184368737474945E-2</v>
      </c>
      <c r="N60" s="10">
        <f t="shared" si="4"/>
        <v>5000000</v>
      </c>
      <c r="O60" s="18">
        <f t="shared" si="5"/>
        <v>1996000000</v>
      </c>
      <c r="P60">
        <v>0</v>
      </c>
      <c r="Q60">
        <f t="shared" si="6"/>
        <v>0</v>
      </c>
    </row>
    <row r="61" spans="1:17" x14ac:dyDescent="0.25">
      <c r="A61" s="8">
        <v>29</v>
      </c>
      <c r="B61" s="9">
        <v>1</v>
      </c>
      <c r="C61" s="10">
        <f>MAX(0,MIN(INT(($D$10+SUM($N$33:N60)+SUM($P$33:P60))/$D$5*B61)-D60,IF($D$11&gt;G60,INT(($D$11-G60)/$D$5),0)-D60))</f>
        <v>2500</v>
      </c>
      <c r="D61" s="10">
        <f t="shared" si="7"/>
        <v>48500</v>
      </c>
      <c r="E61" s="10">
        <f t="shared" si="0"/>
        <v>2000</v>
      </c>
      <c r="F61" s="10">
        <f t="shared" si="8"/>
        <v>97000000</v>
      </c>
      <c r="G61" s="10">
        <f t="shared" si="9"/>
        <v>1095000000</v>
      </c>
      <c r="H61" s="13">
        <f t="shared" si="10"/>
        <v>0</v>
      </c>
      <c r="I61" s="13">
        <f t="shared" si="1"/>
        <v>97000000</v>
      </c>
      <c r="J61" s="13">
        <f t="shared" si="11"/>
        <v>1123595864.2487118</v>
      </c>
      <c r="K61" s="13">
        <f t="shared" si="12"/>
        <v>3410617.4891983788</v>
      </c>
      <c r="L61" s="11">
        <f t="shared" si="2"/>
        <v>0.51305747225968579</v>
      </c>
      <c r="M61" s="16">
        <f t="shared" si="3"/>
        <v>8.8584474885844755E-2</v>
      </c>
      <c r="N61" s="10">
        <f t="shared" si="4"/>
        <v>5000000</v>
      </c>
      <c r="O61" s="18">
        <f t="shared" si="5"/>
        <v>2190000000</v>
      </c>
      <c r="P61">
        <v>0</v>
      </c>
      <c r="Q61">
        <f t="shared" si="6"/>
        <v>0</v>
      </c>
    </row>
    <row r="62" spans="1:17" x14ac:dyDescent="0.25">
      <c r="A62" s="8">
        <v>30</v>
      </c>
      <c r="B62" s="9">
        <v>1</v>
      </c>
      <c r="C62" s="10">
        <f>MAX(0,MIN(INT(($D$10+SUM($N$33:N61)+SUM($P$33:P61))/$D$5*B62)-D61,IF($D$11&gt;G61,INT(($D$11-G61)/$D$5),0)-D61))</f>
        <v>2500</v>
      </c>
      <c r="D62" s="10">
        <f t="shared" si="7"/>
        <v>51000</v>
      </c>
      <c r="E62" s="10">
        <f t="shared" si="0"/>
        <v>2000</v>
      </c>
      <c r="F62" s="10">
        <f t="shared" si="8"/>
        <v>102000000</v>
      </c>
      <c r="G62" s="10">
        <f t="shared" si="9"/>
        <v>1197000000</v>
      </c>
      <c r="H62" s="13">
        <f t="shared" si="10"/>
        <v>0</v>
      </c>
      <c r="I62" s="13">
        <f t="shared" si="1"/>
        <v>102000000</v>
      </c>
      <c r="J62" s="13">
        <f t="shared" si="11"/>
        <v>1229341183.7962074</v>
      </c>
      <c r="K62" s="13">
        <f t="shared" si="12"/>
        <v>3745319.5474957065</v>
      </c>
      <c r="L62" s="11">
        <f t="shared" si="2"/>
        <v>0.51350926641445593</v>
      </c>
      <c r="M62" s="16">
        <f t="shared" si="3"/>
        <v>8.5213032581453629E-2</v>
      </c>
      <c r="N62" s="10">
        <f t="shared" si="4"/>
        <v>5000000</v>
      </c>
      <c r="O62" s="18">
        <f t="shared" si="5"/>
        <v>2394000000</v>
      </c>
      <c r="P62">
        <v>0</v>
      </c>
      <c r="Q62">
        <f t="shared" si="6"/>
        <v>0</v>
      </c>
    </row>
    <row r="63" spans="1:17" x14ac:dyDescent="0.25">
      <c r="A63" s="8">
        <v>31</v>
      </c>
      <c r="B63" s="9">
        <v>1</v>
      </c>
      <c r="C63" s="10">
        <f>MAX(0,MIN(INT(($D$10+SUM($N$33:N62)+SUM($P$33:P62))/$D$5*B63)-D62,IF($D$11&gt;G62,INT(($D$11-G62)/$D$5),0)-D62))</f>
        <v>2500</v>
      </c>
      <c r="D63" s="10">
        <f t="shared" si="7"/>
        <v>53500</v>
      </c>
      <c r="E63" s="10">
        <f t="shared" si="0"/>
        <v>2000</v>
      </c>
      <c r="F63" s="10">
        <f t="shared" si="8"/>
        <v>107000000</v>
      </c>
      <c r="G63" s="10">
        <f t="shared" si="9"/>
        <v>1304000000</v>
      </c>
      <c r="H63" s="13">
        <f t="shared" si="10"/>
        <v>0</v>
      </c>
      <c r="I63" s="13">
        <f t="shared" si="1"/>
        <v>107000000</v>
      </c>
      <c r="J63" s="13">
        <f t="shared" si="11"/>
        <v>1340438987.7421949</v>
      </c>
      <c r="K63" s="13">
        <f t="shared" si="12"/>
        <v>4097803.9459873582</v>
      </c>
      <c r="L63" s="11">
        <f t="shared" si="2"/>
        <v>0.51397200450237535</v>
      </c>
      <c r="M63" s="16">
        <f t="shared" si="3"/>
        <v>8.2055214723926378E-2</v>
      </c>
      <c r="N63" s="10">
        <f t="shared" si="4"/>
        <v>5000000</v>
      </c>
      <c r="O63" s="18">
        <f t="shared" si="5"/>
        <v>2608000000</v>
      </c>
      <c r="P63">
        <v>0</v>
      </c>
      <c r="Q63">
        <f t="shared" si="6"/>
        <v>0</v>
      </c>
    </row>
    <row r="64" spans="1:17" x14ac:dyDescent="0.25">
      <c r="A64" s="8">
        <v>32</v>
      </c>
      <c r="B64" s="9">
        <v>1</v>
      </c>
      <c r="C64" s="10">
        <f>MAX(0,MIN(INT(($D$10+SUM($N$33:N63)+SUM($P$33:P63))/$D$5*B64)-D63,IF($D$11&gt;G63,INT(($D$11-G63)/$D$5),0)-D63))</f>
        <v>2500</v>
      </c>
      <c r="D64" s="10">
        <f t="shared" si="7"/>
        <v>56000</v>
      </c>
      <c r="E64" s="10">
        <f t="shared" si="0"/>
        <v>2000</v>
      </c>
      <c r="F64" s="10">
        <f t="shared" si="8"/>
        <v>112000000</v>
      </c>
      <c r="G64" s="10">
        <f t="shared" si="9"/>
        <v>1416000000</v>
      </c>
      <c r="H64" s="13">
        <f t="shared" si="10"/>
        <v>0</v>
      </c>
      <c r="I64" s="13">
        <f t="shared" si="1"/>
        <v>112000000</v>
      </c>
      <c r="J64" s="13">
        <f t="shared" si="11"/>
        <v>1456907117.7013354</v>
      </c>
      <c r="K64" s="13">
        <f t="shared" si="12"/>
        <v>4468129.95914065</v>
      </c>
      <c r="L64" s="11">
        <f t="shared" si="2"/>
        <v>0.51444460370809864</v>
      </c>
      <c r="M64" s="16">
        <f t="shared" si="3"/>
        <v>7.909604519774012E-2</v>
      </c>
      <c r="N64" s="10">
        <f t="shared" si="4"/>
        <v>5000000</v>
      </c>
      <c r="O64" s="18">
        <f t="shared" si="5"/>
        <v>2832000000</v>
      </c>
      <c r="P64">
        <v>0</v>
      </c>
      <c r="Q64">
        <f t="shared" si="6"/>
        <v>0</v>
      </c>
    </row>
    <row r="65" spans="1:17" x14ac:dyDescent="0.25">
      <c r="A65" s="8">
        <v>33</v>
      </c>
      <c r="B65" s="9">
        <v>1</v>
      </c>
      <c r="C65" s="10">
        <f>MAX(0,MIN(INT(($D$10+SUM($N$33:N64)+SUM($P$33:P64))/$D$5*B65)-D64,IF($D$11&gt;G64,INT(($D$11-G64)/$D$5),0)-D64))</f>
        <v>2500</v>
      </c>
      <c r="D65" s="10">
        <f t="shared" si="7"/>
        <v>58500</v>
      </c>
      <c r="E65" s="10">
        <f t="shared" si="0"/>
        <v>2000</v>
      </c>
      <c r="F65" s="10">
        <f t="shared" si="8"/>
        <v>117000000</v>
      </c>
      <c r="G65" s="10">
        <f t="shared" si="9"/>
        <v>1533000000</v>
      </c>
      <c r="H65" s="13">
        <f t="shared" si="10"/>
        <v>0</v>
      </c>
      <c r="I65" s="13">
        <f t="shared" si="1"/>
        <v>117000000</v>
      </c>
      <c r="J65" s="13">
        <f t="shared" si="11"/>
        <v>1578763474.76034</v>
      </c>
      <c r="K65" s="13">
        <f t="shared" si="12"/>
        <v>4856357.0590044521</v>
      </c>
      <c r="L65" s="11">
        <f t="shared" si="2"/>
        <v>0.5149261170125049</v>
      </c>
      <c r="M65" s="16">
        <f t="shared" si="3"/>
        <v>7.6320939334637961E-2</v>
      </c>
      <c r="N65" s="10">
        <f t="shared" si="4"/>
        <v>5000000</v>
      </c>
      <c r="O65" s="18">
        <f t="shared" si="5"/>
        <v>3066000000</v>
      </c>
      <c r="P65">
        <v>0</v>
      </c>
      <c r="Q65">
        <f t="shared" si="6"/>
        <v>0</v>
      </c>
    </row>
    <row r="66" spans="1:17" x14ac:dyDescent="0.25">
      <c r="A66" s="8">
        <v>34</v>
      </c>
      <c r="B66" s="9">
        <v>1</v>
      </c>
      <c r="C66" s="10">
        <f>MAX(0,MIN(INT(($D$10+SUM($N$33:N65)+SUM($P$33:P65))/$D$5*B66)-D65,IF($D$11&gt;G65,INT(($D$11-G65)/$D$5),0)-D65))</f>
        <v>2500</v>
      </c>
      <c r="D66" s="10">
        <f t="shared" si="7"/>
        <v>61000</v>
      </c>
      <c r="E66" s="10">
        <f t="shared" si="0"/>
        <v>2000</v>
      </c>
      <c r="F66" s="10">
        <f t="shared" si="8"/>
        <v>122000000</v>
      </c>
      <c r="G66" s="10">
        <f t="shared" si="9"/>
        <v>1655000000</v>
      </c>
      <c r="H66" s="13">
        <f t="shared" si="10"/>
        <v>0</v>
      </c>
      <c r="I66" s="13">
        <f t="shared" si="1"/>
        <v>122000000</v>
      </c>
      <c r="J66" s="13">
        <f t="shared" si="11"/>
        <v>1706026019.6762078</v>
      </c>
      <c r="K66" s="13">
        <f t="shared" si="12"/>
        <v>5262544.9158677999</v>
      </c>
      <c r="L66" s="11">
        <f t="shared" si="2"/>
        <v>0.51541571591426216</v>
      </c>
      <c r="M66" s="16">
        <f t="shared" si="3"/>
        <v>7.371601208459215E-2</v>
      </c>
      <c r="N66" s="10">
        <f t="shared" si="4"/>
        <v>5000000</v>
      </c>
      <c r="O66" s="18">
        <f t="shared" si="5"/>
        <v>3310000000</v>
      </c>
      <c r="P66">
        <v>0</v>
      </c>
      <c r="Q66">
        <f t="shared" si="6"/>
        <v>0</v>
      </c>
    </row>
    <row r="67" spans="1:17" x14ac:dyDescent="0.25">
      <c r="A67" s="8">
        <v>35</v>
      </c>
      <c r="B67" s="9">
        <v>1</v>
      </c>
      <c r="C67" s="10">
        <f>MAX(0,MIN(INT(($D$10+SUM($N$33:N66)+SUM($P$33:P66))/$D$5*B67)-D66,IF($D$11&gt;G66,INT(($D$11-G66)/$D$5),0)-D66))</f>
        <v>2500</v>
      </c>
      <c r="D67" s="10">
        <f t="shared" si="7"/>
        <v>63500</v>
      </c>
      <c r="E67" s="10">
        <f t="shared" si="0"/>
        <v>2000</v>
      </c>
      <c r="F67" s="10">
        <f t="shared" si="8"/>
        <v>127000000</v>
      </c>
      <c r="G67" s="10">
        <f t="shared" si="9"/>
        <v>1782000000</v>
      </c>
      <c r="H67" s="13">
        <f t="shared" si="10"/>
        <v>0</v>
      </c>
      <c r="I67" s="13">
        <f t="shared" si="1"/>
        <v>127000000</v>
      </c>
      <c r="J67" s="13">
        <f t="shared" si="11"/>
        <v>1838712773.0751286</v>
      </c>
      <c r="K67" s="13">
        <f t="shared" si="12"/>
        <v>5686753.3989206925</v>
      </c>
      <c r="L67" s="11">
        <f t="shared" si="2"/>
        <v>0.51591267482467129</v>
      </c>
      <c r="M67" s="16">
        <f t="shared" si="3"/>
        <v>7.1268237934904596E-2</v>
      </c>
      <c r="N67" s="10">
        <f t="shared" si="4"/>
        <v>5000000</v>
      </c>
      <c r="O67" s="18">
        <f t="shared" si="5"/>
        <v>3564000000</v>
      </c>
      <c r="P67">
        <v>0</v>
      </c>
      <c r="Q67">
        <f t="shared" si="6"/>
        <v>0</v>
      </c>
    </row>
    <row r="68" spans="1:17" x14ac:dyDescent="0.25">
      <c r="A68" s="8">
        <v>36</v>
      </c>
      <c r="B68" s="9">
        <v>1</v>
      </c>
      <c r="C68" s="10">
        <f>MAX(0,MIN(INT(($D$10+SUM($N$33:N67)+SUM($P$33:P67))/$D$5*B68)-D67,IF($D$11&gt;G67,INT(($D$11-G67)/$D$5),0)-D67))</f>
        <v>2500</v>
      </c>
      <c r="D68" s="10">
        <f t="shared" si="7"/>
        <v>66000</v>
      </c>
      <c r="E68" s="10">
        <f t="shared" si="0"/>
        <v>2000</v>
      </c>
      <c r="F68" s="10">
        <f t="shared" si="8"/>
        <v>132000000</v>
      </c>
      <c r="G68" s="10">
        <f t="shared" si="9"/>
        <v>1914000000</v>
      </c>
      <c r="H68" s="13">
        <f t="shared" si="10"/>
        <v>0</v>
      </c>
      <c r="I68" s="13">
        <f t="shared" si="1"/>
        <v>132000000</v>
      </c>
      <c r="J68" s="13">
        <f t="shared" si="11"/>
        <v>1976841815.6520457</v>
      </c>
      <c r="K68" s="13">
        <f t="shared" si="12"/>
        <v>6129042.576917096</v>
      </c>
      <c r="L68" s="11">
        <f t="shared" si="2"/>
        <v>0.51641635727587398</v>
      </c>
      <c r="M68" s="16">
        <f t="shared" si="3"/>
        <v>6.8965517241379309E-2</v>
      </c>
      <c r="N68" s="10">
        <f t="shared" si="4"/>
        <v>5000000</v>
      </c>
      <c r="O68" s="18">
        <f t="shared" si="5"/>
        <v>3828000000</v>
      </c>
      <c r="P68">
        <v>0</v>
      </c>
      <c r="Q68">
        <f t="shared" si="6"/>
        <v>0</v>
      </c>
    </row>
    <row r="69" spans="1:17" x14ac:dyDescent="0.25">
      <c r="A69" s="8">
        <v>37</v>
      </c>
      <c r="B69" s="9">
        <v>1</v>
      </c>
      <c r="C69" s="10">
        <f>MAX(0,MIN(INT(($D$10+SUM($N$33:N68)+SUM($P$33:P68))/$D$5*B69)-D68,IF($D$11&gt;G68,INT(($D$11-G68)/$D$5),0)-D68))</f>
        <v>2500</v>
      </c>
      <c r="D69" s="10">
        <f t="shared" si="7"/>
        <v>68500</v>
      </c>
      <c r="E69" s="10">
        <f t="shared" si="0"/>
        <v>2000</v>
      </c>
      <c r="F69" s="10">
        <f t="shared" si="8"/>
        <v>137000000</v>
      </c>
      <c r="G69" s="10">
        <f t="shared" si="9"/>
        <v>2051000000</v>
      </c>
      <c r="H69" s="13">
        <f t="shared" si="10"/>
        <v>0</v>
      </c>
      <c r="I69" s="13">
        <f t="shared" si="1"/>
        <v>137000000</v>
      </c>
      <c r="J69" s="13">
        <f t="shared" si="11"/>
        <v>2120431288.3708858</v>
      </c>
      <c r="K69" s="13">
        <f t="shared" si="12"/>
        <v>6589472.718840153</v>
      </c>
      <c r="L69" s="11">
        <f t="shared" si="2"/>
        <v>0.5169262038934388</v>
      </c>
      <c r="M69" s="16">
        <f t="shared" si="3"/>
        <v>6.6796684544124824E-2</v>
      </c>
      <c r="N69" s="10">
        <f t="shared" si="4"/>
        <v>5000000</v>
      </c>
      <c r="O69" s="18">
        <f t="shared" si="5"/>
        <v>4102000000</v>
      </c>
      <c r="P69">
        <v>0</v>
      </c>
      <c r="Q69">
        <f t="shared" si="6"/>
        <v>0</v>
      </c>
    </row>
    <row r="70" spans="1:17" x14ac:dyDescent="0.25">
      <c r="A70" s="8">
        <v>38</v>
      </c>
      <c r="B70" s="9">
        <v>1</v>
      </c>
      <c r="C70" s="10">
        <f>MAX(0,MIN(INT(($D$10+SUM($N$33:N69)+SUM($P$33:P69))/$D$5*B70)-D69,IF($D$11&gt;G69,INT(($D$11-G69)/$D$5),0)-D69))</f>
        <v>2500</v>
      </c>
      <c r="D70" s="10">
        <f t="shared" si="7"/>
        <v>71000</v>
      </c>
      <c r="E70" s="10">
        <f t="shared" si="0"/>
        <v>2000</v>
      </c>
      <c r="F70" s="10">
        <f t="shared" si="8"/>
        <v>142000000</v>
      </c>
      <c r="G70" s="10">
        <f t="shared" si="9"/>
        <v>2193000000</v>
      </c>
      <c r="H70" s="13">
        <f t="shared" si="10"/>
        <v>0</v>
      </c>
      <c r="I70" s="13">
        <f t="shared" si="1"/>
        <v>142000000</v>
      </c>
      <c r="J70" s="13">
        <f t="shared" si="11"/>
        <v>2269499392.6654553</v>
      </c>
      <c r="K70" s="13">
        <f t="shared" si="12"/>
        <v>7068104.2945696199</v>
      </c>
      <c r="L70" s="11">
        <f t="shared" si="2"/>
        <v>0.51744172199394789</v>
      </c>
      <c r="M70" s="16">
        <f t="shared" si="3"/>
        <v>6.4751481988144094E-2</v>
      </c>
      <c r="N70" s="10">
        <f t="shared" si="4"/>
        <v>5000000</v>
      </c>
      <c r="O70" s="18">
        <f t="shared" si="5"/>
        <v>4386000000</v>
      </c>
      <c r="P70">
        <v>0</v>
      </c>
      <c r="Q70">
        <f t="shared" si="6"/>
        <v>0</v>
      </c>
    </row>
    <row r="71" spans="1:17" x14ac:dyDescent="0.25">
      <c r="A71" s="8">
        <v>39</v>
      </c>
      <c r="B71" s="9">
        <v>1</v>
      </c>
      <c r="C71" s="10">
        <f>MAX(0,MIN(INT(($D$10+SUM($N$33:N70)+SUM($P$33:P70))/$D$5*B71)-D70,IF($D$11&gt;G70,INT(($D$11-G70)/$D$5),0)-D70))</f>
        <v>2500</v>
      </c>
      <c r="D71" s="10">
        <f t="shared" si="7"/>
        <v>73500</v>
      </c>
      <c r="E71" s="10">
        <f t="shared" si="0"/>
        <v>2000</v>
      </c>
      <c r="F71" s="10">
        <f t="shared" si="8"/>
        <v>147000000</v>
      </c>
      <c r="G71" s="10">
        <f t="shared" si="9"/>
        <v>2340000000</v>
      </c>
      <c r="H71" s="13">
        <f t="shared" si="10"/>
        <v>0</v>
      </c>
      <c r="I71" s="13">
        <f t="shared" si="1"/>
        <v>147000000</v>
      </c>
      <c r="J71" s="13">
        <f t="shared" si="11"/>
        <v>2424064390.6410069</v>
      </c>
      <c r="K71" s="13">
        <f t="shared" si="12"/>
        <v>7564997.9755515186</v>
      </c>
      <c r="L71" s="11">
        <f t="shared" si="2"/>
        <v>0.51796247663269379</v>
      </c>
      <c r="M71" s="16">
        <f t="shared" si="3"/>
        <v>6.2820512820512819E-2</v>
      </c>
      <c r="N71" s="10">
        <f t="shared" si="4"/>
        <v>5000000</v>
      </c>
      <c r="O71" s="18">
        <f t="shared" si="5"/>
        <v>4680000000</v>
      </c>
      <c r="P71">
        <v>0</v>
      </c>
      <c r="Q71">
        <f t="shared" si="6"/>
        <v>0</v>
      </c>
    </row>
    <row r="72" spans="1:17" x14ac:dyDescent="0.25">
      <c r="A72" s="8">
        <v>40</v>
      </c>
      <c r="B72" s="9">
        <v>1</v>
      </c>
      <c r="C72" s="10">
        <f>MAX(0,MIN(INT(($D$10+SUM($N$33:N71)+SUM($P$33:P71))/$D$5*B72)-D71,IF($D$11&gt;G71,INT(($D$11-G71)/$D$5),0)-D71))</f>
        <v>2500</v>
      </c>
      <c r="D72" s="10">
        <f t="shared" si="7"/>
        <v>76000</v>
      </c>
      <c r="E72" s="10">
        <f t="shared" si="0"/>
        <v>2000</v>
      </c>
      <c r="F72" s="10">
        <f t="shared" si="8"/>
        <v>152000000</v>
      </c>
      <c r="G72" s="10">
        <f t="shared" si="9"/>
        <v>2492000000</v>
      </c>
      <c r="H72" s="13">
        <f t="shared" si="10"/>
        <v>0</v>
      </c>
      <c r="I72" s="13">
        <f t="shared" si="1"/>
        <v>152000000</v>
      </c>
      <c r="J72" s="13">
        <f t="shared" si="11"/>
        <v>2584144605.2764769</v>
      </c>
      <c r="K72" s="13">
        <f t="shared" si="12"/>
        <v>8080214.6354700234</v>
      </c>
      <c r="L72" s="11">
        <f t="shared" si="2"/>
        <v>0.51848808292064141</v>
      </c>
      <c r="M72" s="16">
        <f t="shared" si="3"/>
        <v>6.0995184590690206E-2</v>
      </c>
      <c r="N72" s="10">
        <f t="shared" si="4"/>
        <v>5000000</v>
      </c>
      <c r="O72" s="18">
        <f t="shared" si="5"/>
        <v>4984000000</v>
      </c>
      <c r="P72">
        <v>0</v>
      </c>
      <c r="Q72">
        <f t="shared" si="6"/>
        <v>0</v>
      </c>
    </row>
    <row r="73" spans="1:17" x14ac:dyDescent="0.25">
      <c r="A73" s="8">
        <v>41</v>
      </c>
      <c r="B73" s="9">
        <v>1</v>
      </c>
      <c r="C73" s="10">
        <f>MAX(0,MIN(INT(($D$10+SUM($N$33:N72)+SUM($P$33:P72))/$D$5*B73)-D72,IF($D$11&gt;G72,INT(($D$11-G72)/$D$5),0)-D72))</f>
        <v>2500</v>
      </c>
      <c r="D73" s="10">
        <f t="shared" si="7"/>
        <v>78500</v>
      </c>
      <c r="E73" s="10">
        <f t="shared" si="0"/>
        <v>2000</v>
      </c>
      <c r="F73" s="10">
        <f t="shared" si="8"/>
        <v>157000000</v>
      </c>
      <c r="G73" s="10">
        <f t="shared" si="9"/>
        <v>2649000000</v>
      </c>
      <c r="H73" s="13">
        <f t="shared" si="10"/>
        <v>0</v>
      </c>
      <c r="I73" s="13">
        <f t="shared" si="1"/>
        <v>157000000</v>
      </c>
      <c r="J73" s="13">
        <f t="shared" si="11"/>
        <v>2749758420.6273985</v>
      </c>
      <c r="K73" s="13">
        <f t="shared" si="12"/>
        <v>8613815.3509215899</v>
      </c>
      <c r="L73" s="11">
        <f t="shared" si="2"/>
        <v>0.51901819943892002</v>
      </c>
      <c r="M73" s="16">
        <f t="shared" si="3"/>
        <v>5.9267648169120425E-2</v>
      </c>
      <c r="N73" s="10">
        <f t="shared" si="4"/>
        <v>5000000</v>
      </c>
      <c r="O73" s="18">
        <f t="shared" si="5"/>
        <v>5298000000</v>
      </c>
      <c r="P73">
        <v>0</v>
      </c>
      <c r="Q73">
        <f t="shared" si="6"/>
        <v>0</v>
      </c>
    </row>
    <row r="74" spans="1:17" x14ac:dyDescent="0.25">
      <c r="A74" s="8">
        <v>42</v>
      </c>
      <c r="B74" s="9">
        <v>1</v>
      </c>
      <c r="C74" s="10">
        <f>MAX(0,MIN(INT(($D$10+SUM($N$33:N73)+SUM($P$33:P73))/$D$5*B74)-D73,IF($D$11&gt;G73,INT(($D$11-G73)/$D$5),0)-D73))</f>
        <v>2500</v>
      </c>
      <c r="D74" s="10">
        <f t="shared" si="7"/>
        <v>81000</v>
      </c>
      <c r="E74" s="10">
        <f t="shared" si="0"/>
        <v>2000</v>
      </c>
      <c r="F74" s="10">
        <f t="shared" si="8"/>
        <v>162000000</v>
      </c>
      <c r="G74" s="10">
        <f t="shared" si="9"/>
        <v>2811000000</v>
      </c>
      <c r="H74" s="13">
        <f t="shared" si="10"/>
        <v>0</v>
      </c>
      <c r="I74" s="13">
        <f t="shared" si="1"/>
        <v>162000000</v>
      </c>
      <c r="J74" s="13">
        <f t="shared" si="11"/>
        <v>2920924282.02949</v>
      </c>
      <c r="K74" s="13">
        <f t="shared" si="12"/>
        <v>9165861.4020913281</v>
      </c>
      <c r="L74" s="11">
        <f t="shared" si="2"/>
        <v>0.51955252259507112</v>
      </c>
      <c r="M74" s="16">
        <f t="shared" si="3"/>
        <v>5.7630736392742798E-2</v>
      </c>
      <c r="N74" s="10">
        <f t="shared" si="4"/>
        <v>5000000</v>
      </c>
      <c r="O74" s="18">
        <f t="shared" si="5"/>
        <v>5622000000</v>
      </c>
      <c r="P74">
        <v>0</v>
      </c>
      <c r="Q74">
        <f t="shared" si="6"/>
        <v>0</v>
      </c>
    </row>
    <row r="75" spans="1:17" x14ac:dyDescent="0.25">
      <c r="A75" s="8">
        <v>43</v>
      </c>
      <c r="B75" s="9">
        <v>1</v>
      </c>
      <c r="C75" s="10">
        <f>MAX(0,MIN(INT(($D$10+SUM($N$33:N74)+SUM($P$33:P74))/$D$5*B75)-D74,IF($D$11&gt;G74,INT(($D$11-G74)/$D$5),0)-D74))</f>
        <v>2500</v>
      </c>
      <c r="D75" s="10">
        <f t="shared" si="7"/>
        <v>83500</v>
      </c>
      <c r="E75" s="10">
        <f t="shared" si="0"/>
        <v>2000</v>
      </c>
      <c r="F75" s="10">
        <f t="shared" si="8"/>
        <v>167000000</v>
      </c>
      <c r="G75" s="10">
        <f t="shared" si="9"/>
        <v>2978000000</v>
      </c>
      <c r="H75" s="13">
        <f t="shared" si="10"/>
        <v>0</v>
      </c>
      <c r="I75" s="13">
        <f t="shared" si="1"/>
        <v>167000000</v>
      </c>
      <c r="J75" s="13">
        <f t="shared" si="11"/>
        <v>3097660696.3029218</v>
      </c>
      <c r="K75" s="13">
        <f t="shared" si="12"/>
        <v>9736414.2734316345</v>
      </c>
      <c r="L75" s="11">
        <f t="shared" si="2"/>
        <v>0.52009078178356649</v>
      </c>
      <c r="M75" s="16">
        <f t="shared" si="3"/>
        <v>5.6077904633982538E-2</v>
      </c>
      <c r="N75" s="10">
        <f t="shared" si="4"/>
        <v>5000000</v>
      </c>
      <c r="O75" s="18">
        <f t="shared" si="5"/>
        <v>5956000000</v>
      </c>
      <c r="P75">
        <v>0</v>
      </c>
      <c r="Q75">
        <f t="shared" si="6"/>
        <v>0</v>
      </c>
    </row>
    <row r="76" spans="1:17" x14ac:dyDescent="0.25">
      <c r="A76" s="8">
        <v>44</v>
      </c>
      <c r="B76" s="9">
        <v>1</v>
      </c>
      <c r="C76" s="10">
        <f>MAX(0,MIN(INT(($D$10+SUM($N$33:N75)+SUM($P$33:P75))/$D$5*B76)-D75,IF($D$11&gt;G75,INT(($D$11-G75)/$D$5),0)-D75))</f>
        <v>2500</v>
      </c>
      <c r="D76" s="10">
        <f t="shared" si="7"/>
        <v>86000</v>
      </c>
      <c r="E76" s="10">
        <f t="shared" si="0"/>
        <v>2000</v>
      </c>
      <c r="F76" s="10">
        <f t="shared" si="8"/>
        <v>172000000</v>
      </c>
      <c r="G76" s="10">
        <f t="shared" si="9"/>
        <v>3150000000</v>
      </c>
      <c r="H76" s="13">
        <f t="shared" si="10"/>
        <v>0</v>
      </c>
      <c r="I76" s="13">
        <f t="shared" si="1"/>
        <v>172000000</v>
      </c>
      <c r="J76" s="13">
        <f t="shared" si="11"/>
        <v>3279986231.9572649</v>
      </c>
      <c r="K76" s="13">
        <f t="shared" si="12"/>
        <v>10325535.654343072</v>
      </c>
      <c r="L76" s="11">
        <f t="shared" si="2"/>
        <v>0.52063273523131193</v>
      </c>
      <c r="M76" s="16">
        <f t="shared" si="3"/>
        <v>5.4603174603174605E-2</v>
      </c>
      <c r="N76" s="10">
        <f t="shared" si="4"/>
        <v>5000000</v>
      </c>
      <c r="O76" s="18">
        <f t="shared" si="5"/>
        <v>6300000000</v>
      </c>
      <c r="P76">
        <v>0</v>
      </c>
      <c r="Q76">
        <f t="shared" si="6"/>
        <v>0</v>
      </c>
    </row>
    <row r="77" spans="1:17" x14ac:dyDescent="0.25">
      <c r="A77" s="8">
        <v>45</v>
      </c>
      <c r="B77" s="9">
        <v>1</v>
      </c>
      <c r="C77" s="10">
        <f>MAX(0,MIN(INT(($D$10+SUM($N$33:N76)+SUM($P$33:P76))/$D$5*B77)-D76,IF($D$11&gt;G76,INT(($D$11-G76)/$D$5),0)-D76))</f>
        <v>2500</v>
      </c>
      <c r="D77" s="10">
        <f t="shared" si="7"/>
        <v>88500</v>
      </c>
      <c r="E77" s="10">
        <f t="shared" si="0"/>
        <v>2000</v>
      </c>
      <c r="F77" s="10">
        <f t="shared" si="8"/>
        <v>177000000</v>
      </c>
      <c r="G77" s="10">
        <f t="shared" si="9"/>
        <v>3327000000</v>
      </c>
      <c r="H77" s="13">
        <f t="shared" si="10"/>
        <v>0</v>
      </c>
      <c r="I77" s="13">
        <f t="shared" si="1"/>
        <v>177000000</v>
      </c>
      <c r="J77" s="13">
        <f t="shared" si="11"/>
        <v>3467919519.3971224</v>
      </c>
      <c r="K77" s="13">
        <f t="shared" si="12"/>
        <v>10933287.43985755</v>
      </c>
      <c r="L77" s="11">
        <f t="shared" si="2"/>
        <v>0.5211781664257773</v>
      </c>
      <c r="M77" s="16">
        <f t="shared" si="3"/>
        <v>5.3201082055906221E-2</v>
      </c>
      <c r="N77" s="10">
        <f t="shared" si="4"/>
        <v>5000000</v>
      </c>
      <c r="O77" s="18">
        <f t="shared" si="5"/>
        <v>6654000000</v>
      </c>
      <c r="P77">
        <v>0</v>
      </c>
      <c r="Q77">
        <f t="shared" si="6"/>
        <v>0</v>
      </c>
    </row>
    <row r="78" spans="1:17" x14ac:dyDescent="0.25">
      <c r="A78" s="8">
        <v>46</v>
      </c>
      <c r="B78" s="9">
        <v>1</v>
      </c>
      <c r="C78" s="10">
        <f>MAX(0,MIN(INT(($D$10+SUM($N$33:N77)+SUM($P$33:P77))/$D$5*B78)-D77,IF($D$11&gt;G77,INT(($D$11-G77)/$D$5),0)-D77))</f>
        <v>2500</v>
      </c>
      <c r="D78" s="10">
        <f t="shared" si="7"/>
        <v>91000</v>
      </c>
      <c r="E78" s="10">
        <f t="shared" si="0"/>
        <v>2000</v>
      </c>
      <c r="F78" s="10">
        <f t="shared" si="8"/>
        <v>182000000</v>
      </c>
      <c r="G78" s="10">
        <f t="shared" si="9"/>
        <v>3509000000</v>
      </c>
      <c r="H78" s="13">
        <f t="shared" si="10"/>
        <v>0</v>
      </c>
      <c r="I78" s="13">
        <f t="shared" si="1"/>
        <v>182000000</v>
      </c>
      <c r="J78" s="13">
        <f t="shared" si="11"/>
        <v>3661479251.1284461</v>
      </c>
      <c r="K78" s="13">
        <f t="shared" si="12"/>
        <v>11559731.731323741</v>
      </c>
      <c r="L78" s="11">
        <f t="shared" si="2"/>
        <v>0.52172688103853604</v>
      </c>
      <c r="M78" s="16">
        <f t="shared" si="3"/>
        <v>5.1866628669136508E-2</v>
      </c>
      <c r="N78" s="10">
        <f t="shared" si="4"/>
        <v>5000000</v>
      </c>
      <c r="O78" s="18">
        <f t="shared" si="5"/>
        <v>7018000000</v>
      </c>
      <c r="P78">
        <v>0</v>
      </c>
      <c r="Q78">
        <f t="shared" si="6"/>
        <v>0</v>
      </c>
    </row>
    <row r="79" spans="1:17" x14ac:dyDescent="0.25">
      <c r="A79" s="8">
        <v>47</v>
      </c>
      <c r="B79" s="9">
        <v>1</v>
      </c>
      <c r="C79" s="10">
        <f>MAX(0,MIN(INT(($D$10+SUM($N$33:N78)+SUM($P$33:P78))/$D$5*B79)-D78,IF($D$11&gt;G78,INT(($D$11-G78)/$D$5),0)-D78))</f>
        <v>2500</v>
      </c>
      <c r="D79" s="10">
        <f t="shared" si="7"/>
        <v>93500</v>
      </c>
      <c r="E79" s="10">
        <f t="shared" si="0"/>
        <v>2000</v>
      </c>
      <c r="F79" s="10">
        <f t="shared" si="8"/>
        <v>187000000</v>
      </c>
      <c r="G79" s="10">
        <f t="shared" si="9"/>
        <v>3696000000</v>
      </c>
      <c r="H79" s="13">
        <f t="shared" si="10"/>
        <v>0</v>
      </c>
      <c r="I79" s="13">
        <f t="shared" si="1"/>
        <v>187000000</v>
      </c>
      <c r="J79" s="13">
        <f t="shared" si="11"/>
        <v>3860684181.9655409</v>
      </c>
      <c r="K79" s="13">
        <f t="shared" si="12"/>
        <v>12204930.837094821</v>
      </c>
      <c r="L79" s="11">
        <f t="shared" si="2"/>
        <v>0.52227870427023004</v>
      </c>
      <c r="M79" s="16">
        <f t="shared" si="3"/>
        <v>5.0595238095238096E-2</v>
      </c>
      <c r="N79" s="10">
        <f t="shared" si="4"/>
        <v>5000000</v>
      </c>
      <c r="O79" s="18">
        <f t="shared" si="5"/>
        <v>7392000000</v>
      </c>
      <c r="P79">
        <v>0</v>
      </c>
      <c r="Q79">
        <f t="shared" si="6"/>
        <v>0</v>
      </c>
    </row>
    <row r="80" spans="1:17" x14ac:dyDescent="0.25">
      <c r="A80" s="8">
        <v>48</v>
      </c>
      <c r="B80" s="9">
        <v>1</v>
      </c>
      <c r="C80" s="10">
        <f>MAX(0,MIN(INT(($D$10+SUM($N$33:N79)+SUM($P$33:P79))/$D$5*B80)-D79,IF($D$11&gt;G79,INT(($D$11-G79)/$D$5),0)-D79))</f>
        <v>2500</v>
      </c>
      <c r="D80" s="10">
        <f t="shared" si="7"/>
        <v>96000</v>
      </c>
      <c r="E80" s="10">
        <f t="shared" si="0"/>
        <v>2000</v>
      </c>
      <c r="F80" s="10">
        <f t="shared" si="8"/>
        <v>192000000</v>
      </c>
      <c r="G80" s="10">
        <f t="shared" si="9"/>
        <v>3888000000</v>
      </c>
      <c r="H80" s="13">
        <f t="shared" si="10"/>
        <v>0</v>
      </c>
      <c r="I80" s="13">
        <f t="shared" si="1"/>
        <v>192000000</v>
      </c>
      <c r="J80" s="13">
        <f t="shared" si="11"/>
        <v>4065553129.2387595</v>
      </c>
      <c r="K80" s="13">
        <f t="shared" si="12"/>
        <v>12868947.27321847</v>
      </c>
      <c r="L80" s="11">
        <f t="shared" si="2"/>
        <v>0.52283347855436724</v>
      </c>
      <c r="M80" s="16">
        <f t="shared" si="3"/>
        <v>4.9382716049382713E-2</v>
      </c>
      <c r="N80" s="10">
        <f t="shared" si="4"/>
        <v>5000000</v>
      </c>
      <c r="O80" s="18">
        <f t="shared" si="5"/>
        <v>7776000000</v>
      </c>
      <c r="P80">
        <v>0</v>
      </c>
      <c r="Q80">
        <f t="shared" si="6"/>
        <v>0</v>
      </c>
    </row>
    <row r="81" spans="1:17" x14ac:dyDescent="0.25">
      <c r="A81" s="8">
        <v>49</v>
      </c>
      <c r="B81" s="9">
        <v>1</v>
      </c>
      <c r="C81" s="10">
        <f>MAX(0,MIN(INT(($D$10+SUM($N$33:N80)+SUM($P$33:P80))/$D$5*B81)-D80,IF($D$11&gt;G80,INT(($D$11-G80)/$D$5),0)-D80))</f>
        <v>2500</v>
      </c>
      <c r="D81" s="10">
        <f t="shared" si="7"/>
        <v>98500</v>
      </c>
      <c r="E81" s="10">
        <f t="shared" si="0"/>
        <v>2000</v>
      </c>
      <c r="F81" s="10">
        <f t="shared" si="8"/>
        <v>197000000</v>
      </c>
      <c r="G81" s="10">
        <f t="shared" si="9"/>
        <v>4085000000</v>
      </c>
      <c r="H81" s="13">
        <f t="shared" si="10"/>
        <v>0</v>
      </c>
      <c r="I81" s="13">
        <f t="shared" si="1"/>
        <v>197000000</v>
      </c>
      <c r="J81" s="13">
        <f t="shared" si="11"/>
        <v>4276104973.0028887</v>
      </c>
      <c r="K81" s="13">
        <f t="shared" si="12"/>
        <v>13551843.764129199</v>
      </c>
      <c r="L81" s="11">
        <f t="shared" si="2"/>
        <v>0.52339106156706106</v>
      </c>
      <c r="M81" s="16">
        <f t="shared" si="3"/>
        <v>4.822521419828641E-2</v>
      </c>
      <c r="N81" s="10">
        <f t="shared" si="4"/>
        <v>6000000</v>
      </c>
      <c r="O81" s="18">
        <f t="shared" si="5"/>
        <v>8170000000</v>
      </c>
      <c r="P81">
        <v>0</v>
      </c>
      <c r="Q81">
        <f t="shared" si="6"/>
        <v>0</v>
      </c>
    </row>
    <row r="82" spans="1:17" x14ac:dyDescent="0.25">
      <c r="A82" s="8">
        <v>50</v>
      </c>
      <c r="B82" s="9">
        <v>1</v>
      </c>
      <c r="C82" s="10">
        <f>MAX(0,MIN(INT(($D$10+SUM($N$33:N81)+SUM($P$33:P81))/$D$5*B82)-D81,IF($D$11&gt;G81,INT(($D$11-G81)/$D$5),0)-D81))</f>
        <v>3000</v>
      </c>
      <c r="D82" s="10">
        <f t="shared" si="7"/>
        <v>101500</v>
      </c>
      <c r="E82" s="10">
        <f t="shared" si="0"/>
        <v>2000</v>
      </c>
      <c r="F82" s="10">
        <f t="shared" si="8"/>
        <v>203000000</v>
      </c>
      <c r="G82" s="10">
        <f t="shared" si="9"/>
        <v>4288000000</v>
      </c>
      <c r="H82" s="13">
        <f t="shared" si="10"/>
        <v>0</v>
      </c>
      <c r="I82" s="13">
        <f t="shared" si="1"/>
        <v>203000000</v>
      </c>
      <c r="J82" s="13">
        <f t="shared" si="11"/>
        <v>4493358656.246232</v>
      </c>
      <c r="K82" s="13">
        <f t="shared" si="12"/>
        <v>14253683.243342964</v>
      </c>
      <c r="L82" s="11">
        <f t="shared" si="2"/>
        <v>0.52394573883468187</v>
      </c>
      <c r="M82" s="16">
        <f t="shared" si="3"/>
        <v>4.7341417910447763E-2</v>
      </c>
      <c r="N82" s="10">
        <f t="shared" si="4"/>
        <v>6000000</v>
      </c>
      <c r="O82" s="18">
        <f t="shared" si="5"/>
        <v>8576000000</v>
      </c>
      <c r="P82">
        <v>0</v>
      </c>
      <c r="Q82">
        <f t="shared" si="6"/>
        <v>0</v>
      </c>
    </row>
    <row r="83" spans="1:17" x14ac:dyDescent="0.25">
      <c r="A83" s="8">
        <v>51</v>
      </c>
      <c r="B83" s="9">
        <v>1</v>
      </c>
      <c r="C83" s="10">
        <f>MAX(0,MIN(INT(($D$10+SUM($N$33:N82)+SUM($P$33:P82))/$D$5*B83)-D82,IF($D$11&gt;G82,INT(($D$11-G82)/$D$5),0)-D82))</f>
        <v>3000</v>
      </c>
      <c r="D83" s="10">
        <f t="shared" si="7"/>
        <v>104500</v>
      </c>
      <c r="E83" s="10">
        <f t="shared" si="0"/>
        <v>2000</v>
      </c>
      <c r="F83" s="10">
        <f t="shared" si="8"/>
        <v>209000000</v>
      </c>
      <c r="G83" s="10">
        <f t="shared" si="9"/>
        <v>4497000000</v>
      </c>
      <c r="H83" s="13">
        <f t="shared" si="10"/>
        <v>0</v>
      </c>
      <c r="I83" s="13">
        <f t="shared" si="1"/>
        <v>209000000</v>
      </c>
      <c r="J83" s="13">
        <f t="shared" si="11"/>
        <v>4717336518.4337196</v>
      </c>
      <c r="K83" s="13">
        <f t="shared" si="12"/>
        <v>14977862.18748744</v>
      </c>
      <c r="L83" s="11">
        <f t="shared" si="2"/>
        <v>0.52449816749318656</v>
      </c>
      <c r="M83" s="16">
        <f t="shared" si="3"/>
        <v>4.6475428063153211E-2</v>
      </c>
      <c r="N83" s="10">
        <f t="shared" si="4"/>
        <v>6000000</v>
      </c>
      <c r="O83" s="18">
        <f t="shared" si="5"/>
        <v>8994000000</v>
      </c>
      <c r="P83">
        <v>0</v>
      </c>
      <c r="Q83">
        <f t="shared" si="6"/>
        <v>0</v>
      </c>
    </row>
    <row r="84" spans="1:17" x14ac:dyDescent="0.25">
      <c r="A84" s="8">
        <v>52</v>
      </c>
      <c r="B84" s="9">
        <v>1</v>
      </c>
      <c r="C84" s="10">
        <f>MAX(0,MIN(INT(($D$10+SUM($N$33:N83)+SUM($P$33:P83))/$D$5*B84)-D83,IF($D$11&gt;G83,INT(($D$11-G83)/$D$5),0)-D83))</f>
        <v>3000</v>
      </c>
      <c r="D84" s="10">
        <f t="shared" si="7"/>
        <v>107500</v>
      </c>
      <c r="E84" s="10">
        <f t="shared" si="0"/>
        <v>2000</v>
      </c>
      <c r="F84" s="10">
        <f t="shared" si="8"/>
        <v>215000000</v>
      </c>
      <c r="G84" s="10">
        <f t="shared" si="9"/>
        <v>4712000000</v>
      </c>
      <c r="H84" s="13">
        <f t="shared" si="10"/>
        <v>0</v>
      </c>
      <c r="I84" s="13">
        <f t="shared" si="1"/>
        <v>215000000</v>
      </c>
      <c r="J84" s="13">
        <f t="shared" si="11"/>
        <v>4948060973.4951658</v>
      </c>
      <c r="K84" s="13">
        <f t="shared" si="12"/>
        <v>15724455.061445734</v>
      </c>
      <c r="L84" s="11">
        <f t="shared" si="2"/>
        <v>0.5250489148445634</v>
      </c>
      <c r="M84" s="16">
        <f t="shared" si="3"/>
        <v>4.5628183361629882E-2</v>
      </c>
      <c r="N84" s="10">
        <f t="shared" si="4"/>
        <v>6000000</v>
      </c>
      <c r="O84" s="18">
        <f t="shared" si="5"/>
        <v>9424000000</v>
      </c>
      <c r="P84">
        <v>0</v>
      </c>
      <c r="Q84">
        <f t="shared" si="6"/>
        <v>0</v>
      </c>
    </row>
    <row r="85" spans="1:17" x14ac:dyDescent="0.25">
      <c r="A85" s="8">
        <v>53</v>
      </c>
      <c r="B85" s="9">
        <v>1</v>
      </c>
      <c r="C85" s="10">
        <f>MAX(0,MIN(INT(($D$10+SUM($N$33:N84)+SUM($P$33:P84))/$D$5*B85)-D84,IF($D$11&gt;G84,INT(($D$11-G84)/$D$5),0)-D84))</f>
        <v>3000</v>
      </c>
      <c r="D85" s="10">
        <f t="shared" si="7"/>
        <v>110500</v>
      </c>
      <c r="E85" s="10">
        <f t="shared" si="0"/>
        <v>2000</v>
      </c>
      <c r="F85" s="10">
        <f t="shared" si="8"/>
        <v>221000000</v>
      </c>
      <c r="G85" s="10">
        <f t="shared" si="9"/>
        <v>4933000000</v>
      </c>
      <c r="H85" s="13">
        <f t="shared" si="10"/>
        <v>0</v>
      </c>
      <c r="I85" s="13">
        <f t="shared" si="1"/>
        <v>221000000</v>
      </c>
      <c r="J85" s="13">
        <f t="shared" si="11"/>
        <v>5185554510.0734835</v>
      </c>
      <c r="K85" s="13">
        <f t="shared" si="12"/>
        <v>16493536.578317221</v>
      </c>
      <c r="L85" s="11">
        <f t="shared" si="2"/>
        <v>0.52559847051221198</v>
      </c>
      <c r="M85" s="16">
        <f t="shared" si="3"/>
        <v>4.4800324346239609E-2</v>
      </c>
      <c r="N85" s="10">
        <f t="shared" si="4"/>
        <v>6000000</v>
      </c>
      <c r="O85" s="18">
        <f t="shared" si="5"/>
        <v>9866000000</v>
      </c>
      <c r="P85">
        <v>0</v>
      </c>
      <c r="Q85">
        <f t="shared" si="6"/>
        <v>0</v>
      </c>
    </row>
    <row r="86" spans="1:17" x14ac:dyDescent="0.25">
      <c r="A86" s="8">
        <v>54</v>
      </c>
      <c r="B86" s="9">
        <v>1</v>
      </c>
      <c r="C86" s="10">
        <f>MAX(0,MIN(INT(($D$10+SUM($N$33:N85)+SUM($P$33:P85))/$D$5*B86)-D85,IF($D$11&gt;G85,INT(($D$11-G85)/$D$5),0)-D85))</f>
        <v>3000</v>
      </c>
      <c r="D86" s="10">
        <f t="shared" si="7"/>
        <v>113500</v>
      </c>
      <c r="E86" s="10">
        <f t="shared" si="0"/>
        <v>2000</v>
      </c>
      <c r="F86" s="10">
        <f t="shared" si="8"/>
        <v>227000000</v>
      </c>
      <c r="G86" s="10">
        <f t="shared" si="9"/>
        <v>5160000000</v>
      </c>
      <c r="H86" s="13">
        <f t="shared" si="10"/>
        <v>0</v>
      </c>
      <c r="I86" s="13">
        <f t="shared" si="1"/>
        <v>227000000</v>
      </c>
      <c r="J86" s="13">
        <f t="shared" si="11"/>
        <v>5429839691.7737284</v>
      </c>
      <c r="K86" s="13">
        <f t="shared" si="12"/>
        <v>17285181.700244945</v>
      </c>
      <c r="L86" s="11">
        <f t="shared" si="2"/>
        <v>0.52614725695481868</v>
      </c>
      <c r="M86" s="16">
        <f t="shared" si="3"/>
        <v>4.3992248062015502E-2</v>
      </c>
      <c r="N86" s="10">
        <f t="shared" si="4"/>
        <v>6000000</v>
      </c>
      <c r="O86" s="18">
        <f t="shared" si="5"/>
        <v>10320000000</v>
      </c>
      <c r="P86">
        <v>0</v>
      </c>
      <c r="Q86">
        <f t="shared" si="6"/>
        <v>0</v>
      </c>
    </row>
    <row r="87" spans="1:17" x14ac:dyDescent="0.25">
      <c r="A87" s="8">
        <v>55</v>
      </c>
      <c r="B87" s="9">
        <v>1</v>
      </c>
      <c r="C87" s="10">
        <f>MAX(0,MIN(INT(($D$10+SUM($N$33:N86)+SUM($P$33:P86))/$D$5*B87)-D86,IF($D$11&gt;G86,INT(($D$11-G86)/$D$5),0)-D86))</f>
        <v>3000</v>
      </c>
      <c r="D87" s="10">
        <f t="shared" si="7"/>
        <v>116500</v>
      </c>
      <c r="E87" s="10">
        <f t="shared" si="0"/>
        <v>2000</v>
      </c>
      <c r="F87" s="10">
        <f t="shared" si="8"/>
        <v>233000000</v>
      </c>
      <c r="G87" s="10">
        <f t="shared" si="9"/>
        <v>5393000000</v>
      </c>
      <c r="H87" s="13">
        <f t="shared" si="10"/>
        <v>0</v>
      </c>
      <c r="I87" s="13">
        <f t="shared" si="1"/>
        <v>233000000</v>
      </c>
      <c r="J87" s="13">
        <f t="shared" si="11"/>
        <v>5680939157.4129744</v>
      </c>
      <c r="K87" s="13">
        <f t="shared" si="12"/>
        <v>18099465.639245763</v>
      </c>
      <c r="L87" s="11">
        <f t="shared" si="2"/>
        <v>0.52669563855117507</v>
      </c>
      <c r="M87" s="16">
        <f t="shared" si="3"/>
        <v>4.3204153532356758E-2</v>
      </c>
      <c r="N87" s="10">
        <f t="shared" si="4"/>
        <v>6000000</v>
      </c>
      <c r="O87" s="18">
        <f t="shared" si="5"/>
        <v>10786000000</v>
      </c>
      <c r="P87">
        <v>0</v>
      </c>
      <c r="Q87">
        <f t="shared" si="6"/>
        <v>0</v>
      </c>
    </row>
    <row r="88" spans="1:17" x14ac:dyDescent="0.25">
      <c r="A88" s="8">
        <v>56</v>
      </c>
      <c r="B88" s="9">
        <v>1</v>
      </c>
      <c r="C88" s="10">
        <f>MAX(0,MIN(INT(($D$10+SUM($N$33:N87)+SUM($P$33:P87))/$D$5*B88)-D87,IF($D$11&gt;G87,INT(($D$11-G87)/$D$5),0)-D87))</f>
        <v>3000</v>
      </c>
      <c r="D88" s="10">
        <f t="shared" si="7"/>
        <v>119500</v>
      </c>
      <c r="E88" s="10">
        <f t="shared" si="0"/>
        <v>2000</v>
      </c>
      <c r="F88" s="10">
        <f t="shared" si="8"/>
        <v>239000000</v>
      </c>
      <c r="G88" s="10">
        <f t="shared" si="9"/>
        <v>5632000000</v>
      </c>
      <c r="H88" s="13">
        <f t="shared" si="10"/>
        <v>0</v>
      </c>
      <c r="I88" s="13">
        <f t="shared" si="1"/>
        <v>239000000</v>
      </c>
      <c r="J88" s="13">
        <f t="shared" si="11"/>
        <v>5938875621.271018</v>
      </c>
      <c r="K88" s="13">
        <f t="shared" si="12"/>
        <v>18936463.85804325</v>
      </c>
      <c r="L88" s="11">
        <f t="shared" si="2"/>
        <v>0.52724392944522536</v>
      </c>
      <c r="M88" s="16">
        <f t="shared" si="3"/>
        <v>4.2436079545454544E-2</v>
      </c>
      <c r="N88" s="10">
        <f t="shared" si="4"/>
        <v>6000000</v>
      </c>
      <c r="O88" s="18">
        <f t="shared" si="5"/>
        <v>11264000000</v>
      </c>
      <c r="P88">
        <v>0</v>
      </c>
      <c r="Q88">
        <f t="shared" si="6"/>
        <v>0</v>
      </c>
    </row>
    <row r="89" spans="1:17" x14ac:dyDescent="0.25">
      <c r="A89" s="8">
        <v>57</v>
      </c>
      <c r="B89" s="9">
        <v>1</v>
      </c>
      <c r="C89" s="10">
        <f>MAX(0,MIN(INT(($D$10+SUM($N$33:N88)+SUM($P$33:P88))/$D$5*B89)-D88,IF($D$11&gt;G88,INT(($D$11-G88)/$D$5),0)-D88))</f>
        <v>3000</v>
      </c>
      <c r="D89" s="10">
        <f t="shared" si="7"/>
        <v>122500</v>
      </c>
      <c r="E89" s="10">
        <f t="shared" si="0"/>
        <v>2000</v>
      </c>
      <c r="F89" s="10">
        <f t="shared" si="8"/>
        <v>245000000</v>
      </c>
      <c r="G89" s="10">
        <f t="shared" si="9"/>
        <v>5877000000</v>
      </c>
      <c r="H89" s="13">
        <f t="shared" si="10"/>
        <v>0</v>
      </c>
      <c r="I89" s="13">
        <f t="shared" si="1"/>
        <v>245000000</v>
      </c>
      <c r="J89" s="13">
        <f t="shared" si="11"/>
        <v>6203671873.3419218</v>
      </c>
      <c r="K89" s="13">
        <f t="shared" si="12"/>
        <v>19796252.070903394</v>
      </c>
      <c r="L89" s="11">
        <f t="shared" si="2"/>
        <v>0.52779240031835306</v>
      </c>
      <c r="M89" s="16">
        <f t="shared" si="3"/>
        <v>4.1687936021779823E-2</v>
      </c>
      <c r="N89" s="10">
        <f t="shared" si="4"/>
        <v>6000000</v>
      </c>
      <c r="O89" s="18">
        <f t="shared" si="5"/>
        <v>11754000000</v>
      </c>
      <c r="P89">
        <v>0</v>
      </c>
      <c r="Q89">
        <f t="shared" si="6"/>
        <v>0</v>
      </c>
    </row>
    <row r="90" spans="1:17" x14ac:dyDescent="0.25">
      <c r="A90" s="8">
        <v>58</v>
      </c>
      <c r="B90" s="9">
        <v>1</v>
      </c>
      <c r="C90" s="10">
        <f>MAX(0,MIN(INT(($D$10+SUM($N$33:N89)+SUM($P$33:P89))/$D$5*B90)-D89,IF($D$11&gt;G89,INT(($D$11-G89)/$D$5),0)-D89))</f>
        <v>3000</v>
      </c>
      <c r="D90" s="10">
        <f t="shared" si="7"/>
        <v>125500</v>
      </c>
      <c r="E90" s="10">
        <f t="shared" si="0"/>
        <v>2000</v>
      </c>
      <c r="F90" s="10">
        <f t="shared" si="8"/>
        <v>251000000</v>
      </c>
      <c r="G90" s="10">
        <f t="shared" si="9"/>
        <v>6128000000</v>
      </c>
      <c r="H90" s="13">
        <f t="shared" si="10"/>
        <v>0</v>
      </c>
      <c r="I90" s="13">
        <f t="shared" si="1"/>
        <v>251000000</v>
      </c>
      <c r="J90" s="13">
        <f t="shared" si="11"/>
        <v>6475350779.5863953</v>
      </c>
      <c r="K90" s="13">
        <f t="shared" si="12"/>
        <v>20678906.244473074</v>
      </c>
      <c r="L90" s="11">
        <f t="shared" si="2"/>
        <v>0.52834128423518234</v>
      </c>
      <c r="M90" s="16">
        <f t="shared" si="3"/>
        <v>4.0959530026109664E-2</v>
      </c>
      <c r="N90" s="10">
        <f t="shared" si="4"/>
        <v>6000000</v>
      </c>
      <c r="O90" s="18">
        <f t="shared" si="5"/>
        <v>12256000000</v>
      </c>
      <c r="P90">
        <v>0</v>
      </c>
      <c r="Q90">
        <f t="shared" si="6"/>
        <v>0</v>
      </c>
    </row>
    <row r="91" spans="1:17" x14ac:dyDescent="0.25">
      <c r="A91" s="8">
        <v>59</v>
      </c>
      <c r="B91" s="9">
        <v>1</v>
      </c>
      <c r="C91" s="10">
        <f>MAX(0,MIN(INT(($D$10+SUM($N$33:N90)+SUM($P$33:P90))/$D$5*B91)-D90,IF($D$11&gt;G90,INT(($D$11-G90)/$D$5),0)-D90))</f>
        <v>3000</v>
      </c>
      <c r="D91" s="10">
        <f t="shared" si="7"/>
        <v>128500</v>
      </c>
      <c r="E91" s="10">
        <f t="shared" si="0"/>
        <v>2000</v>
      </c>
      <c r="F91" s="10">
        <f t="shared" si="8"/>
        <v>257000000</v>
      </c>
      <c r="G91" s="10">
        <f t="shared" si="9"/>
        <v>6385000000</v>
      </c>
      <c r="H91" s="13">
        <f t="shared" si="10"/>
        <v>0</v>
      </c>
      <c r="I91" s="13">
        <f t="shared" si="1"/>
        <v>257000000</v>
      </c>
      <c r="J91" s="13">
        <f t="shared" si="11"/>
        <v>6753935282.1850166</v>
      </c>
      <c r="K91" s="13">
        <f t="shared" si="12"/>
        <v>21584502.59862132</v>
      </c>
      <c r="L91" s="11">
        <f t="shared" si="2"/>
        <v>0.52889078169029102</v>
      </c>
      <c r="M91" s="16">
        <f t="shared" si="3"/>
        <v>4.0250587314017226E-2</v>
      </c>
      <c r="N91" s="10">
        <f t="shared" si="4"/>
        <v>6000000</v>
      </c>
      <c r="O91" s="18">
        <f t="shared" si="5"/>
        <v>12770000000</v>
      </c>
      <c r="P91">
        <v>0</v>
      </c>
      <c r="Q91" s="17">
        <f t="shared" si="6"/>
        <v>0</v>
      </c>
    </row>
    <row r="92" spans="1:17" x14ac:dyDescent="0.25">
      <c r="A92" s="8">
        <v>60</v>
      </c>
      <c r="B92" s="9">
        <v>1</v>
      </c>
      <c r="C92" s="10">
        <f>MAX(0,MIN(INT(($D$10+SUM($N$33:N91)+SUM($P$33:P91))/$D$5*B92)-D91,IF($D$11&gt;G91,INT(($D$11-G91)/$D$5),0)-D91))</f>
        <v>3000</v>
      </c>
      <c r="D92" s="10">
        <f t="shared" si="7"/>
        <v>131500</v>
      </c>
      <c r="E92" s="10">
        <f t="shared" si="0"/>
        <v>2000</v>
      </c>
      <c r="F92" s="10">
        <f t="shared" si="8"/>
        <v>263000000</v>
      </c>
      <c r="G92" s="10">
        <f t="shared" si="9"/>
        <v>6648000000</v>
      </c>
      <c r="H92" s="13">
        <f t="shared" si="10"/>
        <v>0</v>
      </c>
      <c r="I92" s="13">
        <f t="shared" si="1"/>
        <v>263000000</v>
      </c>
      <c r="J92" s="13">
        <f t="shared" si="11"/>
        <v>7039448399.7923002</v>
      </c>
      <c r="K92" s="13">
        <f t="shared" si="12"/>
        <v>22513117.607283391</v>
      </c>
      <c r="L92" s="11">
        <f t="shared" si="2"/>
        <v>0.52944106496632826</v>
      </c>
      <c r="M92" s="16">
        <f t="shared" si="3"/>
        <v>3.9560770156438024E-2</v>
      </c>
      <c r="N92" s="10">
        <f t="shared" si="4"/>
        <v>6000000</v>
      </c>
      <c r="O92" s="18">
        <f t="shared" si="5"/>
        <v>13296000000</v>
      </c>
      <c r="P92">
        <v>0</v>
      </c>
      <c r="Q92">
        <f t="shared" si="6"/>
        <v>0</v>
      </c>
    </row>
    <row r="93" spans="1:17" x14ac:dyDescent="0.25">
      <c r="A93" s="8">
        <v>61</v>
      </c>
      <c r="B93" s="9">
        <v>1</v>
      </c>
      <c r="C93" s="10">
        <f>MAX(0,MIN(INT(($D$10+SUM($N$33:N92)+SUM($P$33:P92))/$D$5*B93)-D92,IF($D$11&gt;G92,INT(($D$11-G92)/$D$5),0)-D92))</f>
        <v>3000</v>
      </c>
      <c r="D93" s="10">
        <f t="shared" si="7"/>
        <v>134500</v>
      </c>
      <c r="E93" s="10">
        <f t="shared" si="0"/>
        <v>2000</v>
      </c>
      <c r="F93" s="10">
        <f t="shared" si="8"/>
        <v>269000000</v>
      </c>
      <c r="G93" s="10">
        <f t="shared" si="9"/>
        <v>6917000000</v>
      </c>
      <c r="H93" s="13">
        <f t="shared" si="10"/>
        <v>0</v>
      </c>
      <c r="I93" s="13">
        <f t="shared" si="1"/>
        <v>269000000</v>
      </c>
      <c r="J93" s="13">
        <f t="shared" si="11"/>
        <v>7331913227.7916079</v>
      </c>
      <c r="K93" s="13">
        <f t="shared" si="12"/>
        <v>23464827.99930767</v>
      </c>
      <c r="L93" s="11">
        <f t="shared" si="2"/>
        <v>0.52999228189906089</v>
      </c>
      <c r="M93" s="16">
        <f t="shared" si="3"/>
        <v>3.888969206303311E-2</v>
      </c>
      <c r="N93" s="10">
        <f t="shared" si="4"/>
        <v>7000000</v>
      </c>
      <c r="O93" s="18">
        <f t="shared" si="5"/>
        <v>13834000000</v>
      </c>
      <c r="P93">
        <v>0</v>
      </c>
      <c r="Q93">
        <f t="shared" si="6"/>
        <v>0</v>
      </c>
    </row>
    <row r="94" spans="1:17" x14ac:dyDescent="0.25">
      <c r="A94" s="8">
        <v>62</v>
      </c>
      <c r="B94" s="9">
        <v>1</v>
      </c>
      <c r="C94" s="10">
        <f>MAX(0,MIN(INT(($D$10+SUM($N$33:N93)+SUM($P$33:P93))/$D$5*B94)-D93,IF($D$11&gt;G93,INT(($D$11-G93)/$D$5),0)-D93))</f>
        <v>3500</v>
      </c>
      <c r="D94" s="10">
        <f t="shared" si="7"/>
        <v>138000</v>
      </c>
      <c r="E94" s="10">
        <f t="shared" si="0"/>
        <v>2000</v>
      </c>
      <c r="F94" s="10">
        <f t="shared" si="8"/>
        <v>276000000</v>
      </c>
      <c r="G94" s="10">
        <f t="shared" si="9"/>
        <v>7193000000</v>
      </c>
      <c r="H94" s="13">
        <f t="shared" si="10"/>
        <v>0</v>
      </c>
      <c r="I94" s="13">
        <f t="shared" si="1"/>
        <v>276000000</v>
      </c>
      <c r="J94" s="13">
        <f t="shared" si="11"/>
        <v>7632352938.5509129</v>
      </c>
      <c r="K94" s="13">
        <f t="shared" si="12"/>
        <v>24439710.759305362</v>
      </c>
      <c r="L94" s="11">
        <f t="shared" si="2"/>
        <v>0.53054031270338609</v>
      </c>
      <c r="M94" s="16">
        <f t="shared" si="3"/>
        <v>3.8370638120394832E-2</v>
      </c>
      <c r="N94" s="10">
        <f t="shared" si="4"/>
        <v>7000000</v>
      </c>
      <c r="O94" s="18">
        <f t="shared" si="5"/>
        <v>14386000000</v>
      </c>
      <c r="P94">
        <v>0</v>
      </c>
      <c r="Q94">
        <f t="shared" si="6"/>
        <v>0</v>
      </c>
    </row>
    <row r="95" spans="1:17" x14ac:dyDescent="0.25">
      <c r="A95" s="8">
        <v>63</v>
      </c>
      <c r="B95" s="9">
        <v>1</v>
      </c>
      <c r="C95" s="10">
        <f>MAX(0,MIN(INT(($D$10+SUM($N$33:N94)+SUM($P$33:P94))/$D$5*B95)-D94,IF($D$11&gt;G94,INT(($D$11-G94)/$D$5),0)-D94))</f>
        <v>3500</v>
      </c>
      <c r="D95" s="10">
        <f t="shared" si="7"/>
        <v>141500</v>
      </c>
      <c r="E95" s="10">
        <f t="shared" si="0"/>
        <v>2000</v>
      </c>
      <c r="F95" s="10">
        <f t="shared" si="8"/>
        <v>283000000</v>
      </c>
      <c r="G95" s="10">
        <f t="shared" si="9"/>
        <v>7476000000</v>
      </c>
      <c r="H95" s="13">
        <f t="shared" si="10"/>
        <v>0</v>
      </c>
      <c r="I95" s="13">
        <f t="shared" si="1"/>
        <v>283000000</v>
      </c>
      <c r="J95" s="13">
        <f t="shared" si="11"/>
        <v>7940794115.0127497</v>
      </c>
      <c r="K95" s="13">
        <f t="shared" si="12"/>
        <v>25441176.461836379</v>
      </c>
      <c r="L95" s="11">
        <f t="shared" si="2"/>
        <v>0.53108574873011971</v>
      </c>
      <c r="M95" s="16">
        <f t="shared" si="3"/>
        <v>3.7854467629748527E-2</v>
      </c>
      <c r="N95" s="10">
        <f t="shared" si="4"/>
        <v>7000000</v>
      </c>
      <c r="O95" s="18">
        <f t="shared" si="5"/>
        <v>14952000000</v>
      </c>
      <c r="P95">
        <v>0</v>
      </c>
      <c r="Q95">
        <f t="shared" si="6"/>
        <v>0</v>
      </c>
    </row>
    <row r="96" spans="1:17" x14ac:dyDescent="0.25">
      <c r="A96" s="8">
        <v>64</v>
      </c>
      <c r="B96" s="9">
        <v>1</v>
      </c>
      <c r="C96" s="10">
        <f>MAX(0,MIN(INT(($D$10+SUM($N$33:N95)+SUM($P$33:P95))/$D$5*B96)-D95,IF($D$11&gt;G95,INT(($D$11-G95)/$D$5),0)-D95))</f>
        <v>3500</v>
      </c>
      <c r="D96" s="10">
        <f t="shared" si="7"/>
        <v>145000</v>
      </c>
      <c r="E96" s="10">
        <f t="shared" si="0"/>
        <v>2000</v>
      </c>
      <c r="F96" s="10">
        <f t="shared" si="8"/>
        <v>290000000</v>
      </c>
      <c r="G96" s="10">
        <f t="shared" si="9"/>
        <v>7766000000</v>
      </c>
      <c r="H96" s="13">
        <f t="shared" si="10"/>
        <v>0</v>
      </c>
      <c r="I96" s="13">
        <f t="shared" si="1"/>
        <v>290000000</v>
      </c>
      <c r="J96" s="13">
        <f t="shared" si="11"/>
        <v>8257263428.7294588</v>
      </c>
      <c r="K96" s="13">
        <f t="shared" si="12"/>
        <v>26469313.716709167</v>
      </c>
      <c r="L96" s="11">
        <f t="shared" si="2"/>
        <v>0.53162911593674089</v>
      </c>
      <c r="M96" s="16">
        <f t="shared" si="3"/>
        <v>3.7342261138295134E-2</v>
      </c>
      <c r="N96" s="10">
        <f t="shared" si="4"/>
        <v>7000000</v>
      </c>
      <c r="O96" s="18">
        <f t="shared" si="5"/>
        <v>15532000000</v>
      </c>
      <c r="P96">
        <v>0</v>
      </c>
      <c r="Q96">
        <f t="shared" si="6"/>
        <v>0</v>
      </c>
    </row>
    <row r="97" spans="1:17" x14ac:dyDescent="0.25">
      <c r="A97" s="8">
        <v>65</v>
      </c>
      <c r="B97" s="9">
        <v>1</v>
      </c>
      <c r="C97" s="10">
        <f>MAX(0,MIN(INT(($D$10+SUM($N$33:N96)+SUM($P$33:P96))/$D$5*B97)-D96,IF($D$11&gt;G96,INT(($D$11-G96)/$D$5),0)-D96))</f>
        <v>3500</v>
      </c>
      <c r="D97" s="10">
        <f t="shared" si="7"/>
        <v>148500</v>
      </c>
      <c r="E97" s="10">
        <f t="shared" ref="E97:E160" si="13">$D$5</f>
        <v>2000</v>
      </c>
      <c r="F97" s="10">
        <f t="shared" si="8"/>
        <v>297000000</v>
      </c>
      <c r="G97" s="10">
        <f t="shared" si="9"/>
        <v>8063000000</v>
      </c>
      <c r="H97" s="13">
        <f t="shared" si="10"/>
        <v>0</v>
      </c>
      <c r="I97" s="13">
        <f t="shared" ref="I97:I160" si="14">$D$7*F97+Q97</f>
        <v>297000000</v>
      </c>
      <c r="J97" s="13">
        <f t="shared" si="11"/>
        <v>8581787640.1585569</v>
      </c>
      <c r="K97" s="13">
        <f t="shared" si="12"/>
        <v>27524211.429098196</v>
      </c>
      <c r="L97" s="11">
        <f t="shared" ref="L97:L160" si="15">IF(G97=0,0,(J97/G97)/2)</f>
        <v>0.5321708818156119</v>
      </c>
      <c r="M97" s="16">
        <f t="shared" ref="M97:M160" si="16">I97/G97</f>
        <v>3.6834924965893585E-2</v>
      </c>
      <c r="N97" s="10">
        <f t="shared" ref="N97:N160" si="17">INDEX($G$6:$G$30,MIN(INT((A97-1)/12)+1,25))</f>
        <v>7000000</v>
      </c>
      <c r="O97" s="18">
        <f t="shared" ref="O97:O160" si="18">G97*2</f>
        <v>16126000000</v>
      </c>
      <c r="P97">
        <v>0</v>
      </c>
      <c r="Q97">
        <f t="shared" ref="Q97:Q160" si="19">MAX(0,0.01*G97-$D$7*F97)</f>
        <v>0</v>
      </c>
    </row>
    <row r="98" spans="1:17" x14ac:dyDescent="0.25">
      <c r="A98" s="8">
        <v>66</v>
      </c>
      <c r="B98" s="9">
        <v>1</v>
      </c>
      <c r="C98" s="10">
        <f>MAX(0,MIN(INT(($D$10+SUM($N$33:N97)+SUM($P$33:P97))/$D$5*B98)-D97,IF($D$11&gt;G97,INT(($D$11-G97)/$D$5),0)-D97))</f>
        <v>3500</v>
      </c>
      <c r="D98" s="10">
        <f t="shared" ref="D98:D161" si="20">D97+C98</f>
        <v>152000</v>
      </c>
      <c r="E98" s="10">
        <f t="shared" si="13"/>
        <v>2000</v>
      </c>
      <c r="F98" s="10">
        <f t="shared" ref="F98:F161" si="21">IF(G97&gt;=$D$11,0,MIN(D98*E98,$D$11-G97))</f>
        <v>304000000</v>
      </c>
      <c r="G98" s="10">
        <f t="shared" ref="G98:G161" si="22">G97+F98-P98</f>
        <v>8367000000</v>
      </c>
      <c r="H98" s="13">
        <f t="shared" ref="H98:H161" si="23">H97+$D$6*F98</f>
        <v>0</v>
      </c>
      <c r="I98" s="13">
        <f t="shared" si="14"/>
        <v>304000000</v>
      </c>
      <c r="J98" s="13">
        <f t="shared" ref="J98:J161" si="24">J97+$D$8*F98+K98-P98*2-Q98</f>
        <v>8914393598.9590874</v>
      </c>
      <c r="K98" s="13">
        <f t="shared" ref="K98:K161" si="25">($D$9/12)*J97</f>
        <v>28605958.800528526</v>
      </c>
      <c r="L98" s="11">
        <f t="shared" si="15"/>
        <v>0.53271146163254979</v>
      </c>
      <c r="M98" s="16">
        <f t="shared" si="16"/>
        <v>3.6333213816182625E-2</v>
      </c>
      <c r="N98" s="10">
        <f t="shared" si="17"/>
        <v>7000000</v>
      </c>
      <c r="O98" s="18">
        <f t="shared" si="18"/>
        <v>16734000000</v>
      </c>
      <c r="P98">
        <v>0</v>
      </c>
      <c r="Q98">
        <f t="shared" si="19"/>
        <v>0</v>
      </c>
    </row>
    <row r="99" spans="1:17" x14ac:dyDescent="0.25">
      <c r="A99" s="8">
        <v>67</v>
      </c>
      <c r="B99" s="9">
        <v>1</v>
      </c>
      <c r="C99" s="10">
        <f>MAX(0,MIN(INT(($D$10+SUM($N$33:N98)+SUM($P$33:P98))/$D$5*B99)-D98,IF($D$11&gt;G98,INT(($D$11-G98)/$D$5),0)-D98))</f>
        <v>3500</v>
      </c>
      <c r="D99" s="10">
        <f t="shared" si="20"/>
        <v>155500</v>
      </c>
      <c r="E99" s="10">
        <f t="shared" si="13"/>
        <v>2000</v>
      </c>
      <c r="F99" s="10">
        <f t="shared" si="21"/>
        <v>311000000</v>
      </c>
      <c r="G99" s="10">
        <f t="shared" si="22"/>
        <v>8678000000</v>
      </c>
      <c r="H99" s="13">
        <f t="shared" si="23"/>
        <v>0</v>
      </c>
      <c r="I99" s="13">
        <f t="shared" si="14"/>
        <v>311000000</v>
      </c>
      <c r="J99" s="13">
        <f t="shared" si="24"/>
        <v>9255108244.2889519</v>
      </c>
      <c r="K99" s="13">
        <f t="shared" si="25"/>
        <v>29714645.329863627</v>
      </c>
      <c r="L99" s="11">
        <f t="shared" si="15"/>
        <v>0.53325122403139846</v>
      </c>
      <c r="M99" s="16">
        <f t="shared" si="16"/>
        <v>3.5837750633786587E-2</v>
      </c>
      <c r="N99" s="10">
        <f t="shared" si="17"/>
        <v>7000000</v>
      </c>
      <c r="O99" s="18">
        <f t="shared" si="18"/>
        <v>17356000000</v>
      </c>
      <c r="P99">
        <v>0</v>
      </c>
      <c r="Q99">
        <f t="shared" si="19"/>
        <v>0</v>
      </c>
    </row>
    <row r="100" spans="1:17" x14ac:dyDescent="0.25">
      <c r="A100" s="8">
        <v>68</v>
      </c>
      <c r="B100" s="9">
        <v>1</v>
      </c>
      <c r="C100" s="10">
        <f>MAX(0,MIN(INT(($D$10+SUM($N$33:N99)+SUM($P$33:P99))/$D$5*B100)-D99,IF($D$11&gt;G99,INT(($D$11-G99)/$D$5),0)-D99))</f>
        <v>3500</v>
      </c>
      <c r="D100" s="10">
        <f t="shared" si="20"/>
        <v>159000</v>
      </c>
      <c r="E100" s="10">
        <f t="shared" si="13"/>
        <v>2000</v>
      </c>
      <c r="F100" s="10">
        <f t="shared" si="21"/>
        <v>318000000</v>
      </c>
      <c r="G100" s="10">
        <f t="shared" si="22"/>
        <v>8996000000</v>
      </c>
      <c r="H100" s="13">
        <f t="shared" si="23"/>
        <v>0</v>
      </c>
      <c r="I100" s="13">
        <f t="shared" si="14"/>
        <v>318000000</v>
      </c>
      <c r="J100" s="13">
        <f t="shared" si="24"/>
        <v>9603958605.1032486</v>
      </c>
      <c r="K100" s="13">
        <f t="shared" si="25"/>
        <v>30850360.81429651</v>
      </c>
      <c r="L100" s="11">
        <f t="shared" si="15"/>
        <v>0.53379049605954032</v>
      </c>
      <c r="M100" s="16">
        <f t="shared" si="16"/>
        <v>3.5349044019564249E-2</v>
      </c>
      <c r="N100" s="10">
        <f t="shared" si="17"/>
        <v>7000000</v>
      </c>
      <c r="O100" s="18">
        <f t="shared" si="18"/>
        <v>17992000000</v>
      </c>
      <c r="P100">
        <v>0</v>
      </c>
      <c r="Q100">
        <f t="shared" si="19"/>
        <v>0</v>
      </c>
    </row>
    <row r="101" spans="1:17" x14ac:dyDescent="0.25">
      <c r="A101" s="8">
        <v>69</v>
      </c>
      <c r="B101" s="9">
        <v>1</v>
      </c>
      <c r="C101" s="10">
        <f>MAX(0,MIN(INT(($D$10+SUM($N$33:N100)+SUM($P$33:P100))/$D$5*B101)-D100,IF($D$11&gt;G100,INT(($D$11-G100)/$D$5),0)-D100))</f>
        <v>3500</v>
      </c>
      <c r="D101" s="10">
        <f t="shared" si="20"/>
        <v>162500</v>
      </c>
      <c r="E101" s="10">
        <f t="shared" si="13"/>
        <v>2000</v>
      </c>
      <c r="F101" s="10">
        <f t="shared" si="21"/>
        <v>325000000</v>
      </c>
      <c r="G101" s="10">
        <f t="shared" si="22"/>
        <v>9321000000</v>
      </c>
      <c r="H101" s="13">
        <f t="shared" si="23"/>
        <v>0</v>
      </c>
      <c r="I101" s="13">
        <f t="shared" si="14"/>
        <v>325000000</v>
      </c>
      <c r="J101" s="13">
        <f t="shared" si="24"/>
        <v>9960971800.4535923</v>
      </c>
      <c r="K101" s="13">
        <f t="shared" si="25"/>
        <v>32013195.350344162</v>
      </c>
      <c r="L101" s="11">
        <f t="shared" si="15"/>
        <v>0.53432956766728845</v>
      </c>
      <c r="M101" s="16">
        <f t="shared" si="16"/>
        <v>3.4867503486750349E-2</v>
      </c>
      <c r="N101" s="10">
        <f t="shared" si="17"/>
        <v>7000000</v>
      </c>
      <c r="O101" s="18">
        <f t="shared" si="18"/>
        <v>18642000000</v>
      </c>
      <c r="P101">
        <v>0</v>
      </c>
      <c r="Q101">
        <f t="shared" si="19"/>
        <v>0</v>
      </c>
    </row>
    <row r="102" spans="1:17" x14ac:dyDescent="0.25">
      <c r="A102" s="8">
        <v>70</v>
      </c>
      <c r="B102" s="9">
        <v>1</v>
      </c>
      <c r="C102" s="10">
        <f>MAX(0,MIN(INT(($D$10+SUM($N$33:N101)+SUM($P$33:P101))/$D$5*B102)-D101,IF($D$11&gt;G101,INT(($D$11-G101)/$D$5),0)-D101))</f>
        <v>3500</v>
      </c>
      <c r="D102" s="10">
        <f t="shared" si="20"/>
        <v>166000</v>
      </c>
      <c r="E102" s="10">
        <f t="shared" si="13"/>
        <v>2000</v>
      </c>
      <c r="F102" s="10">
        <f t="shared" si="21"/>
        <v>332000000</v>
      </c>
      <c r="G102" s="10">
        <f t="shared" si="22"/>
        <v>9653000000</v>
      </c>
      <c r="H102" s="13">
        <f t="shared" si="23"/>
        <v>0</v>
      </c>
      <c r="I102" s="13">
        <f t="shared" si="14"/>
        <v>332000000</v>
      </c>
      <c r="J102" s="13">
        <f t="shared" si="24"/>
        <v>10326175039.788437</v>
      </c>
      <c r="K102" s="13">
        <f t="shared" si="25"/>
        <v>33203239.334845308</v>
      </c>
      <c r="L102" s="11">
        <f t="shared" si="15"/>
        <v>0.53486869573129792</v>
      </c>
      <c r="M102" s="16">
        <f t="shared" si="16"/>
        <v>3.439345281259712E-2</v>
      </c>
      <c r="N102" s="10">
        <f t="shared" si="17"/>
        <v>7000000</v>
      </c>
      <c r="O102" s="18">
        <f t="shared" si="18"/>
        <v>19306000000</v>
      </c>
      <c r="P102">
        <v>0</v>
      </c>
      <c r="Q102">
        <f t="shared" si="19"/>
        <v>0</v>
      </c>
    </row>
    <row r="103" spans="1:17" x14ac:dyDescent="0.25">
      <c r="A103" s="8">
        <v>71</v>
      </c>
      <c r="B103" s="9">
        <v>1</v>
      </c>
      <c r="C103" s="10">
        <f>MAX(0,MIN(INT(($D$10+SUM($N$33:N102)+SUM($P$33:P102))/$D$5*B103)-D102,IF($D$11&gt;G102,INT(($D$11-G102)/$D$5),0)-D102))</f>
        <v>3500</v>
      </c>
      <c r="D103" s="10">
        <f t="shared" si="20"/>
        <v>169500</v>
      </c>
      <c r="E103" s="10">
        <f t="shared" si="13"/>
        <v>2000</v>
      </c>
      <c r="F103" s="10">
        <f t="shared" si="21"/>
        <v>339000000</v>
      </c>
      <c r="G103" s="10">
        <f t="shared" si="22"/>
        <v>9992000000</v>
      </c>
      <c r="H103" s="13">
        <f t="shared" si="23"/>
        <v>0</v>
      </c>
      <c r="I103" s="13">
        <f t="shared" si="14"/>
        <v>339000000</v>
      </c>
      <c r="J103" s="13">
        <f t="shared" si="24"/>
        <v>10699595623.254398</v>
      </c>
      <c r="K103" s="13">
        <f t="shared" si="25"/>
        <v>34420583.465961456</v>
      </c>
      <c r="L103" s="11">
        <f t="shared" si="15"/>
        <v>0.53540810764883895</v>
      </c>
      <c r="M103" s="16">
        <f t="shared" si="16"/>
        <v>3.3927141713370697E-2</v>
      </c>
      <c r="N103" s="10">
        <f t="shared" si="17"/>
        <v>7000000</v>
      </c>
      <c r="O103" s="18">
        <f t="shared" si="18"/>
        <v>19984000000</v>
      </c>
      <c r="P103">
        <v>0</v>
      </c>
      <c r="Q103">
        <f t="shared" si="19"/>
        <v>0</v>
      </c>
    </row>
    <row r="104" spans="1:17" x14ac:dyDescent="0.25">
      <c r="A104" s="8">
        <v>72</v>
      </c>
      <c r="B104" s="9">
        <v>1</v>
      </c>
      <c r="C104" s="10">
        <f>MAX(0,MIN(INT(($D$10+SUM($N$33:N103)+SUM($P$33:P103))/$D$5*B104)-D103,IF($D$11&gt;G103,INT(($D$11-G103)/$D$5),0)-D103))</f>
        <v>3500</v>
      </c>
      <c r="D104" s="10">
        <f t="shared" si="20"/>
        <v>173000</v>
      </c>
      <c r="E104" s="10">
        <f t="shared" si="13"/>
        <v>2000</v>
      </c>
      <c r="F104" s="10">
        <f t="shared" si="21"/>
        <v>346000000</v>
      </c>
      <c r="G104" s="10">
        <f t="shared" si="22"/>
        <v>10338000000</v>
      </c>
      <c r="H104" s="13">
        <f t="shared" si="23"/>
        <v>0</v>
      </c>
      <c r="I104" s="13">
        <f t="shared" si="14"/>
        <v>346000000</v>
      </c>
      <c r="J104" s="13">
        <f t="shared" si="24"/>
        <v>11081260941.998579</v>
      </c>
      <c r="K104" s="13">
        <f t="shared" si="25"/>
        <v>35665318.744181328</v>
      </c>
      <c r="L104" s="11">
        <f t="shared" si="15"/>
        <v>0.53594800454626523</v>
      </c>
      <c r="M104" s="16">
        <f t="shared" si="16"/>
        <v>3.34687560456568E-2</v>
      </c>
      <c r="N104" s="10">
        <f t="shared" si="17"/>
        <v>7000000</v>
      </c>
      <c r="O104" s="18">
        <f t="shared" si="18"/>
        <v>20676000000</v>
      </c>
      <c r="P104">
        <v>0</v>
      </c>
      <c r="Q104">
        <f t="shared" si="19"/>
        <v>0</v>
      </c>
    </row>
    <row r="105" spans="1:17" x14ac:dyDescent="0.25">
      <c r="A105" s="8">
        <v>73</v>
      </c>
      <c r="B105" s="9">
        <v>1</v>
      </c>
      <c r="C105" s="10">
        <f>MAX(0,MIN(INT(($D$10+SUM($N$33:N104)+SUM($P$33:P104))/$D$5*B105)-D104,IF($D$11&gt;G104,INT(($D$11-G104)/$D$5),0)-D104))</f>
        <v>3500</v>
      </c>
      <c r="D105" s="10">
        <f t="shared" si="20"/>
        <v>176500</v>
      </c>
      <c r="E105" s="10">
        <f t="shared" si="13"/>
        <v>2000</v>
      </c>
      <c r="F105" s="10">
        <f t="shared" si="21"/>
        <v>353000000</v>
      </c>
      <c r="G105" s="10">
        <f t="shared" si="22"/>
        <v>10691000000</v>
      </c>
      <c r="H105" s="13">
        <f t="shared" si="23"/>
        <v>0</v>
      </c>
      <c r="I105" s="13">
        <f t="shared" si="14"/>
        <v>353000000</v>
      </c>
      <c r="J105" s="13">
        <f t="shared" si="24"/>
        <v>11471198478.471909</v>
      </c>
      <c r="K105" s="13">
        <f t="shared" si="25"/>
        <v>36937536.473328598</v>
      </c>
      <c r="L105" s="11">
        <f t="shared" si="15"/>
        <v>0.5364885641414231</v>
      </c>
      <c r="M105" s="16">
        <f t="shared" si="16"/>
        <v>3.3018426714058552E-2</v>
      </c>
      <c r="N105" s="10">
        <f t="shared" si="17"/>
        <v>8000000</v>
      </c>
      <c r="O105" s="18">
        <f t="shared" si="18"/>
        <v>21382000000</v>
      </c>
      <c r="P105">
        <v>0</v>
      </c>
      <c r="Q105">
        <f t="shared" si="19"/>
        <v>0</v>
      </c>
    </row>
    <row r="106" spans="1:17" x14ac:dyDescent="0.25">
      <c r="A106" s="8">
        <v>74</v>
      </c>
      <c r="B106" s="9">
        <v>1</v>
      </c>
      <c r="C106" s="10">
        <f>MAX(0,MIN(INT(($D$10+SUM($N$33:N105)+SUM($P$33:P105))/$D$5*B106)-D105,IF($D$11&gt;G105,INT(($D$11-G105)/$D$5),0)-D105))</f>
        <v>4000</v>
      </c>
      <c r="D106" s="10">
        <f t="shared" si="20"/>
        <v>180500</v>
      </c>
      <c r="E106" s="10">
        <f t="shared" si="13"/>
        <v>2000</v>
      </c>
      <c r="F106" s="10">
        <f t="shared" si="21"/>
        <v>361000000</v>
      </c>
      <c r="G106" s="10">
        <f t="shared" si="22"/>
        <v>11052000000</v>
      </c>
      <c r="H106" s="13">
        <f t="shared" si="23"/>
        <v>0</v>
      </c>
      <c r="I106" s="13">
        <f t="shared" si="14"/>
        <v>361000000</v>
      </c>
      <c r="J106" s="13">
        <f t="shared" si="24"/>
        <v>11870435806.733482</v>
      </c>
      <c r="K106" s="13">
        <f t="shared" si="25"/>
        <v>38237328.261573032</v>
      </c>
      <c r="L106" s="11">
        <f t="shared" si="15"/>
        <v>0.53702659277657805</v>
      </c>
      <c r="M106" s="16">
        <f t="shared" si="16"/>
        <v>3.2663771263119798E-2</v>
      </c>
      <c r="N106" s="10">
        <f t="shared" si="17"/>
        <v>8000000</v>
      </c>
      <c r="O106" s="18">
        <f t="shared" si="18"/>
        <v>22104000000</v>
      </c>
      <c r="P106">
        <v>0</v>
      </c>
      <c r="Q106">
        <f t="shared" si="19"/>
        <v>0</v>
      </c>
    </row>
    <row r="107" spans="1:17" x14ac:dyDescent="0.25">
      <c r="A107" s="8">
        <v>75</v>
      </c>
      <c r="B107" s="9">
        <v>1</v>
      </c>
      <c r="C107" s="10">
        <f>MAX(0,MIN(INT(($D$10+SUM($N$33:N106)+SUM($P$33:P106))/$D$5*B107)-D106,IF($D$11&gt;G106,INT(($D$11-G106)/$D$5),0)-D106))</f>
        <v>4000</v>
      </c>
      <c r="D107" s="10">
        <f t="shared" si="20"/>
        <v>184500</v>
      </c>
      <c r="E107" s="10">
        <f t="shared" si="13"/>
        <v>2000</v>
      </c>
      <c r="F107" s="10">
        <f t="shared" si="21"/>
        <v>369000000</v>
      </c>
      <c r="G107" s="10">
        <f t="shared" si="22"/>
        <v>11421000000</v>
      </c>
      <c r="H107" s="13">
        <f t="shared" si="23"/>
        <v>0</v>
      </c>
      <c r="I107" s="13">
        <f t="shared" si="14"/>
        <v>369000000</v>
      </c>
      <c r="J107" s="13">
        <f t="shared" si="24"/>
        <v>12279003926.08926</v>
      </c>
      <c r="K107" s="13">
        <f t="shared" si="25"/>
        <v>39568119.355778277</v>
      </c>
      <c r="L107" s="11">
        <f t="shared" si="15"/>
        <v>0.53756255696039135</v>
      </c>
      <c r="M107" s="16">
        <f t="shared" si="16"/>
        <v>3.2308904649330179E-2</v>
      </c>
      <c r="N107" s="10">
        <f t="shared" si="17"/>
        <v>8000000</v>
      </c>
      <c r="O107" s="18">
        <f t="shared" si="18"/>
        <v>22842000000</v>
      </c>
      <c r="P107">
        <v>0</v>
      </c>
      <c r="Q107">
        <f t="shared" si="19"/>
        <v>0</v>
      </c>
    </row>
    <row r="108" spans="1:17" x14ac:dyDescent="0.25">
      <c r="A108" s="8">
        <v>76</v>
      </c>
      <c r="B108" s="9">
        <v>1</v>
      </c>
      <c r="C108" s="10">
        <f>MAX(0,MIN(INT(($D$10+SUM($N$33:N107)+SUM($P$33:P107))/$D$5*B108)-D107,IF($D$11&gt;G107,INT(($D$11-G107)/$D$5),0)-D107))</f>
        <v>4000</v>
      </c>
      <c r="D108" s="10">
        <f t="shared" si="20"/>
        <v>188500</v>
      </c>
      <c r="E108" s="10">
        <f t="shared" si="13"/>
        <v>2000</v>
      </c>
      <c r="F108" s="10">
        <f t="shared" si="21"/>
        <v>377000000</v>
      </c>
      <c r="G108" s="10">
        <f t="shared" si="22"/>
        <v>11798000000</v>
      </c>
      <c r="H108" s="13">
        <f t="shared" si="23"/>
        <v>0</v>
      </c>
      <c r="I108" s="13">
        <f t="shared" si="14"/>
        <v>377000000</v>
      </c>
      <c r="J108" s="13">
        <f t="shared" si="24"/>
        <v>12696933939.176224</v>
      </c>
      <c r="K108" s="13">
        <f t="shared" si="25"/>
        <v>40930013.086964205</v>
      </c>
      <c r="L108" s="11">
        <f t="shared" si="15"/>
        <v>0.53809687824954333</v>
      </c>
      <c r="M108" s="16">
        <f t="shared" si="16"/>
        <v>3.1954568570944225E-2</v>
      </c>
      <c r="N108" s="10">
        <f t="shared" si="17"/>
        <v>8000000</v>
      </c>
      <c r="O108" s="18">
        <f t="shared" si="18"/>
        <v>23596000000</v>
      </c>
      <c r="P108">
        <v>0</v>
      </c>
      <c r="Q108">
        <f t="shared" si="19"/>
        <v>0</v>
      </c>
    </row>
    <row r="109" spans="1:17" x14ac:dyDescent="0.25">
      <c r="A109" s="8">
        <v>77</v>
      </c>
      <c r="B109" s="9">
        <v>1</v>
      </c>
      <c r="C109" s="10">
        <f>MAX(0,MIN(INT(($D$10+SUM($N$33:N108)+SUM($P$33:P108))/$D$5*B109)-D108,IF($D$11&gt;G108,INT(($D$11-G108)/$D$5),0)-D108))</f>
        <v>4000</v>
      </c>
      <c r="D109" s="10">
        <f t="shared" si="20"/>
        <v>192500</v>
      </c>
      <c r="E109" s="10">
        <f t="shared" si="13"/>
        <v>2000</v>
      </c>
      <c r="F109" s="10">
        <f t="shared" si="21"/>
        <v>385000000</v>
      </c>
      <c r="G109" s="10">
        <f t="shared" si="22"/>
        <v>12183000000</v>
      </c>
      <c r="H109" s="13">
        <f t="shared" si="23"/>
        <v>0</v>
      </c>
      <c r="I109" s="13">
        <f t="shared" si="14"/>
        <v>385000000</v>
      </c>
      <c r="J109" s="13">
        <f t="shared" si="24"/>
        <v>13124257052.30681</v>
      </c>
      <c r="K109" s="13">
        <f t="shared" si="25"/>
        <v>42323113.130587414</v>
      </c>
      <c r="L109" s="11">
        <f t="shared" si="15"/>
        <v>0.53862993730225772</v>
      </c>
      <c r="M109" s="16">
        <f t="shared" si="16"/>
        <v>3.1601411803332514E-2</v>
      </c>
      <c r="N109" s="10">
        <f t="shared" si="17"/>
        <v>8000000</v>
      </c>
      <c r="O109" s="18">
        <f t="shared" si="18"/>
        <v>24366000000</v>
      </c>
      <c r="P109">
        <v>0</v>
      </c>
      <c r="Q109">
        <f t="shared" si="19"/>
        <v>0</v>
      </c>
    </row>
    <row r="110" spans="1:17" x14ac:dyDescent="0.25">
      <c r="A110" s="8">
        <v>78</v>
      </c>
      <c r="B110" s="9">
        <v>1</v>
      </c>
      <c r="C110" s="10">
        <f>MAX(0,MIN(INT(($D$10+SUM($N$33:N109)+SUM($P$33:P109))/$D$5*B110)-D109,IF($D$11&gt;G109,INT(($D$11-G109)/$D$5),0)-D109))</f>
        <v>4000</v>
      </c>
      <c r="D110" s="10">
        <f t="shared" si="20"/>
        <v>196500</v>
      </c>
      <c r="E110" s="10">
        <f t="shared" si="13"/>
        <v>2000</v>
      </c>
      <c r="F110" s="10">
        <f t="shared" si="21"/>
        <v>393000000</v>
      </c>
      <c r="G110" s="10">
        <f t="shared" si="22"/>
        <v>12576000000</v>
      </c>
      <c r="H110" s="13">
        <f t="shared" si="23"/>
        <v>0</v>
      </c>
      <c r="I110" s="13">
        <f t="shared" si="14"/>
        <v>393000000</v>
      </c>
      <c r="J110" s="13">
        <f t="shared" si="24"/>
        <v>13561004575.814499</v>
      </c>
      <c r="K110" s="13">
        <f t="shared" si="25"/>
        <v>43747523.507689372</v>
      </c>
      <c r="L110" s="11">
        <f t="shared" si="15"/>
        <v>0.53916207760076729</v>
      </c>
      <c r="M110" s="16">
        <f t="shared" si="16"/>
        <v>3.125E-2</v>
      </c>
      <c r="N110" s="10">
        <f t="shared" si="17"/>
        <v>8000000</v>
      </c>
      <c r="O110" s="18">
        <f t="shared" si="18"/>
        <v>25152000000</v>
      </c>
      <c r="P110">
        <v>0</v>
      </c>
      <c r="Q110">
        <f t="shared" si="19"/>
        <v>0</v>
      </c>
    </row>
    <row r="111" spans="1:17" x14ac:dyDescent="0.25">
      <c r="A111" s="8">
        <v>79</v>
      </c>
      <c r="B111" s="9">
        <v>1</v>
      </c>
      <c r="C111" s="10">
        <f>MAX(0,MIN(INT(($D$10+SUM($N$33:N110)+SUM($P$33:P110))/$D$5*B111)-D110,IF($D$11&gt;G110,INT(($D$11-G110)/$D$5),0)-D110))</f>
        <v>4000</v>
      </c>
      <c r="D111" s="10">
        <f t="shared" si="20"/>
        <v>200500</v>
      </c>
      <c r="E111" s="10">
        <f t="shared" si="13"/>
        <v>2000</v>
      </c>
      <c r="F111" s="10">
        <f t="shared" si="21"/>
        <v>401000000</v>
      </c>
      <c r="G111" s="10">
        <f t="shared" si="22"/>
        <v>12977000000</v>
      </c>
      <c r="H111" s="13">
        <f t="shared" si="23"/>
        <v>0</v>
      </c>
      <c r="I111" s="13">
        <f t="shared" si="14"/>
        <v>401000000</v>
      </c>
      <c r="J111" s="13">
        <f t="shared" si="24"/>
        <v>14007207924.400547</v>
      </c>
      <c r="K111" s="13">
        <f t="shared" si="25"/>
        <v>45203348.586048335</v>
      </c>
      <c r="L111" s="11">
        <f t="shared" si="15"/>
        <v>0.53969360886185358</v>
      </c>
      <c r="M111" s="16">
        <f t="shared" si="16"/>
        <v>3.0900824535717037E-2</v>
      </c>
      <c r="N111" s="10">
        <f t="shared" si="17"/>
        <v>8000000</v>
      </c>
      <c r="O111" s="18">
        <f t="shared" si="18"/>
        <v>25954000000</v>
      </c>
      <c r="P111">
        <v>0</v>
      </c>
      <c r="Q111">
        <f t="shared" si="19"/>
        <v>0</v>
      </c>
    </row>
    <row r="112" spans="1:17" x14ac:dyDescent="0.25">
      <c r="A112" s="8">
        <v>80</v>
      </c>
      <c r="B112" s="9">
        <v>1</v>
      </c>
      <c r="C112" s="10">
        <f>MAX(0,MIN(INT(($D$10+SUM($N$33:N111)+SUM($P$33:P111))/$D$5*B112)-D111,IF($D$11&gt;G111,INT(($D$11-G111)/$D$5),0)-D111))</f>
        <v>4000</v>
      </c>
      <c r="D112" s="10">
        <f t="shared" si="20"/>
        <v>204500</v>
      </c>
      <c r="E112" s="10">
        <f t="shared" si="13"/>
        <v>2000</v>
      </c>
      <c r="F112" s="10">
        <f t="shared" si="21"/>
        <v>409000000</v>
      </c>
      <c r="G112" s="10">
        <f t="shared" si="22"/>
        <v>13386000000</v>
      </c>
      <c r="H112" s="13">
        <f t="shared" si="23"/>
        <v>0</v>
      </c>
      <c r="I112" s="13">
        <f t="shared" si="14"/>
        <v>409000000</v>
      </c>
      <c r="J112" s="13">
        <f t="shared" si="24"/>
        <v>14462898617.481882</v>
      </c>
      <c r="K112" s="13">
        <f t="shared" si="25"/>
        <v>46690693.081335157</v>
      </c>
      <c r="L112" s="11">
        <f t="shared" si="15"/>
        <v>0.54022481015545654</v>
      </c>
      <c r="M112" s="16">
        <f t="shared" si="16"/>
        <v>3.0554310473629165E-2</v>
      </c>
      <c r="N112" s="10">
        <f t="shared" si="17"/>
        <v>8000000</v>
      </c>
      <c r="O112" s="18">
        <f t="shared" si="18"/>
        <v>26772000000</v>
      </c>
      <c r="P112">
        <v>0</v>
      </c>
      <c r="Q112">
        <f t="shared" si="19"/>
        <v>0</v>
      </c>
    </row>
    <row r="113" spans="1:17" x14ac:dyDescent="0.25">
      <c r="A113" s="8">
        <v>81</v>
      </c>
      <c r="B113" s="9">
        <v>1</v>
      </c>
      <c r="C113" s="10">
        <f>MAX(0,MIN(INT(($D$10+SUM($N$33:N112)+SUM($P$33:P112))/$D$5*B113)-D112,IF($D$11&gt;G112,INT(($D$11-G112)/$D$5),0)-D112))</f>
        <v>4000</v>
      </c>
      <c r="D113" s="10">
        <f t="shared" si="20"/>
        <v>208500</v>
      </c>
      <c r="E113" s="10">
        <f t="shared" si="13"/>
        <v>2000</v>
      </c>
      <c r="F113" s="10">
        <f t="shared" si="21"/>
        <v>417000000</v>
      </c>
      <c r="G113" s="10">
        <f t="shared" si="22"/>
        <v>13803000000</v>
      </c>
      <c r="H113" s="13">
        <f t="shared" si="23"/>
        <v>0</v>
      </c>
      <c r="I113" s="13">
        <f t="shared" si="14"/>
        <v>417000000</v>
      </c>
      <c r="J113" s="13">
        <f t="shared" si="24"/>
        <v>14928108279.540155</v>
      </c>
      <c r="K113" s="13">
        <f t="shared" si="25"/>
        <v>48209662.058272943</v>
      </c>
      <c r="L113" s="11">
        <f t="shared" si="15"/>
        <v>0.5407559327515814</v>
      </c>
      <c r="M113" s="16">
        <f t="shared" si="16"/>
        <v>3.0210823733970875E-2</v>
      </c>
      <c r="N113" s="10">
        <f t="shared" si="17"/>
        <v>8000000</v>
      </c>
      <c r="O113" s="18">
        <f t="shared" si="18"/>
        <v>27606000000</v>
      </c>
      <c r="P113">
        <v>0</v>
      </c>
      <c r="Q113">
        <f t="shared" si="19"/>
        <v>0</v>
      </c>
    </row>
    <row r="114" spans="1:17" x14ac:dyDescent="0.25">
      <c r="A114" s="8">
        <v>82</v>
      </c>
      <c r="B114" s="9">
        <v>1</v>
      </c>
      <c r="C114" s="10">
        <f>MAX(0,MIN(INT(($D$10+SUM($N$33:N113)+SUM($P$33:P113))/$D$5*B114)-D113,IF($D$11&gt;G113,INT(($D$11-G113)/$D$5),0)-D113))</f>
        <v>4000</v>
      </c>
      <c r="D114" s="10">
        <f t="shared" si="20"/>
        <v>212500</v>
      </c>
      <c r="E114" s="10">
        <f t="shared" si="13"/>
        <v>2000</v>
      </c>
      <c r="F114" s="10">
        <f t="shared" si="21"/>
        <v>425000000</v>
      </c>
      <c r="G114" s="10">
        <f t="shared" si="22"/>
        <v>14228000000</v>
      </c>
      <c r="H114" s="13">
        <f t="shared" si="23"/>
        <v>0</v>
      </c>
      <c r="I114" s="13">
        <f t="shared" si="14"/>
        <v>425000000</v>
      </c>
      <c r="J114" s="13">
        <f t="shared" si="24"/>
        <v>15402868640.471956</v>
      </c>
      <c r="K114" s="13">
        <f t="shared" si="25"/>
        <v>49760360.931800522</v>
      </c>
      <c r="L114" s="11">
        <f t="shared" si="15"/>
        <v>0.54128720271548902</v>
      </c>
      <c r="M114" s="16">
        <f t="shared" si="16"/>
        <v>2.9870677537250492E-2</v>
      </c>
      <c r="N114" s="10">
        <f t="shared" si="17"/>
        <v>8000000</v>
      </c>
      <c r="O114" s="18">
        <f t="shared" si="18"/>
        <v>28456000000</v>
      </c>
      <c r="P114">
        <v>0</v>
      </c>
      <c r="Q114">
        <f t="shared" si="19"/>
        <v>0</v>
      </c>
    </row>
    <row r="115" spans="1:17" x14ac:dyDescent="0.25">
      <c r="A115" s="8">
        <v>83</v>
      </c>
      <c r="B115" s="9">
        <v>1</v>
      </c>
      <c r="C115" s="10">
        <f>MAX(0,MIN(INT(($D$10+SUM($N$33:N114)+SUM($P$33:P114))/$D$5*B115)-D114,IF($D$11&gt;G114,INT(($D$11-G114)/$D$5),0)-D114))</f>
        <v>4000</v>
      </c>
      <c r="D115" s="10">
        <f t="shared" si="20"/>
        <v>216500</v>
      </c>
      <c r="E115" s="10">
        <f t="shared" si="13"/>
        <v>2000</v>
      </c>
      <c r="F115" s="10">
        <f t="shared" si="21"/>
        <v>433000000</v>
      </c>
      <c r="G115" s="10">
        <f t="shared" si="22"/>
        <v>14661000000</v>
      </c>
      <c r="H115" s="13">
        <f t="shared" si="23"/>
        <v>0</v>
      </c>
      <c r="I115" s="13">
        <f t="shared" si="14"/>
        <v>433000000</v>
      </c>
      <c r="J115" s="13">
        <f t="shared" si="24"/>
        <v>15887211535.940197</v>
      </c>
      <c r="K115" s="13">
        <f t="shared" si="25"/>
        <v>51342895.468239859</v>
      </c>
      <c r="L115" s="11">
        <f t="shared" si="15"/>
        <v>0.5418188232705885</v>
      </c>
      <c r="M115" s="16">
        <f t="shared" si="16"/>
        <v>2.9534138189755133E-2</v>
      </c>
      <c r="N115" s="10">
        <f t="shared" si="17"/>
        <v>8000000</v>
      </c>
      <c r="O115" s="18">
        <f t="shared" si="18"/>
        <v>29322000000</v>
      </c>
      <c r="P115">
        <v>0</v>
      </c>
      <c r="Q115">
        <f t="shared" si="19"/>
        <v>0</v>
      </c>
    </row>
    <row r="116" spans="1:17" x14ac:dyDescent="0.25">
      <c r="A116" s="8">
        <v>84</v>
      </c>
      <c r="B116" s="9">
        <v>1</v>
      </c>
      <c r="C116" s="10">
        <f>MAX(0,MIN(INT(($D$10+SUM($N$33:N115)+SUM($P$33:P115))/$D$5*B116)-D115,IF($D$11&gt;G115,INT(($D$11-G115)/$D$5),0)-D115))</f>
        <v>4000</v>
      </c>
      <c r="D116" s="10">
        <f t="shared" si="20"/>
        <v>220500</v>
      </c>
      <c r="E116" s="10">
        <f t="shared" si="13"/>
        <v>2000</v>
      </c>
      <c r="F116" s="10">
        <f t="shared" si="21"/>
        <v>441000000</v>
      </c>
      <c r="G116" s="10">
        <f t="shared" si="22"/>
        <v>15102000000</v>
      </c>
      <c r="H116" s="13">
        <f t="shared" si="23"/>
        <v>0</v>
      </c>
      <c r="I116" s="13">
        <f t="shared" si="14"/>
        <v>441000000</v>
      </c>
      <c r="J116" s="13">
        <f t="shared" si="24"/>
        <v>16381168907.726664</v>
      </c>
      <c r="K116" s="13">
        <f t="shared" si="25"/>
        <v>52957371.786467329</v>
      </c>
      <c r="L116" s="11">
        <f t="shared" si="15"/>
        <v>0.54235097694764478</v>
      </c>
      <c r="M116" s="16">
        <f t="shared" si="16"/>
        <v>2.9201430274135878E-2</v>
      </c>
      <c r="N116" s="10">
        <f t="shared" si="17"/>
        <v>8000000</v>
      </c>
      <c r="O116" s="18">
        <f t="shared" si="18"/>
        <v>30204000000</v>
      </c>
      <c r="P116">
        <v>0</v>
      </c>
      <c r="Q116">
        <f t="shared" si="19"/>
        <v>0</v>
      </c>
    </row>
    <row r="117" spans="1:17" x14ac:dyDescent="0.25">
      <c r="A117" s="8">
        <v>85</v>
      </c>
      <c r="B117" s="9">
        <v>1</v>
      </c>
      <c r="C117" s="10">
        <f>MAX(0,MIN(INT(($D$10+SUM($N$33:N116)+SUM($P$33:P116))/$D$5*B117)-D116,IF($D$11&gt;G116,INT(($D$11-G116)/$D$5),0)-D116))</f>
        <v>4000</v>
      </c>
      <c r="D117" s="10">
        <f t="shared" si="20"/>
        <v>224500</v>
      </c>
      <c r="E117" s="10">
        <f t="shared" si="13"/>
        <v>2000</v>
      </c>
      <c r="F117" s="10">
        <f t="shared" si="21"/>
        <v>449000000</v>
      </c>
      <c r="G117" s="10">
        <f t="shared" si="22"/>
        <v>15551000000</v>
      </c>
      <c r="H117" s="13">
        <f t="shared" si="23"/>
        <v>0</v>
      </c>
      <c r="I117" s="13">
        <f t="shared" si="14"/>
        <v>449000000</v>
      </c>
      <c r="J117" s="13">
        <f t="shared" si="24"/>
        <v>16884772804.085752</v>
      </c>
      <c r="K117" s="13">
        <f t="shared" si="25"/>
        <v>54603896.359088883</v>
      </c>
      <c r="L117" s="11">
        <f t="shared" si="15"/>
        <v>0.54288382753796383</v>
      </c>
      <c r="M117" s="16">
        <f t="shared" si="16"/>
        <v>2.8872741302810107E-2</v>
      </c>
      <c r="N117" s="10">
        <f t="shared" si="17"/>
        <v>10000000</v>
      </c>
      <c r="O117" s="18">
        <f t="shared" si="18"/>
        <v>31102000000</v>
      </c>
      <c r="P117">
        <v>0</v>
      </c>
      <c r="Q117">
        <f t="shared" si="19"/>
        <v>0</v>
      </c>
    </row>
    <row r="118" spans="1:17" x14ac:dyDescent="0.25">
      <c r="A118" s="8">
        <v>86</v>
      </c>
      <c r="B118" s="9">
        <v>1</v>
      </c>
      <c r="C118" s="10">
        <f>MAX(0,MIN(INT(($D$10+SUM($N$33:N117)+SUM($P$33:P117))/$D$5*B118)-D117,IF($D$11&gt;G117,INT(($D$11-G117)/$D$5),0)-D117))</f>
        <v>5000</v>
      </c>
      <c r="D118" s="10">
        <f t="shared" si="20"/>
        <v>229500</v>
      </c>
      <c r="E118" s="10">
        <f t="shared" si="13"/>
        <v>2000</v>
      </c>
      <c r="F118" s="10">
        <f t="shared" si="21"/>
        <v>459000000</v>
      </c>
      <c r="G118" s="10">
        <f t="shared" si="22"/>
        <v>16010000000</v>
      </c>
      <c r="H118" s="13">
        <f t="shared" si="23"/>
        <v>0</v>
      </c>
      <c r="I118" s="13">
        <f t="shared" si="14"/>
        <v>459000000</v>
      </c>
      <c r="J118" s="13">
        <f t="shared" si="24"/>
        <v>17400055380.099373</v>
      </c>
      <c r="K118" s="13">
        <f t="shared" si="25"/>
        <v>56282576.013619177</v>
      </c>
      <c r="L118" s="11">
        <f t="shared" si="15"/>
        <v>0.54341209806681368</v>
      </c>
      <c r="M118" s="16">
        <f t="shared" si="16"/>
        <v>2.8669581511555277E-2</v>
      </c>
      <c r="N118" s="10">
        <f t="shared" si="17"/>
        <v>10000000</v>
      </c>
      <c r="O118" s="18">
        <f t="shared" si="18"/>
        <v>32020000000</v>
      </c>
      <c r="P118">
        <v>0</v>
      </c>
      <c r="Q118">
        <f t="shared" si="19"/>
        <v>0</v>
      </c>
    </row>
    <row r="119" spans="1:17" x14ac:dyDescent="0.25">
      <c r="A119" s="8">
        <v>87</v>
      </c>
      <c r="B119" s="9">
        <v>1</v>
      </c>
      <c r="C119" s="10">
        <f>MAX(0,MIN(INT(($D$10+SUM($N$33:N118)+SUM($P$33:P118))/$D$5*B119)-D118,IF($D$11&gt;G118,INT(($D$11-G118)/$D$5),0)-D118))</f>
        <v>5000</v>
      </c>
      <c r="D119" s="10">
        <f t="shared" si="20"/>
        <v>234500</v>
      </c>
      <c r="E119" s="10">
        <f t="shared" si="13"/>
        <v>2000</v>
      </c>
      <c r="F119" s="10">
        <f t="shared" si="21"/>
        <v>469000000</v>
      </c>
      <c r="G119" s="10">
        <f t="shared" si="22"/>
        <v>16479000000</v>
      </c>
      <c r="H119" s="13">
        <f t="shared" si="23"/>
        <v>0</v>
      </c>
      <c r="I119" s="13">
        <f t="shared" si="14"/>
        <v>469000000</v>
      </c>
      <c r="J119" s="13">
        <f t="shared" si="24"/>
        <v>17927055564.699703</v>
      </c>
      <c r="K119" s="13">
        <f t="shared" si="25"/>
        <v>58000184.600331247</v>
      </c>
      <c r="L119" s="11">
        <f t="shared" si="15"/>
        <v>0.54393639070027622</v>
      </c>
      <c r="M119" s="16">
        <f t="shared" si="16"/>
        <v>2.8460464834031193E-2</v>
      </c>
      <c r="N119" s="10">
        <f t="shared" si="17"/>
        <v>10000000</v>
      </c>
      <c r="O119" s="18">
        <f t="shared" si="18"/>
        <v>32958000000</v>
      </c>
      <c r="P119">
        <v>0</v>
      </c>
      <c r="Q119">
        <f t="shared" si="19"/>
        <v>0</v>
      </c>
    </row>
    <row r="120" spans="1:17" x14ac:dyDescent="0.25">
      <c r="A120" s="8">
        <v>88</v>
      </c>
      <c r="B120" s="9">
        <v>1</v>
      </c>
      <c r="C120" s="10">
        <f>MAX(0,MIN(INT(($D$10+SUM($N$33:N119)+SUM($P$33:P119))/$D$5*B120)-D119,IF($D$11&gt;G119,INT(($D$11-G119)/$D$5),0)-D119))</f>
        <v>5000</v>
      </c>
      <c r="D120" s="10">
        <f t="shared" si="20"/>
        <v>239500</v>
      </c>
      <c r="E120" s="10">
        <f t="shared" si="13"/>
        <v>2000</v>
      </c>
      <c r="F120" s="10">
        <f t="shared" si="21"/>
        <v>479000000</v>
      </c>
      <c r="G120" s="10">
        <f t="shared" si="22"/>
        <v>16958000000</v>
      </c>
      <c r="H120" s="13">
        <f t="shared" si="23"/>
        <v>0</v>
      </c>
      <c r="I120" s="13">
        <f t="shared" si="14"/>
        <v>479000000</v>
      </c>
      <c r="J120" s="13">
        <f t="shared" si="24"/>
        <v>18465812416.582035</v>
      </c>
      <c r="K120" s="13">
        <f t="shared" si="25"/>
        <v>59756851.882332347</v>
      </c>
      <c r="L120" s="11">
        <f t="shared" si="15"/>
        <v>0.54445725959965896</v>
      </c>
      <c r="M120" s="16">
        <f t="shared" si="16"/>
        <v>2.8246255454652671E-2</v>
      </c>
      <c r="N120" s="10">
        <f t="shared" si="17"/>
        <v>10000000</v>
      </c>
      <c r="O120" s="18">
        <f t="shared" si="18"/>
        <v>33916000000</v>
      </c>
      <c r="P120">
        <v>0</v>
      </c>
      <c r="Q120">
        <f t="shared" si="19"/>
        <v>0</v>
      </c>
    </row>
    <row r="121" spans="1:17" x14ac:dyDescent="0.25">
      <c r="A121" s="8">
        <v>89</v>
      </c>
      <c r="B121" s="9">
        <v>1</v>
      </c>
      <c r="C121" s="10">
        <f>MAX(0,MIN(INT(($D$10+SUM($N$33:N120)+SUM($P$33:P120))/$D$5*B121)-D120,IF($D$11&gt;G120,INT(($D$11-G120)/$D$5),0)-D120))</f>
        <v>5000</v>
      </c>
      <c r="D121" s="10">
        <f t="shared" si="20"/>
        <v>244500</v>
      </c>
      <c r="E121" s="10">
        <f t="shared" si="13"/>
        <v>2000</v>
      </c>
      <c r="F121" s="10">
        <f t="shared" si="21"/>
        <v>489000000</v>
      </c>
      <c r="G121" s="10">
        <f t="shared" si="22"/>
        <v>17447000000</v>
      </c>
      <c r="H121" s="13">
        <f t="shared" si="23"/>
        <v>0</v>
      </c>
      <c r="I121" s="13">
        <f t="shared" si="14"/>
        <v>489000000</v>
      </c>
      <c r="J121" s="13">
        <f t="shared" si="24"/>
        <v>19016365124.63731</v>
      </c>
      <c r="K121" s="13">
        <f t="shared" si="25"/>
        <v>61552708.055273451</v>
      </c>
      <c r="L121" s="11">
        <f t="shared" si="15"/>
        <v>0.54497521420981576</v>
      </c>
      <c r="M121" s="16">
        <f t="shared" si="16"/>
        <v>2.80277411589385E-2</v>
      </c>
      <c r="N121" s="10">
        <f t="shared" si="17"/>
        <v>10000000</v>
      </c>
      <c r="O121" s="18">
        <f t="shared" si="18"/>
        <v>34894000000</v>
      </c>
      <c r="P121">
        <v>0</v>
      </c>
      <c r="Q121">
        <f t="shared" si="19"/>
        <v>0</v>
      </c>
    </row>
    <row r="122" spans="1:17" x14ac:dyDescent="0.25">
      <c r="A122" s="8">
        <v>90</v>
      </c>
      <c r="B122" s="9">
        <v>1</v>
      </c>
      <c r="C122" s="10">
        <f>MAX(0,MIN(INT(($D$10+SUM($N$33:N121)+SUM($P$33:P121))/$D$5*B122)-D121,IF($D$11&gt;G121,INT(($D$11-G121)/$D$5),0)-D121))</f>
        <v>5000</v>
      </c>
      <c r="D122" s="10">
        <f t="shared" si="20"/>
        <v>249500</v>
      </c>
      <c r="E122" s="10">
        <f t="shared" si="13"/>
        <v>2000</v>
      </c>
      <c r="F122" s="10">
        <f t="shared" si="21"/>
        <v>499000000</v>
      </c>
      <c r="G122" s="10">
        <f t="shared" si="22"/>
        <v>17946000000</v>
      </c>
      <c r="H122" s="13">
        <f t="shared" si="23"/>
        <v>0</v>
      </c>
      <c r="I122" s="13">
        <f t="shared" si="14"/>
        <v>499000000</v>
      </c>
      <c r="J122" s="13">
        <f t="shared" si="24"/>
        <v>19578753008.386101</v>
      </c>
      <c r="K122" s="13">
        <f t="shared" si="25"/>
        <v>63387883.748791039</v>
      </c>
      <c r="L122" s="11">
        <f t="shared" si="15"/>
        <v>0.54549072240014773</v>
      </c>
      <c r="M122" s="16">
        <f t="shared" si="16"/>
        <v>2.7805639139641146E-2</v>
      </c>
      <c r="N122" s="10">
        <f t="shared" si="17"/>
        <v>10000000</v>
      </c>
      <c r="O122" s="18">
        <f t="shared" si="18"/>
        <v>35892000000</v>
      </c>
      <c r="P122">
        <v>0</v>
      </c>
      <c r="Q122">
        <f t="shared" si="19"/>
        <v>0</v>
      </c>
    </row>
    <row r="123" spans="1:17" x14ac:dyDescent="0.25">
      <c r="A123" s="8">
        <v>91</v>
      </c>
      <c r="B123" s="9">
        <v>1</v>
      </c>
      <c r="C123" s="10">
        <f>MAX(0,MIN(INT(($D$10+SUM($N$33:N122)+SUM($P$33:P122))/$D$5*B123)-D122,IF($D$11&gt;G122,INT(($D$11-G122)/$D$5),0)-D122))</f>
        <v>5000</v>
      </c>
      <c r="D123" s="10">
        <f t="shared" si="20"/>
        <v>254500</v>
      </c>
      <c r="E123" s="10">
        <f t="shared" si="13"/>
        <v>2000</v>
      </c>
      <c r="F123" s="10">
        <f t="shared" si="21"/>
        <v>509000000</v>
      </c>
      <c r="G123" s="10">
        <f t="shared" si="22"/>
        <v>18455000000</v>
      </c>
      <c r="H123" s="13">
        <f t="shared" si="23"/>
        <v>0</v>
      </c>
      <c r="I123" s="13">
        <f t="shared" si="14"/>
        <v>509000000</v>
      </c>
      <c r="J123" s="13">
        <f t="shared" si="24"/>
        <v>20153015518.414055</v>
      </c>
      <c r="K123" s="13">
        <f t="shared" si="25"/>
        <v>65262510.027953677</v>
      </c>
      <c r="L123" s="11">
        <f t="shared" si="15"/>
        <v>0.5460042134493106</v>
      </c>
      <c r="M123" s="16">
        <f t="shared" si="16"/>
        <v>2.7580601463018151E-2</v>
      </c>
      <c r="N123" s="10">
        <f t="shared" si="17"/>
        <v>10000000</v>
      </c>
      <c r="O123" s="18">
        <f t="shared" si="18"/>
        <v>36910000000</v>
      </c>
      <c r="P123">
        <v>0</v>
      </c>
      <c r="Q123">
        <f t="shared" si="19"/>
        <v>0</v>
      </c>
    </row>
    <row r="124" spans="1:17" x14ac:dyDescent="0.25">
      <c r="A124" s="8">
        <v>92</v>
      </c>
      <c r="B124" s="9">
        <v>1</v>
      </c>
      <c r="C124" s="10">
        <f>MAX(0,MIN(INT(($D$10+SUM($N$33:N123)+SUM($P$33:P123))/$D$5*B124)-D123,IF($D$11&gt;G123,INT(($D$11-G123)/$D$5),0)-D123))</f>
        <v>5000</v>
      </c>
      <c r="D124" s="10">
        <f t="shared" si="20"/>
        <v>259500</v>
      </c>
      <c r="E124" s="10">
        <f t="shared" si="13"/>
        <v>2000</v>
      </c>
      <c r="F124" s="10">
        <f t="shared" si="21"/>
        <v>519000000</v>
      </c>
      <c r="G124" s="10">
        <f t="shared" si="22"/>
        <v>18974000000</v>
      </c>
      <c r="H124" s="13">
        <f t="shared" si="23"/>
        <v>0</v>
      </c>
      <c r="I124" s="13">
        <f t="shared" si="14"/>
        <v>519000000</v>
      </c>
      <c r="J124" s="13">
        <f t="shared" si="24"/>
        <v>20739192236.808769</v>
      </c>
      <c r="K124" s="13">
        <f t="shared" si="25"/>
        <v>67176718.394713521</v>
      </c>
      <c r="L124" s="11">
        <f t="shared" si="15"/>
        <v>0.54651608086878811</v>
      </c>
      <c r="M124" s="16">
        <f t="shared" si="16"/>
        <v>2.7353220196057765E-2</v>
      </c>
      <c r="N124" s="10">
        <f t="shared" si="17"/>
        <v>10000000</v>
      </c>
      <c r="O124" s="18">
        <f t="shared" si="18"/>
        <v>37948000000</v>
      </c>
      <c r="P124">
        <v>0</v>
      </c>
      <c r="Q124">
        <f t="shared" si="19"/>
        <v>0</v>
      </c>
    </row>
    <row r="125" spans="1:17" x14ac:dyDescent="0.25">
      <c r="A125" s="8">
        <v>93</v>
      </c>
      <c r="B125" s="9">
        <v>1</v>
      </c>
      <c r="C125" s="10">
        <f>MAX(0,MIN(INT(($D$10+SUM($N$33:N124)+SUM($P$33:P124))/$D$5*B125)-D124,IF($D$11&gt;G124,INT(($D$11-G124)/$D$5),0)-D124))</f>
        <v>5000</v>
      </c>
      <c r="D125" s="10">
        <f t="shared" si="20"/>
        <v>264500</v>
      </c>
      <c r="E125" s="10">
        <f t="shared" si="13"/>
        <v>2000</v>
      </c>
      <c r="F125" s="10">
        <f t="shared" si="21"/>
        <v>529000000</v>
      </c>
      <c r="G125" s="10">
        <f t="shared" si="22"/>
        <v>19503000000</v>
      </c>
      <c r="H125" s="13">
        <f t="shared" si="23"/>
        <v>0</v>
      </c>
      <c r="I125" s="13">
        <f t="shared" si="14"/>
        <v>529000000</v>
      </c>
      <c r="J125" s="13">
        <f t="shared" si="24"/>
        <v>21337322877.598133</v>
      </c>
      <c r="K125" s="13">
        <f t="shared" si="25"/>
        <v>69130640.789362565</v>
      </c>
      <c r="L125" s="11">
        <f t="shared" si="15"/>
        <v>0.54702668506378849</v>
      </c>
      <c r="M125" s="16">
        <f t="shared" si="16"/>
        <v>2.7124032200174331E-2</v>
      </c>
      <c r="N125" s="10">
        <f t="shared" si="17"/>
        <v>10000000</v>
      </c>
      <c r="O125" s="18">
        <f t="shared" si="18"/>
        <v>39006000000</v>
      </c>
      <c r="P125">
        <v>0</v>
      </c>
      <c r="Q125">
        <f t="shared" si="19"/>
        <v>0</v>
      </c>
    </row>
    <row r="126" spans="1:17" x14ac:dyDescent="0.25">
      <c r="A126" s="8">
        <v>94</v>
      </c>
      <c r="B126" s="9">
        <v>1</v>
      </c>
      <c r="C126" s="10">
        <f>MAX(0,MIN(INT(($D$10+SUM($N$33:N125)+SUM($P$33:P125))/$D$5*B126)-D125,IF($D$11&gt;G125,INT(($D$11-G125)/$D$5),0)-D125))</f>
        <v>5000</v>
      </c>
      <c r="D126" s="10">
        <f t="shared" si="20"/>
        <v>269500</v>
      </c>
      <c r="E126" s="10">
        <f t="shared" si="13"/>
        <v>2000</v>
      </c>
      <c r="F126" s="10">
        <f t="shared" si="21"/>
        <v>539000000</v>
      </c>
      <c r="G126" s="10">
        <f t="shared" si="22"/>
        <v>20042000000</v>
      </c>
      <c r="H126" s="13">
        <f t="shared" si="23"/>
        <v>0</v>
      </c>
      <c r="I126" s="13">
        <f t="shared" si="14"/>
        <v>539000000</v>
      </c>
      <c r="J126" s="13">
        <f t="shared" si="24"/>
        <v>21947447287.190128</v>
      </c>
      <c r="K126" s="13">
        <f t="shared" si="25"/>
        <v>71124409.591993779</v>
      </c>
      <c r="L126" s="11">
        <f t="shared" si="15"/>
        <v>0.54753635583250493</v>
      </c>
      <c r="M126" s="16">
        <f t="shared" si="16"/>
        <v>2.6893523600439079E-2</v>
      </c>
      <c r="N126" s="10">
        <f t="shared" si="17"/>
        <v>10000000</v>
      </c>
      <c r="O126" s="18">
        <f t="shared" si="18"/>
        <v>40084000000</v>
      </c>
      <c r="P126">
        <v>0</v>
      </c>
      <c r="Q126">
        <f t="shared" si="19"/>
        <v>0</v>
      </c>
    </row>
    <row r="127" spans="1:17" x14ac:dyDescent="0.25">
      <c r="A127" s="8">
        <v>95</v>
      </c>
      <c r="B127" s="9">
        <v>1</v>
      </c>
      <c r="C127" s="10">
        <f>MAX(0,MIN(INT(($D$10+SUM($N$33:N126)+SUM($P$33:P126))/$D$5*B127)-D126,IF($D$11&gt;G126,INT(($D$11-G126)/$D$5),0)-D126))</f>
        <v>5000</v>
      </c>
      <c r="D127" s="10">
        <f t="shared" si="20"/>
        <v>274500</v>
      </c>
      <c r="E127" s="10">
        <f t="shared" si="13"/>
        <v>2000</v>
      </c>
      <c r="F127" s="10">
        <f t="shared" si="21"/>
        <v>549000000</v>
      </c>
      <c r="G127" s="10">
        <f t="shared" si="22"/>
        <v>20591000000</v>
      </c>
      <c r="H127" s="13">
        <f t="shared" si="23"/>
        <v>0</v>
      </c>
      <c r="I127" s="13">
        <f t="shared" si="14"/>
        <v>549000000</v>
      </c>
      <c r="J127" s="13">
        <f t="shared" si="24"/>
        <v>22569605444.814095</v>
      </c>
      <c r="K127" s="13">
        <f t="shared" si="25"/>
        <v>73158157.623967096</v>
      </c>
      <c r="L127" s="11">
        <f t="shared" si="15"/>
        <v>0.54804539470676739</v>
      </c>
      <c r="M127" s="16">
        <f t="shared" si="16"/>
        <v>2.66621339420135E-2</v>
      </c>
      <c r="N127" s="10">
        <f t="shared" si="17"/>
        <v>10000000</v>
      </c>
      <c r="O127" s="18">
        <f t="shared" si="18"/>
        <v>41182000000</v>
      </c>
      <c r="P127">
        <v>0</v>
      </c>
      <c r="Q127">
        <f t="shared" si="19"/>
        <v>0</v>
      </c>
    </row>
    <row r="128" spans="1:17" x14ac:dyDescent="0.25">
      <c r="A128" s="8">
        <v>96</v>
      </c>
      <c r="B128" s="9">
        <v>1</v>
      </c>
      <c r="C128" s="10">
        <f>MAX(0,MIN(INT(($D$10+SUM($N$33:N127)+SUM($P$33:P127))/$D$5*B128)-D127,IF($D$11&gt;G127,INT(($D$11-G127)/$D$5),0)-D127))</f>
        <v>5000</v>
      </c>
      <c r="D128" s="10">
        <f t="shared" si="20"/>
        <v>279500</v>
      </c>
      <c r="E128" s="10">
        <f t="shared" si="13"/>
        <v>2000</v>
      </c>
      <c r="F128" s="10">
        <f t="shared" si="21"/>
        <v>559000000</v>
      </c>
      <c r="G128" s="10">
        <f t="shared" si="22"/>
        <v>21150000000</v>
      </c>
      <c r="H128" s="13">
        <f t="shared" si="23"/>
        <v>0</v>
      </c>
      <c r="I128" s="13">
        <f t="shared" si="14"/>
        <v>559000000</v>
      </c>
      <c r="J128" s="13">
        <f t="shared" si="24"/>
        <v>23203837462.963474</v>
      </c>
      <c r="K128" s="13">
        <f t="shared" si="25"/>
        <v>75232018.149380326</v>
      </c>
      <c r="L128" s="11">
        <f t="shared" si="15"/>
        <v>0.54855407713861637</v>
      </c>
      <c r="M128" s="16">
        <f t="shared" si="16"/>
        <v>2.6430260047281325E-2</v>
      </c>
      <c r="N128" s="10">
        <f t="shared" si="17"/>
        <v>10000000</v>
      </c>
      <c r="O128" s="18">
        <f t="shared" si="18"/>
        <v>42300000000</v>
      </c>
      <c r="P128">
        <v>0</v>
      </c>
      <c r="Q128">
        <f t="shared" si="19"/>
        <v>0</v>
      </c>
    </row>
    <row r="129" spans="1:19" x14ac:dyDescent="0.25">
      <c r="A129" s="8">
        <v>97</v>
      </c>
      <c r="B129" s="9">
        <v>1</v>
      </c>
      <c r="C129" s="10">
        <f>MAX(0,MIN(INT(($D$10+SUM($N$33:N128)+SUM($P$33:P128))/$D$5*B129)-D128,IF($D$11&gt;G128,INT(($D$11-G128)/$D$5),0)-D128))</f>
        <v>5000</v>
      </c>
      <c r="D129" s="10">
        <f t="shared" si="20"/>
        <v>284500</v>
      </c>
      <c r="E129" s="10">
        <f t="shared" si="13"/>
        <v>2000</v>
      </c>
      <c r="F129" s="10">
        <f t="shared" si="21"/>
        <v>569000000</v>
      </c>
      <c r="G129" s="10">
        <f t="shared" si="22"/>
        <v>21719000000</v>
      </c>
      <c r="H129" s="13">
        <f t="shared" si="23"/>
        <v>0</v>
      </c>
      <c r="I129" s="13">
        <f t="shared" si="14"/>
        <v>569000000</v>
      </c>
      <c r="J129" s="13">
        <f t="shared" si="24"/>
        <v>23850183587.840019</v>
      </c>
      <c r="K129" s="13">
        <f t="shared" si="25"/>
        <v>77346124.876544923</v>
      </c>
      <c r="L129" s="11">
        <f t="shared" si="15"/>
        <v>0.54906265453842307</v>
      </c>
      <c r="M129" s="16">
        <f t="shared" si="16"/>
        <v>2.619825958837884E-2</v>
      </c>
      <c r="N129" s="10">
        <f t="shared" si="17"/>
        <v>10000000</v>
      </c>
      <c r="O129" s="18">
        <f t="shared" si="18"/>
        <v>43438000000</v>
      </c>
      <c r="P129">
        <v>0</v>
      </c>
      <c r="Q129">
        <f t="shared" si="19"/>
        <v>0</v>
      </c>
    </row>
    <row r="130" spans="1:19" x14ac:dyDescent="0.25">
      <c r="A130" s="8">
        <v>98</v>
      </c>
      <c r="B130" s="9">
        <v>1</v>
      </c>
      <c r="C130" s="10">
        <f>MAX(0,MIN(INT(($D$10+SUM($N$33:N129)+SUM($P$33:P129))/$D$5*B130)-D129,IF($D$11&gt;G129,INT(($D$11-G129)/$D$5),0)-D129))</f>
        <v>5000</v>
      </c>
      <c r="D130" s="10">
        <f t="shared" si="20"/>
        <v>289500</v>
      </c>
      <c r="E130" s="10">
        <f t="shared" si="13"/>
        <v>2000</v>
      </c>
      <c r="F130" s="10">
        <f t="shared" si="21"/>
        <v>579000000</v>
      </c>
      <c r="G130" s="10">
        <f t="shared" si="22"/>
        <v>22298000000</v>
      </c>
      <c r="H130" s="13">
        <f t="shared" si="23"/>
        <v>0</v>
      </c>
      <c r="I130" s="13">
        <f t="shared" si="14"/>
        <v>579000000</v>
      </c>
      <c r="J130" s="13">
        <f t="shared" si="24"/>
        <v>24508684199.799484</v>
      </c>
      <c r="K130" s="13">
        <f t="shared" si="25"/>
        <v>79500611.95946674</v>
      </c>
      <c r="L130" s="11">
        <f t="shared" si="15"/>
        <v>0.54957135617094544</v>
      </c>
      <c r="M130" s="16">
        <f t="shared" si="16"/>
        <v>2.5966454390528297E-2</v>
      </c>
      <c r="N130" s="10">
        <f t="shared" si="17"/>
        <v>10000000</v>
      </c>
      <c r="O130" s="18">
        <f t="shared" si="18"/>
        <v>44596000000</v>
      </c>
      <c r="P130">
        <v>0</v>
      </c>
      <c r="Q130">
        <f t="shared" si="19"/>
        <v>0</v>
      </c>
      <c r="R130" s="18"/>
      <c r="S130" s="17"/>
    </row>
    <row r="131" spans="1:19" x14ac:dyDescent="0.25">
      <c r="A131" s="8">
        <v>99</v>
      </c>
      <c r="B131" s="9">
        <v>1</v>
      </c>
      <c r="C131" s="10">
        <f>MAX(0,MIN(INT(($D$10+SUM($N$33:N130)+SUM($P$33:P130))/$D$5*B131)-D130,IF($D$11&gt;G130,INT(($D$11-G130)/$D$5),0)-D130))</f>
        <v>5000</v>
      </c>
      <c r="D131" s="10">
        <f t="shared" si="20"/>
        <v>294500</v>
      </c>
      <c r="E131" s="10">
        <f t="shared" si="13"/>
        <v>2000</v>
      </c>
      <c r="F131" s="10">
        <f t="shared" si="21"/>
        <v>589000000</v>
      </c>
      <c r="G131" s="10">
        <f t="shared" si="22"/>
        <v>22887000000</v>
      </c>
      <c r="H131" s="13">
        <f t="shared" si="23"/>
        <v>0</v>
      </c>
      <c r="I131" s="13">
        <f t="shared" si="14"/>
        <v>589000000</v>
      </c>
      <c r="J131" s="13">
        <f t="shared" si="24"/>
        <v>25179379813.798817</v>
      </c>
      <c r="K131" s="13">
        <f t="shared" si="25"/>
        <v>81695613.999331623</v>
      </c>
      <c r="L131" s="11">
        <f t="shared" si="15"/>
        <v>0.55008039091621486</v>
      </c>
      <c r="M131" s="16">
        <f t="shared" si="16"/>
        <v>2.5735133481889282E-2</v>
      </c>
      <c r="N131" s="10">
        <f t="shared" si="17"/>
        <v>10000000</v>
      </c>
      <c r="O131" s="18">
        <f t="shared" si="18"/>
        <v>45774000000</v>
      </c>
      <c r="P131">
        <v>0</v>
      </c>
      <c r="Q131">
        <f t="shared" si="19"/>
        <v>0</v>
      </c>
    </row>
    <row r="132" spans="1:19" x14ac:dyDescent="0.25">
      <c r="A132" s="8">
        <v>100</v>
      </c>
      <c r="B132" s="9">
        <v>1</v>
      </c>
      <c r="C132" s="10">
        <f>MAX(0,MIN(INT(($D$10+SUM($N$33:N131)+SUM($P$33:P131))/$D$5*B132)-D131,IF($D$11&gt;G131,INT(($D$11-G131)/$D$5),0)-D131))</f>
        <v>5000</v>
      </c>
      <c r="D132" s="10">
        <f t="shared" si="20"/>
        <v>299500</v>
      </c>
      <c r="E132" s="10">
        <f t="shared" si="13"/>
        <v>2000</v>
      </c>
      <c r="F132" s="10">
        <f t="shared" si="21"/>
        <v>599000000</v>
      </c>
      <c r="G132" s="10">
        <f t="shared" si="22"/>
        <v>23486000000</v>
      </c>
      <c r="H132" s="13">
        <f t="shared" si="23"/>
        <v>0</v>
      </c>
      <c r="I132" s="13">
        <f t="shared" si="14"/>
        <v>599000000</v>
      </c>
      <c r="J132" s="13">
        <f t="shared" si="24"/>
        <v>25862311079.844814</v>
      </c>
      <c r="K132" s="13">
        <f t="shared" si="25"/>
        <v>83931266.045996055</v>
      </c>
      <c r="L132" s="11">
        <f t="shared" si="15"/>
        <v>0.5505899489024273</v>
      </c>
      <c r="M132" s="16">
        <f t="shared" si="16"/>
        <v>2.5504555905645918E-2</v>
      </c>
      <c r="N132" s="10">
        <f t="shared" si="17"/>
        <v>10000000</v>
      </c>
      <c r="O132" s="18">
        <f t="shared" si="18"/>
        <v>46972000000</v>
      </c>
      <c r="P132">
        <v>0</v>
      </c>
      <c r="Q132">
        <f t="shared" si="19"/>
        <v>0</v>
      </c>
    </row>
    <row r="133" spans="1:19" x14ac:dyDescent="0.25">
      <c r="A133" s="8">
        <v>101</v>
      </c>
      <c r="B133" s="9">
        <v>1</v>
      </c>
      <c r="C133" s="10">
        <f>MAX(0,MIN(INT(($D$10+SUM($N$33:N132)+SUM($P$33:P132))/$D$5*B133)-D132,IF($D$11&gt;G132,INT(($D$11-G132)/$D$5),0)-D132))</f>
        <v>5000</v>
      </c>
      <c r="D133" s="10">
        <f t="shared" si="20"/>
        <v>304500</v>
      </c>
      <c r="E133" s="10">
        <f t="shared" si="13"/>
        <v>2000</v>
      </c>
      <c r="F133" s="10">
        <f t="shared" si="21"/>
        <v>609000000</v>
      </c>
      <c r="G133" s="10">
        <f t="shared" si="22"/>
        <v>24095000000</v>
      </c>
      <c r="H133" s="13">
        <f t="shared" si="23"/>
        <v>0</v>
      </c>
      <c r="I133" s="13">
        <f t="shared" si="14"/>
        <v>609000000</v>
      </c>
      <c r="J133" s="13">
        <f t="shared" si="24"/>
        <v>26557518783.444298</v>
      </c>
      <c r="K133" s="13">
        <f t="shared" si="25"/>
        <v>86207703.599482715</v>
      </c>
      <c r="L133" s="11">
        <f t="shared" si="15"/>
        <v>0.55110020301814278</v>
      </c>
      <c r="M133" s="16">
        <f t="shared" si="16"/>
        <v>2.5274953309815315E-2</v>
      </c>
      <c r="N133" s="10">
        <f t="shared" si="17"/>
        <v>10000000</v>
      </c>
      <c r="O133" s="18">
        <f t="shared" si="18"/>
        <v>48190000000</v>
      </c>
      <c r="P133">
        <v>0</v>
      </c>
      <c r="Q133">
        <f t="shared" si="19"/>
        <v>0</v>
      </c>
    </row>
    <row r="134" spans="1:19" x14ac:dyDescent="0.25">
      <c r="A134" s="8">
        <v>102</v>
      </c>
      <c r="B134" s="9">
        <v>1</v>
      </c>
      <c r="C134" s="10">
        <f>MAX(0,MIN(INT(($D$10+SUM($N$33:N133)+SUM($P$33:P133))/$D$5*B134)-D133,IF($D$11&gt;G133,INT(($D$11-G133)/$D$5),0)-D133))</f>
        <v>5000</v>
      </c>
      <c r="D134" s="10">
        <f t="shared" si="20"/>
        <v>309500</v>
      </c>
      <c r="E134" s="10">
        <f t="shared" si="13"/>
        <v>2000</v>
      </c>
      <c r="F134" s="10">
        <f t="shared" si="21"/>
        <v>619000000</v>
      </c>
      <c r="G134" s="10">
        <f t="shared" si="22"/>
        <v>24714000000</v>
      </c>
      <c r="H134" s="13">
        <f t="shared" si="23"/>
        <v>0</v>
      </c>
      <c r="I134" s="13">
        <f t="shared" si="14"/>
        <v>619000000</v>
      </c>
      <c r="J134" s="13">
        <f t="shared" si="24"/>
        <v>27265043846.055779</v>
      </c>
      <c r="K134" s="13">
        <f t="shared" si="25"/>
        <v>88525062.611480996</v>
      </c>
      <c r="L134" s="11">
        <f t="shared" si="15"/>
        <v>0.55161131031107424</v>
      </c>
      <c r="M134" s="16">
        <f t="shared" si="16"/>
        <v>2.5046532329853523E-2</v>
      </c>
      <c r="N134" s="10">
        <f t="shared" si="17"/>
        <v>10000000</v>
      </c>
      <c r="O134" s="18">
        <f t="shared" si="18"/>
        <v>49428000000</v>
      </c>
      <c r="P134">
        <v>0</v>
      </c>
      <c r="Q134">
        <f t="shared" si="19"/>
        <v>0</v>
      </c>
    </row>
    <row r="135" spans="1:19" x14ac:dyDescent="0.25">
      <c r="A135" s="8">
        <v>103</v>
      </c>
      <c r="B135" s="9">
        <v>1</v>
      </c>
      <c r="C135" s="10">
        <f>MAX(0,MIN(INT(($D$10+SUM($N$33:N134)+SUM($P$33:P134))/$D$5*B135)-D134,IF($D$11&gt;G134,INT(($D$11-G134)/$D$5),0)-D134))</f>
        <v>5000</v>
      </c>
      <c r="D135" s="10">
        <f t="shared" si="20"/>
        <v>314500</v>
      </c>
      <c r="E135" s="10">
        <f t="shared" si="13"/>
        <v>2000</v>
      </c>
      <c r="F135" s="10">
        <f t="shared" si="21"/>
        <v>629000000</v>
      </c>
      <c r="G135" s="10">
        <f t="shared" si="22"/>
        <v>25343000000</v>
      </c>
      <c r="H135" s="13">
        <f t="shared" si="23"/>
        <v>0</v>
      </c>
      <c r="I135" s="13">
        <f t="shared" si="14"/>
        <v>629000000</v>
      </c>
      <c r="J135" s="13">
        <f t="shared" si="24"/>
        <v>27984927325.542629</v>
      </c>
      <c r="K135" s="13">
        <f t="shared" si="25"/>
        <v>90883479.486852601</v>
      </c>
      <c r="L135" s="11">
        <f t="shared" si="15"/>
        <v>0.55212341328064218</v>
      </c>
      <c r="M135" s="16">
        <f t="shared" si="16"/>
        <v>2.4819476778597641E-2</v>
      </c>
      <c r="N135" s="10">
        <f t="shared" si="17"/>
        <v>10000000</v>
      </c>
      <c r="O135" s="18">
        <f t="shared" si="18"/>
        <v>50686000000</v>
      </c>
      <c r="P135">
        <v>0</v>
      </c>
      <c r="Q135">
        <f t="shared" si="19"/>
        <v>0</v>
      </c>
    </row>
    <row r="136" spans="1:19" x14ac:dyDescent="0.25">
      <c r="A136" s="8">
        <v>104</v>
      </c>
      <c r="B136" s="9">
        <v>1</v>
      </c>
      <c r="C136" s="10">
        <f>MAX(0,MIN(INT(($D$10+SUM($N$33:N135)+SUM($P$33:P135))/$D$5*B136)-D135,IF($D$11&gt;G135,INT(($D$11-G135)/$D$5),0)-D135))</f>
        <v>5000</v>
      </c>
      <c r="D136" s="10">
        <f t="shared" si="20"/>
        <v>319500</v>
      </c>
      <c r="E136" s="10">
        <f t="shared" si="13"/>
        <v>2000</v>
      </c>
      <c r="F136" s="10">
        <f t="shared" si="21"/>
        <v>639000000</v>
      </c>
      <c r="G136" s="10">
        <f t="shared" si="22"/>
        <v>25982000000</v>
      </c>
      <c r="H136" s="13">
        <f t="shared" si="23"/>
        <v>0</v>
      </c>
      <c r="I136" s="13">
        <f t="shared" si="14"/>
        <v>639000000</v>
      </c>
      <c r="J136" s="13">
        <f t="shared" si="24"/>
        <v>28717210416.627769</v>
      </c>
      <c r="K136" s="13">
        <f t="shared" si="25"/>
        <v>93283091.085142106</v>
      </c>
      <c r="L136" s="11">
        <f t="shared" si="15"/>
        <v>0.55263664107127564</v>
      </c>
      <c r="M136" s="16">
        <f t="shared" si="16"/>
        <v>2.459394965745516E-2</v>
      </c>
      <c r="N136" s="10">
        <f t="shared" si="17"/>
        <v>10000000</v>
      </c>
      <c r="O136" s="18">
        <f t="shared" si="18"/>
        <v>51964000000</v>
      </c>
      <c r="P136">
        <v>0</v>
      </c>
      <c r="Q136">
        <f t="shared" si="19"/>
        <v>0</v>
      </c>
    </row>
    <row r="137" spans="1:19" x14ac:dyDescent="0.25">
      <c r="A137" s="8">
        <v>105</v>
      </c>
      <c r="B137" s="9">
        <v>1</v>
      </c>
      <c r="C137" s="10">
        <f>MAX(0,MIN(INT(($D$10+SUM($N$33:N136)+SUM($P$33:P136))/$D$5*B137)-D136,IF($D$11&gt;G136,INT(($D$11-G136)/$D$5),0)-D136))</f>
        <v>5000</v>
      </c>
      <c r="D137" s="10">
        <f t="shared" si="20"/>
        <v>324500</v>
      </c>
      <c r="E137" s="10">
        <f t="shared" si="13"/>
        <v>2000</v>
      </c>
      <c r="F137" s="10">
        <f t="shared" si="21"/>
        <v>649000000</v>
      </c>
      <c r="G137" s="10">
        <f t="shared" si="22"/>
        <v>26631000000</v>
      </c>
      <c r="H137" s="13">
        <f t="shared" si="23"/>
        <v>0</v>
      </c>
      <c r="I137" s="13">
        <f t="shared" si="14"/>
        <v>649000000</v>
      </c>
      <c r="J137" s="13">
        <f t="shared" si="24"/>
        <v>29461934451.349861</v>
      </c>
      <c r="K137" s="13">
        <f t="shared" si="25"/>
        <v>95724034.722092569</v>
      </c>
      <c r="L137" s="11">
        <f t="shared" si="15"/>
        <v>0.55315111057320154</v>
      </c>
      <c r="M137" s="16">
        <f t="shared" si="16"/>
        <v>2.4370095002065262E-2</v>
      </c>
      <c r="N137" s="10">
        <f t="shared" si="17"/>
        <v>10000000</v>
      </c>
      <c r="O137" s="18">
        <f t="shared" si="18"/>
        <v>53262000000</v>
      </c>
      <c r="P137">
        <v>0</v>
      </c>
      <c r="Q137">
        <f t="shared" si="19"/>
        <v>0</v>
      </c>
    </row>
    <row r="138" spans="1:19" x14ac:dyDescent="0.25">
      <c r="A138" s="8">
        <v>106</v>
      </c>
      <c r="B138" s="9">
        <v>1</v>
      </c>
      <c r="C138" s="10">
        <f>MAX(0,MIN(INT(($D$10+SUM($N$33:N137)+SUM($P$33:P137))/$D$5*B138)-D137,IF($D$11&gt;G137,INT(($D$11-G137)/$D$5),0)-D137))</f>
        <v>5000</v>
      </c>
      <c r="D138" s="10">
        <f t="shared" si="20"/>
        <v>329500</v>
      </c>
      <c r="E138" s="10">
        <f t="shared" si="13"/>
        <v>2000</v>
      </c>
      <c r="F138" s="10">
        <f t="shared" si="21"/>
        <v>659000000</v>
      </c>
      <c r="G138" s="10">
        <f t="shared" si="22"/>
        <v>27290000000</v>
      </c>
      <c r="H138" s="13">
        <f t="shared" si="23"/>
        <v>0</v>
      </c>
      <c r="I138" s="13">
        <f t="shared" si="14"/>
        <v>659000000</v>
      </c>
      <c r="J138" s="13">
        <f t="shared" si="24"/>
        <v>30219140899.521027</v>
      </c>
      <c r="K138" s="13">
        <f t="shared" si="25"/>
        <v>98206448.171166211</v>
      </c>
      <c r="L138" s="11">
        <f t="shared" si="15"/>
        <v>0.55366692743717527</v>
      </c>
      <c r="M138" s="16">
        <f t="shared" si="16"/>
        <v>2.4148039574935873E-2</v>
      </c>
      <c r="N138" s="10">
        <f t="shared" si="17"/>
        <v>10000000</v>
      </c>
      <c r="O138" s="18">
        <f t="shared" si="18"/>
        <v>54580000000</v>
      </c>
      <c r="P138">
        <v>0</v>
      </c>
      <c r="Q138">
        <f t="shared" si="19"/>
        <v>0</v>
      </c>
    </row>
    <row r="139" spans="1:19" x14ac:dyDescent="0.25">
      <c r="A139" s="8">
        <v>107</v>
      </c>
      <c r="B139" s="9">
        <v>1</v>
      </c>
      <c r="C139" s="10">
        <f>MAX(0,MIN(INT(($D$10+SUM($N$33:N138)+SUM($P$33:P138))/$D$5*B139)-D138,IF($D$11&gt;G138,INT(($D$11-G138)/$D$5),0)-D138))</f>
        <v>5000</v>
      </c>
      <c r="D139" s="10">
        <f t="shared" si="20"/>
        <v>334500</v>
      </c>
      <c r="E139" s="10">
        <f t="shared" si="13"/>
        <v>2000</v>
      </c>
      <c r="F139" s="10">
        <f t="shared" si="21"/>
        <v>669000000</v>
      </c>
      <c r="G139" s="10">
        <f t="shared" si="22"/>
        <v>27959000000</v>
      </c>
      <c r="H139" s="13">
        <f t="shared" si="23"/>
        <v>0</v>
      </c>
      <c r="I139" s="13">
        <f t="shared" si="14"/>
        <v>669000000</v>
      </c>
      <c r="J139" s="13">
        <f t="shared" si="24"/>
        <v>30988871369.186096</v>
      </c>
      <c r="K139" s="13">
        <f t="shared" si="25"/>
        <v>100730469.6650701</v>
      </c>
      <c r="L139" s="11">
        <f t="shared" si="15"/>
        <v>0.55418418700930105</v>
      </c>
      <c r="M139" s="16">
        <f t="shared" si="16"/>
        <v>2.3927894416824635E-2</v>
      </c>
      <c r="N139" s="10">
        <f t="shared" si="17"/>
        <v>10000000</v>
      </c>
      <c r="O139" s="18">
        <f t="shared" si="18"/>
        <v>55918000000</v>
      </c>
      <c r="P139">
        <v>0</v>
      </c>
      <c r="Q139">
        <f t="shared" si="19"/>
        <v>0</v>
      </c>
    </row>
    <row r="140" spans="1:19" x14ac:dyDescent="0.25">
      <c r="A140" s="8">
        <v>108</v>
      </c>
      <c r="B140" s="9">
        <v>1</v>
      </c>
      <c r="C140" s="10">
        <f>MAX(0,MIN(INT(($D$10+SUM($N$33:N139)+SUM($P$33:P139))/$D$5*B140)-D139,IF($D$11&gt;G139,INT(($D$11-G139)/$D$5),0)-D139))</f>
        <v>5000</v>
      </c>
      <c r="D140" s="10">
        <f t="shared" si="20"/>
        <v>339500</v>
      </c>
      <c r="E140" s="10">
        <f t="shared" si="13"/>
        <v>2000</v>
      </c>
      <c r="F140" s="10">
        <f t="shared" si="21"/>
        <v>679000000</v>
      </c>
      <c r="G140" s="10">
        <f t="shared" si="22"/>
        <v>28638000000</v>
      </c>
      <c r="H140" s="13">
        <f t="shared" si="23"/>
        <v>0</v>
      </c>
      <c r="I140" s="13">
        <f t="shared" si="14"/>
        <v>679000000</v>
      </c>
      <c r="J140" s="13">
        <f t="shared" si="24"/>
        <v>31771167607.083382</v>
      </c>
      <c r="K140" s="13">
        <f t="shared" si="25"/>
        <v>103296237.897287</v>
      </c>
      <c r="L140" s="11">
        <f t="shared" si="15"/>
        <v>0.55470297519176237</v>
      </c>
      <c r="M140" s="16">
        <f t="shared" si="16"/>
        <v>2.3709756267895801E-2</v>
      </c>
      <c r="N140" s="10">
        <f t="shared" si="17"/>
        <v>10000000</v>
      </c>
      <c r="O140" s="18">
        <f t="shared" si="18"/>
        <v>57276000000</v>
      </c>
      <c r="P140">
        <v>0</v>
      </c>
      <c r="Q140">
        <f t="shared" si="19"/>
        <v>0</v>
      </c>
    </row>
    <row r="141" spans="1:19" x14ac:dyDescent="0.25">
      <c r="A141" s="8">
        <v>109</v>
      </c>
      <c r="B141" s="9">
        <v>1</v>
      </c>
      <c r="C141" s="10">
        <f>MAX(0,MIN(INT(($D$10+SUM($N$33:N140)+SUM($P$33:P140))/$D$5*B141)-D140,IF($D$11&gt;G140,INT(($D$11-G140)/$D$5),0)-D140))</f>
        <v>5000</v>
      </c>
      <c r="D141" s="10">
        <f t="shared" si="20"/>
        <v>344500</v>
      </c>
      <c r="E141" s="10">
        <f t="shared" si="13"/>
        <v>2000</v>
      </c>
      <c r="F141" s="10">
        <f t="shared" si="21"/>
        <v>689000000</v>
      </c>
      <c r="G141" s="10">
        <f t="shared" si="22"/>
        <v>29327000000</v>
      </c>
      <c r="H141" s="13">
        <f t="shared" si="23"/>
        <v>0</v>
      </c>
      <c r="I141" s="13">
        <f t="shared" si="14"/>
        <v>689000000</v>
      </c>
      <c r="J141" s="13">
        <f t="shared" si="24"/>
        <v>32566071499.106995</v>
      </c>
      <c r="K141" s="13">
        <f t="shared" si="25"/>
        <v>105903892.02361128</v>
      </c>
      <c r="L141" s="11">
        <f t="shared" si="15"/>
        <v>0.55522336923495408</v>
      </c>
      <c r="M141" s="16">
        <f t="shared" si="16"/>
        <v>2.3493708868960343E-2</v>
      </c>
      <c r="N141" s="10">
        <f t="shared" si="17"/>
        <v>10000000</v>
      </c>
      <c r="O141" s="18">
        <f t="shared" si="18"/>
        <v>58654000000</v>
      </c>
      <c r="P141">
        <v>0</v>
      </c>
      <c r="Q141">
        <f t="shared" si="19"/>
        <v>0</v>
      </c>
    </row>
    <row r="142" spans="1:19" x14ac:dyDescent="0.25">
      <c r="A142" s="8">
        <v>110</v>
      </c>
      <c r="B142" s="9">
        <v>1</v>
      </c>
      <c r="C142" s="10">
        <f>MAX(0,MIN(INT(($D$10+SUM($N$33:N141)+SUM($P$33:P141))/$D$5*B142)-D141,IF($D$11&gt;G141,INT(($D$11-G141)/$D$5),0)-D141))</f>
        <v>5000</v>
      </c>
      <c r="D142" s="10">
        <f t="shared" si="20"/>
        <v>349500</v>
      </c>
      <c r="E142" s="10">
        <f t="shared" si="13"/>
        <v>2000</v>
      </c>
      <c r="F142" s="10">
        <f t="shared" si="21"/>
        <v>699000000</v>
      </c>
      <c r="G142" s="10">
        <f t="shared" si="22"/>
        <v>30026000000</v>
      </c>
      <c r="H142" s="13">
        <f t="shared" si="23"/>
        <v>0</v>
      </c>
      <c r="I142" s="13">
        <f t="shared" si="14"/>
        <v>699000000</v>
      </c>
      <c r="J142" s="13">
        <f t="shared" si="24"/>
        <v>33373625070.770683</v>
      </c>
      <c r="K142" s="13">
        <f t="shared" si="25"/>
        <v>108553571.66368999</v>
      </c>
      <c r="L142" s="11">
        <f t="shared" si="15"/>
        <v>0.55574543846617408</v>
      </c>
      <c r="M142" s="16">
        <f t="shared" si="16"/>
        <v>2.3279824152401252E-2</v>
      </c>
      <c r="N142" s="10">
        <f t="shared" si="17"/>
        <v>10000000</v>
      </c>
      <c r="O142" s="18">
        <f t="shared" si="18"/>
        <v>60052000000</v>
      </c>
      <c r="P142">
        <v>0</v>
      </c>
      <c r="Q142">
        <f t="shared" si="19"/>
        <v>0</v>
      </c>
    </row>
    <row r="143" spans="1:19" x14ac:dyDescent="0.25">
      <c r="A143" s="8">
        <v>111</v>
      </c>
      <c r="B143" s="9">
        <v>1</v>
      </c>
      <c r="C143" s="10">
        <f>MAX(0,MIN(INT(($D$10+SUM($N$33:N142)+SUM($P$33:P142))/$D$5*B143)-D142,IF($D$11&gt;G142,INT(($D$11-G142)/$D$5),0)-D142))</f>
        <v>5000</v>
      </c>
      <c r="D143" s="10">
        <f t="shared" si="20"/>
        <v>354500</v>
      </c>
      <c r="E143" s="10">
        <f t="shared" si="13"/>
        <v>2000</v>
      </c>
      <c r="F143" s="10">
        <f t="shared" si="21"/>
        <v>709000000</v>
      </c>
      <c r="G143" s="10">
        <f t="shared" si="22"/>
        <v>30735000000</v>
      </c>
      <c r="H143" s="13">
        <f t="shared" si="23"/>
        <v>0</v>
      </c>
      <c r="I143" s="13">
        <f t="shared" si="14"/>
        <v>709000000</v>
      </c>
      <c r="J143" s="13">
        <f t="shared" si="24"/>
        <v>34193870487.673252</v>
      </c>
      <c r="K143" s="13">
        <f t="shared" si="25"/>
        <v>111245416.90256895</v>
      </c>
      <c r="L143" s="11">
        <f t="shared" si="15"/>
        <v>0.55626924495970798</v>
      </c>
      <c r="M143" s="16">
        <f t="shared" si="16"/>
        <v>2.3068163331706523E-2</v>
      </c>
      <c r="N143" s="10">
        <f t="shared" si="17"/>
        <v>10000000</v>
      </c>
      <c r="O143" s="18">
        <f t="shared" si="18"/>
        <v>61470000000</v>
      </c>
      <c r="P143">
        <v>0</v>
      </c>
      <c r="Q143">
        <f t="shared" si="19"/>
        <v>0</v>
      </c>
    </row>
    <row r="144" spans="1:19" x14ac:dyDescent="0.25">
      <c r="A144" s="8">
        <v>112</v>
      </c>
      <c r="B144" s="9">
        <v>1</v>
      </c>
      <c r="C144" s="10">
        <f>MAX(0,MIN(INT(($D$10+SUM($N$33:N143)+SUM($P$33:P143))/$D$5*B144)-D143,IF($D$11&gt;G143,INT(($D$11-G143)/$D$5),0)-D143))</f>
        <v>5000</v>
      </c>
      <c r="D144" s="10">
        <f t="shared" si="20"/>
        <v>359500</v>
      </c>
      <c r="E144" s="10">
        <f t="shared" si="13"/>
        <v>2000</v>
      </c>
      <c r="F144" s="10">
        <f t="shared" si="21"/>
        <v>719000000</v>
      </c>
      <c r="G144" s="10">
        <f t="shared" si="22"/>
        <v>31454000000</v>
      </c>
      <c r="H144" s="13">
        <f t="shared" si="23"/>
        <v>0</v>
      </c>
      <c r="I144" s="13">
        <f t="shared" si="14"/>
        <v>719000000</v>
      </c>
      <c r="J144" s="13">
        <f t="shared" si="24"/>
        <v>35026850055.965492</v>
      </c>
      <c r="K144" s="13">
        <f t="shared" si="25"/>
        <v>113979568.29224418</v>
      </c>
      <c r="L144" s="11">
        <f t="shared" si="15"/>
        <v>0.55679484415281832</v>
      </c>
      <c r="M144" s="16">
        <f t="shared" si="16"/>
        <v>2.2858777897882623E-2</v>
      </c>
      <c r="N144" s="10">
        <f t="shared" si="17"/>
        <v>10000000</v>
      </c>
      <c r="O144" s="18">
        <f t="shared" si="18"/>
        <v>62908000000</v>
      </c>
      <c r="P144">
        <v>0</v>
      </c>
      <c r="Q144">
        <f t="shared" si="19"/>
        <v>0</v>
      </c>
    </row>
    <row r="145" spans="1:17" x14ac:dyDescent="0.25">
      <c r="A145" s="8">
        <v>113</v>
      </c>
      <c r="B145" s="9">
        <v>1</v>
      </c>
      <c r="C145" s="10">
        <f>MAX(0,MIN(INT(($D$10+SUM($N$33:N144)+SUM($P$33:P144))/$D$5*B145)-D144,IF($D$11&gt;G144,INT(($D$11-G144)/$D$5),0)-D144))</f>
        <v>5000</v>
      </c>
      <c r="D145" s="10">
        <f t="shared" si="20"/>
        <v>364500</v>
      </c>
      <c r="E145" s="10">
        <f t="shared" si="13"/>
        <v>2000</v>
      </c>
      <c r="F145" s="10">
        <f t="shared" si="21"/>
        <v>729000000</v>
      </c>
      <c r="G145" s="10">
        <f t="shared" si="22"/>
        <v>32183000000</v>
      </c>
      <c r="H145" s="13">
        <f t="shared" si="23"/>
        <v>0</v>
      </c>
      <c r="I145" s="13">
        <f t="shared" si="14"/>
        <v>729000000</v>
      </c>
      <c r="J145" s="13">
        <f t="shared" si="24"/>
        <v>35872606222.81871</v>
      </c>
      <c r="K145" s="13">
        <f t="shared" si="25"/>
        <v>116756166.85321832</v>
      </c>
      <c r="L145" s="11">
        <f t="shared" si="15"/>
        <v>0.55732228541184337</v>
      </c>
      <c r="M145" s="16">
        <f t="shared" si="16"/>
        <v>2.265171053040425E-2</v>
      </c>
      <c r="N145" s="10">
        <f t="shared" si="17"/>
        <v>10000000</v>
      </c>
      <c r="O145" s="18">
        <f t="shared" si="18"/>
        <v>64366000000</v>
      </c>
      <c r="P145">
        <v>0</v>
      </c>
      <c r="Q145">
        <f t="shared" si="19"/>
        <v>0</v>
      </c>
    </row>
    <row r="146" spans="1:17" x14ac:dyDescent="0.25">
      <c r="A146" s="8">
        <v>114</v>
      </c>
      <c r="B146" s="9">
        <v>1</v>
      </c>
      <c r="C146" s="10">
        <f>MAX(0,MIN(INT(($D$10+SUM($N$33:N145)+SUM($P$33:P145))/$D$5*B146)-D145,IF($D$11&gt;G145,INT(($D$11-G145)/$D$5),0)-D145))</f>
        <v>5000</v>
      </c>
      <c r="D146" s="10">
        <f t="shared" si="20"/>
        <v>369500</v>
      </c>
      <c r="E146" s="10">
        <f t="shared" si="13"/>
        <v>2000</v>
      </c>
      <c r="F146" s="10">
        <f t="shared" si="21"/>
        <v>739000000</v>
      </c>
      <c r="G146" s="10">
        <f t="shared" si="22"/>
        <v>32922000000</v>
      </c>
      <c r="H146" s="13">
        <f t="shared" si="23"/>
        <v>0</v>
      </c>
      <c r="I146" s="13">
        <f t="shared" si="14"/>
        <v>739000000</v>
      </c>
      <c r="J146" s="13">
        <f t="shared" si="24"/>
        <v>36731181576.894775</v>
      </c>
      <c r="K146" s="13">
        <f t="shared" si="25"/>
        <v>119575354.07606238</v>
      </c>
      <c r="L146" s="11">
        <f t="shared" si="15"/>
        <v>0.55785161255231719</v>
      </c>
      <c r="M146" s="16">
        <f t="shared" si="16"/>
        <v>2.2446995929773405E-2</v>
      </c>
      <c r="N146" s="10">
        <f t="shared" si="17"/>
        <v>10000000</v>
      </c>
      <c r="O146" s="18">
        <f t="shared" si="18"/>
        <v>65844000000</v>
      </c>
      <c r="P146">
        <v>0</v>
      </c>
      <c r="Q146">
        <f t="shared" si="19"/>
        <v>0</v>
      </c>
    </row>
    <row r="147" spans="1:17" x14ac:dyDescent="0.25">
      <c r="A147" s="8">
        <v>115</v>
      </c>
      <c r="B147" s="9">
        <v>1</v>
      </c>
      <c r="C147" s="10">
        <f>MAX(0,MIN(INT(($D$10+SUM($N$33:N146)+SUM($P$33:P146))/$D$5*B147)-D146,IF($D$11&gt;G146,INT(($D$11-G146)/$D$5),0)-D146))</f>
        <v>5000</v>
      </c>
      <c r="D147" s="10">
        <f t="shared" si="20"/>
        <v>374500</v>
      </c>
      <c r="E147" s="10">
        <f t="shared" si="13"/>
        <v>2000</v>
      </c>
      <c r="F147" s="10">
        <f t="shared" si="21"/>
        <v>749000000</v>
      </c>
      <c r="G147" s="10">
        <f t="shared" si="22"/>
        <v>33671000000</v>
      </c>
      <c r="H147" s="13">
        <f t="shared" si="23"/>
        <v>0</v>
      </c>
      <c r="I147" s="13">
        <f t="shared" si="14"/>
        <v>749000000</v>
      </c>
      <c r="J147" s="13">
        <f t="shared" si="24"/>
        <v>37602618848.817757</v>
      </c>
      <c r="K147" s="13">
        <f t="shared" si="25"/>
        <v>122437271.92298259</v>
      </c>
      <c r="L147" s="11">
        <f t="shared" si="15"/>
        <v>0.55838286431673778</v>
      </c>
      <c r="M147" s="16">
        <f t="shared" si="16"/>
        <v>2.2244661578212706E-2</v>
      </c>
      <c r="N147" s="10">
        <f t="shared" si="17"/>
        <v>10000000</v>
      </c>
      <c r="O147" s="18">
        <f t="shared" si="18"/>
        <v>67342000000</v>
      </c>
      <c r="P147">
        <v>0</v>
      </c>
      <c r="Q147">
        <f t="shared" si="19"/>
        <v>0</v>
      </c>
    </row>
    <row r="148" spans="1:17" x14ac:dyDescent="0.25">
      <c r="A148" s="8">
        <v>116</v>
      </c>
      <c r="B148" s="9">
        <v>1</v>
      </c>
      <c r="C148" s="10">
        <f>MAX(0,MIN(INT(($D$10+SUM($N$33:N147)+SUM($P$33:P147))/$D$5*B148)-D147,IF($D$11&gt;G147,INT(($D$11-G147)/$D$5),0)-D147))</f>
        <v>5000</v>
      </c>
      <c r="D148" s="10">
        <f t="shared" si="20"/>
        <v>379500</v>
      </c>
      <c r="E148" s="10">
        <f t="shared" si="13"/>
        <v>2000</v>
      </c>
      <c r="F148" s="10">
        <f t="shared" si="21"/>
        <v>759000000</v>
      </c>
      <c r="G148" s="10">
        <f t="shared" si="22"/>
        <v>34430000000</v>
      </c>
      <c r="H148" s="13">
        <f t="shared" si="23"/>
        <v>0</v>
      </c>
      <c r="I148" s="13">
        <f t="shared" si="14"/>
        <v>759000000</v>
      </c>
      <c r="J148" s="13">
        <f t="shared" si="24"/>
        <v>38486960911.647148</v>
      </c>
      <c r="K148" s="13">
        <f t="shared" si="25"/>
        <v>125342062.82939254</v>
      </c>
      <c r="L148" s="11">
        <f t="shared" si="15"/>
        <v>0.55891607481334804</v>
      </c>
      <c r="M148" s="16">
        <f t="shared" si="16"/>
        <v>2.2044728434504793E-2</v>
      </c>
      <c r="N148" s="10">
        <f t="shared" si="17"/>
        <v>10000000</v>
      </c>
      <c r="O148" s="18">
        <f t="shared" si="18"/>
        <v>68860000000</v>
      </c>
      <c r="P148">
        <v>0</v>
      </c>
      <c r="Q148">
        <f t="shared" si="19"/>
        <v>0</v>
      </c>
    </row>
    <row r="149" spans="1:17" x14ac:dyDescent="0.25">
      <c r="A149" s="8">
        <v>117</v>
      </c>
      <c r="B149" s="9">
        <v>1</v>
      </c>
      <c r="C149" s="10">
        <f>MAX(0,MIN(INT(($D$10+SUM($N$33:N148)+SUM($P$33:P148))/$D$5*B149)-D148,IF($D$11&gt;G148,INT(($D$11-G148)/$D$5),0)-D148))</f>
        <v>5000</v>
      </c>
      <c r="D149" s="10">
        <f t="shared" si="20"/>
        <v>384500</v>
      </c>
      <c r="E149" s="10">
        <f t="shared" si="13"/>
        <v>2000</v>
      </c>
      <c r="F149" s="10">
        <f t="shared" si="21"/>
        <v>769000000</v>
      </c>
      <c r="G149" s="10">
        <f t="shared" si="22"/>
        <v>35199000000</v>
      </c>
      <c r="H149" s="13">
        <f t="shared" si="23"/>
        <v>0</v>
      </c>
      <c r="I149" s="13">
        <f t="shared" si="14"/>
        <v>769000000</v>
      </c>
      <c r="J149" s="13">
        <f t="shared" si="24"/>
        <v>39384250781.352638</v>
      </c>
      <c r="K149" s="13">
        <f t="shared" si="25"/>
        <v>128289869.7054905</v>
      </c>
      <c r="L149" s="11">
        <f t="shared" si="15"/>
        <v>0.55945127391904081</v>
      </c>
      <c r="M149" s="16">
        <f t="shared" si="16"/>
        <v>2.184721156851047E-2</v>
      </c>
      <c r="N149" s="10">
        <f t="shared" si="17"/>
        <v>10000000</v>
      </c>
      <c r="O149" s="18">
        <f t="shared" si="18"/>
        <v>70398000000</v>
      </c>
      <c r="P149">
        <v>0</v>
      </c>
      <c r="Q149">
        <f t="shared" si="19"/>
        <v>0</v>
      </c>
    </row>
    <row r="150" spans="1:17" x14ac:dyDescent="0.25">
      <c r="A150" s="8">
        <v>118</v>
      </c>
      <c r="B150" s="9">
        <v>1</v>
      </c>
      <c r="C150" s="10">
        <f>MAX(0,MIN(INT(($D$10+SUM($N$33:N149)+SUM($P$33:P149))/$D$5*B150)-D149,IF($D$11&gt;G149,INT(($D$11-G149)/$D$5),0)-D149))</f>
        <v>5000</v>
      </c>
      <c r="D150" s="10">
        <f t="shared" si="20"/>
        <v>389500</v>
      </c>
      <c r="E150" s="10">
        <f t="shared" si="13"/>
        <v>2000</v>
      </c>
      <c r="F150" s="10">
        <f t="shared" si="21"/>
        <v>779000000</v>
      </c>
      <c r="G150" s="10">
        <f t="shared" si="22"/>
        <v>35978000000</v>
      </c>
      <c r="H150" s="13">
        <f t="shared" si="23"/>
        <v>0</v>
      </c>
      <c r="I150" s="13">
        <f t="shared" si="14"/>
        <v>779000000</v>
      </c>
      <c r="J150" s="13">
        <f t="shared" si="24"/>
        <v>40294531617.290482</v>
      </c>
      <c r="K150" s="13">
        <f t="shared" si="25"/>
        <v>131280835.93784213</v>
      </c>
      <c r="L150" s="11">
        <f t="shared" si="15"/>
        <v>0.55998848764926457</v>
      </c>
      <c r="M150" s="16">
        <f t="shared" si="16"/>
        <v>2.1652120740452498E-2</v>
      </c>
      <c r="N150" s="10">
        <f t="shared" si="17"/>
        <v>10000000</v>
      </c>
      <c r="O150" s="18">
        <f t="shared" si="18"/>
        <v>71956000000</v>
      </c>
      <c r="P150">
        <v>0</v>
      </c>
      <c r="Q150">
        <f t="shared" si="19"/>
        <v>0</v>
      </c>
    </row>
    <row r="151" spans="1:17" x14ac:dyDescent="0.25">
      <c r="A151" s="8">
        <v>119</v>
      </c>
      <c r="B151" s="9">
        <v>1</v>
      </c>
      <c r="C151" s="10">
        <f>MAX(0,MIN(INT(($D$10+SUM($N$33:N150)+SUM($P$33:P150))/$D$5*B151)-D150,IF($D$11&gt;G150,INT(($D$11-G150)/$D$5),0)-D150))</f>
        <v>5000</v>
      </c>
      <c r="D151" s="10">
        <f t="shared" si="20"/>
        <v>394500</v>
      </c>
      <c r="E151" s="10">
        <f t="shared" si="13"/>
        <v>2000</v>
      </c>
      <c r="F151" s="10">
        <f t="shared" si="21"/>
        <v>789000000</v>
      </c>
      <c r="G151" s="10">
        <f t="shared" si="22"/>
        <v>36767000000</v>
      </c>
      <c r="H151" s="13">
        <f t="shared" si="23"/>
        <v>0</v>
      </c>
      <c r="I151" s="13">
        <f t="shared" si="14"/>
        <v>789000000</v>
      </c>
      <c r="J151" s="13">
        <f t="shared" si="24"/>
        <v>41217846722.68145</v>
      </c>
      <c r="K151" s="13">
        <f t="shared" si="25"/>
        <v>134315105.39096829</v>
      </c>
      <c r="L151" s="11">
        <f t="shared" si="15"/>
        <v>0.56052773849758541</v>
      </c>
      <c r="M151" s="16">
        <f t="shared" si="16"/>
        <v>2.1459460929637991E-2</v>
      </c>
      <c r="N151" s="10">
        <f t="shared" si="17"/>
        <v>10000000</v>
      </c>
      <c r="O151" s="18">
        <f t="shared" si="18"/>
        <v>73534000000</v>
      </c>
      <c r="P151">
        <v>0</v>
      </c>
      <c r="Q151">
        <f t="shared" si="19"/>
        <v>0</v>
      </c>
    </row>
    <row r="152" spans="1:17" x14ac:dyDescent="0.25">
      <c r="A152" s="8">
        <v>120</v>
      </c>
      <c r="B152" s="9">
        <v>1</v>
      </c>
      <c r="C152" s="10">
        <f>MAX(0,MIN(INT(($D$10+SUM($N$33:N151)+SUM($P$33:P151))/$D$5*B152)-D151,IF($D$11&gt;G151,INT(($D$11-G151)/$D$5),0)-D151))</f>
        <v>5000</v>
      </c>
      <c r="D152" s="10">
        <f t="shared" si="20"/>
        <v>399500</v>
      </c>
      <c r="E152" s="10">
        <f t="shared" si="13"/>
        <v>2000</v>
      </c>
      <c r="F152" s="10">
        <f t="shared" si="21"/>
        <v>799000000</v>
      </c>
      <c r="G152" s="10">
        <f t="shared" si="22"/>
        <v>37566000000</v>
      </c>
      <c r="H152" s="13">
        <f t="shared" si="23"/>
        <v>0</v>
      </c>
      <c r="I152" s="13">
        <f t="shared" si="14"/>
        <v>799000000</v>
      </c>
      <c r="J152" s="13">
        <f t="shared" si="24"/>
        <v>42154239545.090385</v>
      </c>
      <c r="K152" s="13">
        <f t="shared" si="25"/>
        <v>137392822.40893817</v>
      </c>
      <c r="L152" s="11">
        <f t="shared" si="15"/>
        <v>0.5610690457473565</v>
      </c>
      <c r="M152" s="16">
        <f t="shared" si="16"/>
        <v>2.1269232816908908E-2</v>
      </c>
      <c r="N152" s="10">
        <f t="shared" si="17"/>
        <v>10000000</v>
      </c>
      <c r="O152" s="18">
        <f t="shared" si="18"/>
        <v>75132000000</v>
      </c>
      <c r="P152">
        <v>0</v>
      </c>
      <c r="Q152">
        <f t="shared" si="19"/>
        <v>0</v>
      </c>
    </row>
    <row r="153" spans="1:17" x14ac:dyDescent="0.25">
      <c r="A153" s="8">
        <v>121</v>
      </c>
      <c r="B153" s="9">
        <v>1</v>
      </c>
      <c r="C153" s="10">
        <f>MAX(0,MIN(INT(($D$10+SUM($N$33:N152)+SUM($P$33:P152))/$D$5*B153)-D152,IF($D$11&gt;G152,INT(($D$11-G152)/$D$5),0)-D152))</f>
        <v>5000</v>
      </c>
      <c r="D153" s="10">
        <f t="shared" si="20"/>
        <v>404500</v>
      </c>
      <c r="E153" s="10">
        <f t="shared" si="13"/>
        <v>2000</v>
      </c>
      <c r="F153" s="10">
        <f t="shared" si="21"/>
        <v>809000000</v>
      </c>
      <c r="G153" s="10">
        <f t="shared" si="22"/>
        <v>38375000000</v>
      </c>
      <c r="H153" s="13">
        <f t="shared" si="23"/>
        <v>0</v>
      </c>
      <c r="I153" s="13">
        <f t="shared" si="14"/>
        <v>809000000</v>
      </c>
      <c r="J153" s="13">
        <f t="shared" si="24"/>
        <v>43103753676.907356</v>
      </c>
      <c r="K153" s="13">
        <f t="shared" si="25"/>
        <v>140514131.81696796</v>
      </c>
      <c r="L153" s="11">
        <f t="shared" si="15"/>
        <v>0.56161242575775061</v>
      </c>
      <c r="M153" s="16">
        <f t="shared" si="16"/>
        <v>2.10814332247557E-2</v>
      </c>
      <c r="N153" s="10">
        <f t="shared" si="17"/>
        <v>10000000</v>
      </c>
      <c r="O153" s="18">
        <f t="shared" si="18"/>
        <v>76750000000</v>
      </c>
      <c r="P153">
        <v>0</v>
      </c>
      <c r="Q153">
        <f t="shared" si="19"/>
        <v>0</v>
      </c>
    </row>
    <row r="154" spans="1:17" x14ac:dyDescent="0.25">
      <c r="A154" s="8">
        <v>122</v>
      </c>
      <c r="B154" s="9">
        <v>1</v>
      </c>
      <c r="C154" s="10">
        <f>MAX(0,MIN(INT(($D$10+SUM($N$33:N153)+SUM($P$33:P153))/$D$5*B154)-D153,IF($D$11&gt;G153,INT(($D$11-G153)/$D$5),0)-D153))</f>
        <v>5000</v>
      </c>
      <c r="D154" s="10">
        <f t="shared" si="20"/>
        <v>409500</v>
      </c>
      <c r="E154" s="10">
        <f t="shared" si="13"/>
        <v>2000</v>
      </c>
      <c r="F154" s="10">
        <f t="shared" si="21"/>
        <v>819000000</v>
      </c>
      <c r="G154" s="10">
        <f t="shared" si="22"/>
        <v>39194000000</v>
      </c>
      <c r="H154" s="13">
        <f t="shared" si="23"/>
        <v>0</v>
      </c>
      <c r="I154" s="13">
        <f t="shared" si="14"/>
        <v>819000000</v>
      </c>
      <c r="J154" s="13">
        <f t="shared" si="24"/>
        <v>44066432855.830383</v>
      </c>
      <c r="K154" s="13">
        <f t="shared" si="25"/>
        <v>143679178.92302454</v>
      </c>
      <c r="L154" s="11">
        <f t="shared" si="15"/>
        <v>0.56215789222623846</v>
      </c>
      <c r="M154" s="16">
        <f t="shared" si="16"/>
        <v>2.0896055518701842E-2</v>
      </c>
      <c r="N154" s="10">
        <f t="shared" si="17"/>
        <v>10000000</v>
      </c>
      <c r="O154" s="18">
        <f t="shared" si="18"/>
        <v>78388000000</v>
      </c>
      <c r="P154">
        <v>0</v>
      </c>
      <c r="Q154">
        <f t="shared" si="19"/>
        <v>0</v>
      </c>
    </row>
    <row r="155" spans="1:17" x14ac:dyDescent="0.25">
      <c r="A155" s="8">
        <v>123</v>
      </c>
      <c r="B155" s="9">
        <v>1</v>
      </c>
      <c r="C155" s="10">
        <f>MAX(0,MIN(INT(($D$10+SUM($N$33:N154)+SUM($P$33:P154))/$D$5*B155)-D154,IF($D$11&gt;G154,INT(($D$11-G154)/$D$5),0)-D154))</f>
        <v>5000</v>
      </c>
      <c r="D155" s="10">
        <f t="shared" si="20"/>
        <v>414500</v>
      </c>
      <c r="E155" s="10">
        <f t="shared" si="13"/>
        <v>2000</v>
      </c>
      <c r="F155" s="10">
        <f t="shared" si="21"/>
        <v>829000000</v>
      </c>
      <c r="G155" s="10">
        <f t="shared" si="22"/>
        <v>40023000000</v>
      </c>
      <c r="H155" s="13">
        <f t="shared" si="23"/>
        <v>0</v>
      </c>
      <c r="I155" s="13">
        <f t="shared" si="14"/>
        <v>829000000</v>
      </c>
      <c r="J155" s="13">
        <f t="shared" si="24"/>
        <v>45042320965.349815</v>
      </c>
      <c r="K155" s="13">
        <f t="shared" si="25"/>
        <v>146888109.51943463</v>
      </c>
      <c r="L155" s="11">
        <f t="shared" si="15"/>
        <v>0.56270545642942582</v>
      </c>
      <c r="M155" s="16">
        <f t="shared" si="16"/>
        <v>2.0713089973265372E-2</v>
      </c>
      <c r="N155" s="10">
        <f t="shared" si="17"/>
        <v>10000000</v>
      </c>
      <c r="O155" s="18">
        <f t="shared" si="18"/>
        <v>80046000000</v>
      </c>
      <c r="P155">
        <v>0</v>
      </c>
      <c r="Q155">
        <f t="shared" si="19"/>
        <v>0</v>
      </c>
    </row>
    <row r="156" spans="1:17" x14ac:dyDescent="0.25">
      <c r="A156" s="8">
        <v>124</v>
      </c>
      <c r="B156" s="9">
        <v>1</v>
      </c>
      <c r="C156" s="10">
        <f>MAX(0,MIN(INT(($D$10+SUM($N$33:N155)+SUM($P$33:P155))/$D$5*B156)-D155,IF($D$11&gt;G155,INT(($D$11-G155)/$D$5),0)-D155))</f>
        <v>5000</v>
      </c>
      <c r="D156" s="10">
        <f t="shared" si="20"/>
        <v>419500</v>
      </c>
      <c r="E156" s="10">
        <f t="shared" si="13"/>
        <v>2000</v>
      </c>
      <c r="F156" s="10">
        <f t="shared" si="21"/>
        <v>839000000</v>
      </c>
      <c r="G156" s="10">
        <f t="shared" si="22"/>
        <v>40862000000</v>
      </c>
      <c r="H156" s="13">
        <f t="shared" si="23"/>
        <v>0</v>
      </c>
      <c r="I156" s="13">
        <f t="shared" si="14"/>
        <v>839000000</v>
      </c>
      <c r="J156" s="13">
        <f t="shared" si="24"/>
        <v>46031462035.234314</v>
      </c>
      <c r="K156" s="13">
        <f t="shared" si="25"/>
        <v>150141069.8844994</v>
      </c>
      <c r="L156" s="11">
        <f t="shared" si="15"/>
        <v>0.56325512744401052</v>
      </c>
      <c r="M156" s="16">
        <f t="shared" si="16"/>
        <v>2.0532524105525918E-2</v>
      </c>
      <c r="N156" s="10">
        <f t="shared" si="17"/>
        <v>10000000</v>
      </c>
      <c r="O156" s="18">
        <f t="shared" si="18"/>
        <v>81724000000</v>
      </c>
      <c r="P156">
        <v>0</v>
      </c>
      <c r="Q156">
        <f t="shared" si="19"/>
        <v>0</v>
      </c>
    </row>
    <row r="157" spans="1:17" x14ac:dyDescent="0.25">
      <c r="A157" s="8">
        <v>125</v>
      </c>
      <c r="B157" s="9">
        <v>1</v>
      </c>
      <c r="C157" s="10">
        <f>MAX(0,MIN(INT(($D$10+SUM($N$33:N156)+SUM($P$33:P156))/$D$5*B157)-D156,IF($D$11&gt;G156,INT(($D$11-G156)/$D$5),0)-D156))</f>
        <v>5000</v>
      </c>
      <c r="D157" s="10">
        <f t="shared" si="20"/>
        <v>424500</v>
      </c>
      <c r="E157" s="10">
        <f t="shared" si="13"/>
        <v>2000</v>
      </c>
      <c r="F157" s="10">
        <f t="shared" si="21"/>
        <v>849000000</v>
      </c>
      <c r="G157" s="10">
        <f t="shared" si="22"/>
        <v>41711000000</v>
      </c>
      <c r="H157" s="13">
        <f t="shared" si="23"/>
        <v>0</v>
      </c>
      <c r="I157" s="13">
        <f t="shared" si="14"/>
        <v>849000000</v>
      </c>
      <c r="J157" s="13">
        <f t="shared" si="24"/>
        <v>47033900242.018425</v>
      </c>
      <c r="K157" s="13">
        <f t="shared" si="25"/>
        <v>153438206.78411439</v>
      </c>
      <c r="L157" s="11">
        <f t="shared" si="15"/>
        <v>0.56380691234948122</v>
      </c>
      <c r="M157" s="16">
        <f t="shared" si="16"/>
        <v>2.035434297907027E-2</v>
      </c>
      <c r="N157" s="10">
        <f t="shared" si="17"/>
        <v>10000000</v>
      </c>
      <c r="O157" s="18">
        <f t="shared" si="18"/>
        <v>83422000000</v>
      </c>
      <c r="P157">
        <v>0</v>
      </c>
      <c r="Q157">
        <f t="shared" si="19"/>
        <v>0</v>
      </c>
    </row>
    <row r="158" spans="1:17" x14ac:dyDescent="0.25">
      <c r="A158" s="8">
        <v>126</v>
      </c>
      <c r="B158" s="9">
        <v>1</v>
      </c>
      <c r="C158" s="10">
        <f>MAX(0,MIN(INT(($D$10+SUM($N$33:N157)+SUM($P$33:P157))/$D$5*B158)-D157,IF($D$11&gt;G157,INT(($D$11-G157)/$D$5),0)-D157))</f>
        <v>5000</v>
      </c>
      <c r="D158" s="10">
        <f t="shared" si="20"/>
        <v>429500</v>
      </c>
      <c r="E158" s="10">
        <f t="shared" si="13"/>
        <v>2000</v>
      </c>
      <c r="F158" s="10">
        <f t="shared" si="21"/>
        <v>859000000</v>
      </c>
      <c r="G158" s="10">
        <f t="shared" si="22"/>
        <v>42570000000</v>
      </c>
      <c r="H158" s="13">
        <f t="shared" si="23"/>
        <v>0</v>
      </c>
      <c r="I158" s="13">
        <f t="shared" si="14"/>
        <v>859000000</v>
      </c>
      <c r="J158" s="13">
        <f t="shared" si="24"/>
        <v>48049679909.491821</v>
      </c>
      <c r="K158" s="13">
        <f t="shared" si="25"/>
        <v>156779667.47339475</v>
      </c>
      <c r="L158" s="11">
        <f t="shared" si="15"/>
        <v>0.56436081641404534</v>
      </c>
      <c r="M158" s="16">
        <f t="shared" si="16"/>
        <v>2.0178529480855061E-2</v>
      </c>
      <c r="N158" s="10">
        <f t="shared" si="17"/>
        <v>10000000</v>
      </c>
      <c r="O158" s="18">
        <f t="shared" si="18"/>
        <v>85140000000</v>
      </c>
      <c r="P158">
        <v>0</v>
      </c>
      <c r="Q158">
        <f t="shared" si="19"/>
        <v>0</v>
      </c>
    </row>
    <row r="159" spans="1:17" x14ac:dyDescent="0.25">
      <c r="A159" s="8">
        <v>127</v>
      </c>
      <c r="B159" s="9">
        <v>1</v>
      </c>
      <c r="C159" s="10">
        <f>MAX(0,MIN(INT(($D$10+SUM($N$33:N158)+SUM($P$33:P158))/$D$5*B159)-D158,IF($D$11&gt;G158,INT(($D$11-G158)/$D$5),0)-D158))</f>
        <v>5000</v>
      </c>
      <c r="D159" s="10">
        <f t="shared" si="20"/>
        <v>434500</v>
      </c>
      <c r="E159" s="10">
        <f t="shared" si="13"/>
        <v>2000</v>
      </c>
      <c r="F159" s="10">
        <f t="shared" si="21"/>
        <v>869000000</v>
      </c>
      <c r="G159" s="10">
        <f t="shared" si="22"/>
        <v>43439000000</v>
      </c>
      <c r="H159" s="13">
        <f t="shared" si="23"/>
        <v>0</v>
      </c>
      <c r="I159" s="13">
        <f t="shared" si="14"/>
        <v>869000000</v>
      </c>
      <c r="J159" s="13">
        <f t="shared" si="24"/>
        <v>49078845509.190125</v>
      </c>
      <c r="K159" s="13">
        <f t="shared" si="25"/>
        <v>160165599.69830608</v>
      </c>
      <c r="L159" s="11">
        <f t="shared" si="15"/>
        <v>0.5649168432651549</v>
      </c>
      <c r="M159" s="16">
        <f t="shared" si="16"/>
        <v>2.0005064573309698E-2</v>
      </c>
      <c r="N159" s="10">
        <f t="shared" si="17"/>
        <v>10000000</v>
      </c>
      <c r="O159" s="18">
        <f t="shared" si="18"/>
        <v>86878000000</v>
      </c>
      <c r="P159">
        <v>0</v>
      </c>
      <c r="Q159">
        <f t="shared" si="19"/>
        <v>0</v>
      </c>
    </row>
    <row r="160" spans="1:17" x14ac:dyDescent="0.25">
      <c r="A160" s="8">
        <v>128</v>
      </c>
      <c r="B160" s="9">
        <v>1</v>
      </c>
      <c r="C160" s="10">
        <f>MAX(0,MIN(INT(($D$10+SUM($N$33:N159)+SUM($P$33:P159))/$D$5*B160)-D159,IF($D$11&gt;G159,INT(($D$11-G159)/$D$5),0)-D159))</f>
        <v>5000</v>
      </c>
      <c r="D160" s="10">
        <f t="shared" si="20"/>
        <v>439500</v>
      </c>
      <c r="E160" s="10">
        <f t="shared" si="13"/>
        <v>2000</v>
      </c>
      <c r="F160" s="10">
        <f t="shared" si="21"/>
        <v>879000000</v>
      </c>
      <c r="G160" s="10">
        <f t="shared" si="22"/>
        <v>44318000000</v>
      </c>
      <c r="H160" s="13">
        <f t="shared" si="23"/>
        <v>0</v>
      </c>
      <c r="I160" s="13">
        <f t="shared" si="14"/>
        <v>879000000</v>
      </c>
      <c r="J160" s="13">
        <f t="shared" si="24"/>
        <v>50121441660.887428</v>
      </c>
      <c r="K160" s="13">
        <f t="shared" si="25"/>
        <v>163596151.69730043</v>
      </c>
      <c r="L160" s="11">
        <f t="shared" si="15"/>
        <v>0.56547499504588916</v>
      </c>
      <c r="M160" s="16">
        <f t="shared" si="16"/>
        <v>1.9833927523805226E-2</v>
      </c>
      <c r="N160" s="10">
        <f t="shared" si="17"/>
        <v>10000000</v>
      </c>
      <c r="O160" s="18">
        <f t="shared" si="18"/>
        <v>88636000000</v>
      </c>
      <c r="P160">
        <v>0</v>
      </c>
      <c r="Q160">
        <f t="shared" si="19"/>
        <v>0</v>
      </c>
    </row>
    <row r="161" spans="1:17" x14ac:dyDescent="0.25">
      <c r="A161" s="8">
        <v>129</v>
      </c>
      <c r="B161" s="9">
        <v>1</v>
      </c>
      <c r="C161" s="10">
        <f>MAX(0,MIN(INT(($D$10+SUM($N$33:N160)+SUM($P$33:P160))/$D$5*B161)-D160,IF($D$11&gt;G160,INT(($D$11-G160)/$D$5),0)-D160))</f>
        <v>5000</v>
      </c>
      <c r="D161" s="10">
        <f t="shared" si="20"/>
        <v>444500</v>
      </c>
      <c r="E161" s="10">
        <f t="shared" ref="E161:E224" si="26">$D$5</f>
        <v>2000</v>
      </c>
      <c r="F161" s="10">
        <f t="shared" si="21"/>
        <v>889000000</v>
      </c>
      <c r="G161" s="10">
        <f t="shared" si="22"/>
        <v>45207000000</v>
      </c>
      <c r="H161" s="13">
        <f t="shared" si="23"/>
        <v>0</v>
      </c>
      <c r="I161" s="13">
        <f t="shared" ref="I161:I224" si="27">$D$7*F161+Q161</f>
        <v>889000000</v>
      </c>
      <c r="J161" s="13">
        <f t="shared" si="24"/>
        <v>51177513133.090385</v>
      </c>
      <c r="K161" s="13">
        <f t="shared" si="25"/>
        <v>167071472.20295811</v>
      </c>
      <c r="L161" s="11">
        <f t="shared" ref="L161:L224" si="28">IF(G161=0,0,(J161/G161)/2)</f>
        <v>0.56603527255834696</v>
      </c>
      <c r="M161" s="16">
        <f t="shared" ref="M161:M224" si="29">I161/G161</f>
        <v>1.9665096113433759E-2</v>
      </c>
      <c r="N161" s="10">
        <f t="shared" ref="N161:N224" si="30">INDEX($G$6:$G$30,MIN(INT((A161-1)/12)+1,25))</f>
        <v>10000000</v>
      </c>
      <c r="O161" s="18">
        <f t="shared" ref="O161:O224" si="31">G161*2</f>
        <v>90414000000</v>
      </c>
      <c r="P161">
        <v>0</v>
      </c>
      <c r="Q161">
        <f t="shared" ref="Q161:Q224" si="32">MAX(0,0.01*G161-$D$7*F161)</f>
        <v>0</v>
      </c>
    </row>
    <row r="162" spans="1:17" x14ac:dyDescent="0.25">
      <c r="A162" s="8">
        <v>130</v>
      </c>
      <c r="B162" s="9">
        <v>1</v>
      </c>
      <c r="C162" s="10">
        <f>MAX(0,MIN(INT(($D$10+SUM($N$33:N161)+SUM($P$33:P161))/$D$5*B162)-D161,IF($D$11&gt;G161,INT(($D$11-G161)/$D$5),0)-D161))</f>
        <v>5000</v>
      </c>
      <c r="D162" s="10">
        <f t="shared" ref="D162:D225" si="33">D161+C162</f>
        <v>449500</v>
      </c>
      <c r="E162" s="10">
        <f t="shared" si="26"/>
        <v>2000</v>
      </c>
      <c r="F162" s="10">
        <f t="shared" ref="F162:F225" si="34">IF(G161&gt;=$D$11,0,MIN(D162*E162,$D$11-G161))</f>
        <v>899000000</v>
      </c>
      <c r="G162" s="10">
        <f t="shared" ref="G162:G225" si="35">G161+F162-P162</f>
        <v>46106000000</v>
      </c>
      <c r="H162" s="13">
        <f t="shared" ref="H162:H225" si="36">H161+$D$6*F162</f>
        <v>0</v>
      </c>
      <c r="I162" s="13">
        <f t="shared" si="27"/>
        <v>899000000</v>
      </c>
      <c r="J162" s="13">
        <f t="shared" ref="J162:J225" si="37">J161+$D$8*F162+K162-P162*2-Q162</f>
        <v>52247104843.534019</v>
      </c>
      <c r="K162" s="13">
        <f t="shared" ref="K162:K225" si="38">($D$9/12)*J161</f>
        <v>170591710.44363463</v>
      </c>
      <c r="L162" s="11">
        <f t="shared" si="28"/>
        <v>0.56659767539511152</v>
      </c>
      <c r="M162" s="16">
        <f t="shared" si="29"/>
        <v>1.9498546826877197E-2</v>
      </c>
      <c r="N162" s="10">
        <f t="shared" si="30"/>
        <v>10000000</v>
      </c>
      <c r="O162" s="18">
        <f t="shared" si="31"/>
        <v>92212000000</v>
      </c>
      <c r="P162">
        <v>0</v>
      </c>
      <c r="Q162">
        <f t="shared" si="32"/>
        <v>0</v>
      </c>
    </row>
    <row r="163" spans="1:17" x14ac:dyDescent="0.25">
      <c r="A163" s="8">
        <v>131</v>
      </c>
      <c r="B163" s="9">
        <v>1</v>
      </c>
      <c r="C163" s="10">
        <f>MAX(0,MIN(INT(($D$10+SUM($N$33:N162)+SUM($P$33:P162))/$D$5*B163)-D162,IF($D$11&gt;G162,INT(($D$11-G162)/$D$5),0)-D162))</f>
        <v>5000</v>
      </c>
      <c r="D163" s="10">
        <f t="shared" si="33"/>
        <v>454500</v>
      </c>
      <c r="E163" s="10">
        <f t="shared" si="26"/>
        <v>2000</v>
      </c>
      <c r="F163" s="10">
        <f t="shared" si="34"/>
        <v>909000000</v>
      </c>
      <c r="G163" s="10">
        <f t="shared" si="35"/>
        <v>47015000000</v>
      </c>
      <c r="H163" s="13">
        <f t="shared" si="36"/>
        <v>0</v>
      </c>
      <c r="I163" s="13">
        <f t="shared" si="27"/>
        <v>909000000</v>
      </c>
      <c r="J163" s="13">
        <f t="shared" si="37"/>
        <v>53330261859.679131</v>
      </c>
      <c r="K163" s="13">
        <f t="shared" si="38"/>
        <v>174157016.14511341</v>
      </c>
      <c r="L163" s="11">
        <f t="shared" si="28"/>
        <v>0.56716220205975887</v>
      </c>
      <c r="M163" s="16">
        <f t="shared" si="29"/>
        <v>1.9334255024992024E-2</v>
      </c>
      <c r="N163" s="10">
        <f t="shared" si="30"/>
        <v>10000000</v>
      </c>
      <c r="O163" s="18">
        <f t="shared" si="31"/>
        <v>94030000000</v>
      </c>
      <c r="P163">
        <v>0</v>
      </c>
      <c r="Q163">
        <f t="shared" si="32"/>
        <v>0</v>
      </c>
    </row>
    <row r="164" spans="1:17" x14ac:dyDescent="0.25">
      <c r="A164" s="8">
        <v>132</v>
      </c>
      <c r="B164" s="9">
        <v>1</v>
      </c>
      <c r="C164" s="10">
        <f>MAX(0,MIN(INT(($D$10+SUM($N$33:N163)+SUM($P$33:P163))/$D$5*B164)-D163,IF($D$11&gt;G163,INT(($D$11-G163)/$D$5),0)-D163))</f>
        <v>5000</v>
      </c>
      <c r="D164" s="10">
        <f t="shared" si="33"/>
        <v>459500</v>
      </c>
      <c r="E164" s="10">
        <f t="shared" si="26"/>
        <v>2000</v>
      </c>
      <c r="F164" s="10">
        <f t="shared" si="34"/>
        <v>919000000</v>
      </c>
      <c r="G164" s="10">
        <f t="shared" si="35"/>
        <v>47934000000</v>
      </c>
      <c r="H164" s="13">
        <f t="shared" si="36"/>
        <v>0</v>
      </c>
      <c r="I164" s="13">
        <f t="shared" si="27"/>
        <v>919000000</v>
      </c>
      <c r="J164" s="13">
        <f t="shared" si="37"/>
        <v>54427029399.211395</v>
      </c>
      <c r="K164" s="13">
        <f t="shared" si="38"/>
        <v>177767539.53226379</v>
      </c>
      <c r="L164" s="11">
        <f t="shared" si="28"/>
        <v>0.56772885007730833</v>
      </c>
      <c r="M164" s="16">
        <f t="shared" si="29"/>
        <v>1.9172195101598032E-2</v>
      </c>
      <c r="N164" s="10">
        <f t="shared" si="30"/>
        <v>10000000</v>
      </c>
      <c r="O164" s="18">
        <f t="shared" si="31"/>
        <v>95868000000</v>
      </c>
      <c r="P164">
        <v>0</v>
      </c>
      <c r="Q164">
        <f t="shared" si="32"/>
        <v>0</v>
      </c>
    </row>
    <row r="165" spans="1:17" x14ac:dyDescent="0.25">
      <c r="A165" s="8">
        <v>133</v>
      </c>
      <c r="B165" s="9">
        <v>1</v>
      </c>
      <c r="C165" s="10">
        <f>MAX(0,MIN(INT(($D$10+SUM($N$33:N164)+SUM($P$33:P164))/$D$5*B165)-D164,IF($D$11&gt;G164,INT(($D$11-G164)/$D$5),0)-D164))</f>
        <v>5000</v>
      </c>
      <c r="D165" s="10">
        <f t="shared" si="33"/>
        <v>464500</v>
      </c>
      <c r="E165" s="10">
        <f t="shared" si="26"/>
        <v>2000</v>
      </c>
      <c r="F165" s="10">
        <f t="shared" si="34"/>
        <v>929000000</v>
      </c>
      <c r="G165" s="10">
        <f t="shared" si="35"/>
        <v>48863000000</v>
      </c>
      <c r="H165" s="13">
        <f t="shared" si="36"/>
        <v>0</v>
      </c>
      <c r="I165" s="13">
        <f t="shared" si="27"/>
        <v>929000000</v>
      </c>
      <c r="J165" s="13">
        <f t="shared" si="37"/>
        <v>55537452830.542099</v>
      </c>
      <c r="K165" s="13">
        <f t="shared" si="38"/>
        <v>181423431.33070466</v>
      </c>
      <c r="L165" s="11">
        <f t="shared" si="28"/>
        <v>0.56829761609543106</v>
      </c>
      <c r="M165" s="16">
        <f t="shared" si="29"/>
        <v>1.9012340625831407E-2</v>
      </c>
      <c r="N165" s="10">
        <f t="shared" si="30"/>
        <v>10000000</v>
      </c>
      <c r="O165" s="18">
        <f t="shared" si="31"/>
        <v>97726000000</v>
      </c>
      <c r="P165">
        <v>0</v>
      </c>
      <c r="Q165">
        <f t="shared" si="32"/>
        <v>0</v>
      </c>
    </row>
    <row r="166" spans="1:17" x14ac:dyDescent="0.25">
      <c r="A166" s="8">
        <v>134</v>
      </c>
      <c r="B166" s="9">
        <v>1</v>
      </c>
      <c r="C166" s="10">
        <f>MAX(0,MIN(INT(($D$10+SUM($N$33:N165)+SUM($P$33:P165))/$D$5*B166)-D165,IF($D$11&gt;G165,INT(($D$11-G165)/$D$5),0)-D165))</f>
        <v>5000</v>
      </c>
      <c r="D166" s="10">
        <f t="shared" si="33"/>
        <v>469500</v>
      </c>
      <c r="E166" s="10">
        <f t="shared" si="26"/>
        <v>2000</v>
      </c>
      <c r="F166" s="10">
        <f t="shared" si="34"/>
        <v>939000000</v>
      </c>
      <c r="G166" s="10">
        <f t="shared" si="35"/>
        <v>49802000000</v>
      </c>
      <c r="H166" s="13">
        <f t="shared" si="36"/>
        <v>0</v>
      </c>
      <c r="I166" s="13">
        <f t="shared" si="27"/>
        <v>939000000</v>
      </c>
      <c r="J166" s="13">
        <f t="shared" si="37"/>
        <v>56661577673.31057</v>
      </c>
      <c r="K166" s="13">
        <f t="shared" si="38"/>
        <v>185124842.76847368</v>
      </c>
      <c r="L166" s="11">
        <f t="shared" si="28"/>
        <v>0.56886849597717526</v>
      </c>
      <c r="M166" s="16">
        <f t="shared" si="29"/>
        <v>1.8854664471306373E-2</v>
      </c>
      <c r="N166" s="10">
        <f t="shared" si="30"/>
        <v>10000000</v>
      </c>
      <c r="O166" s="18">
        <f t="shared" si="31"/>
        <v>99604000000</v>
      </c>
      <c r="P166">
        <v>0</v>
      </c>
      <c r="Q166">
        <f t="shared" si="32"/>
        <v>0</v>
      </c>
    </row>
    <row r="167" spans="1:17" x14ac:dyDescent="0.25">
      <c r="A167" s="8">
        <v>135</v>
      </c>
      <c r="B167" s="9">
        <v>1</v>
      </c>
      <c r="C167" s="10">
        <f>MAX(0,MIN(INT(($D$10+SUM($N$33:N166)+SUM($P$33:P166))/$D$5*B167)-D166,IF($D$11&gt;G166,INT(($D$11-G166)/$D$5),0)-D166))</f>
        <v>5000</v>
      </c>
      <c r="D167" s="10">
        <f t="shared" si="33"/>
        <v>474500</v>
      </c>
      <c r="E167" s="10">
        <f t="shared" si="26"/>
        <v>2000</v>
      </c>
      <c r="F167" s="10">
        <f t="shared" si="34"/>
        <v>949000000</v>
      </c>
      <c r="G167" s="10">
        <f t="shared" si="35"/>
        <v>50751000000</v>
      </c>
      <c r="H167" s="13">
        <f t="shared" si="36"/>
        <v>0</v>
      </c>
      <c r="I167" s="13">
        <f t="shared" si="27"/>
        <v>949000000</v>
      </c>
      <c r="J167" s="13">
        <f t="shared" si="37"/>
        <v>57799449598.888275</v>
      </c>
      <c r="K167" s="13">
        <f t="shared" si="38"/>
        <v>188871925.57770193</v>
      </c>
      <c r="L167" s="11">
        <f t="shared" si="28"/>
        <v>0.56944148488589663</v>
      </c>
      <c r="M167" s="16">
        <f t="shared" si="29"/>
        <v>1.8699138933222989E-2</v>
      </c>
      <c r="N167" s="10">
        <f t="shared" si="30"/>
        <v>10000000</v>
      </c>
      <c r="O167" s="18">
        <f t="shared" si="31"/>
        <v>101502000000</v>
      </c>
      <c r="P167">
        <v>0</v>
      </c>
      <c r="Q167">
        <f t="shared" si="32"/>
        <v>0</v>
      </c>
    </row>
    <row r="168" spans="1:17" x14ac:dyDescent="0.25">
      <c r="A168" s="8">
        <v>136</v>
      </c>
      <c r="B168" s="9">
        <v>1</v>
      </c>
      <c r="C168" s="10">
        <f>MAX(0,MIN(INT(($D$10+SUM($N$33:N167)+SUM($P$33:P167))/$D$5*B168)-D167,IF($D$11&gt;G167,INT(($D$11-G167)/$D$5),0)-D167))</f>
        <v>5000</v>
      </c>
      <c r="D168" s="10">
        <f t="shared" si="33"/>
        <v>479500</v>
      </c>
      <c r="E168" s="10">
        <f t="shared" si="26"/>
        <v>2000</v>
      </c>
      <c r="F168" s="10">
        <f t="shared" si="34"/>
        <v>959000000</v>
      </c>
      <c r="G168" s="10">
        <f t="shared" si="35"/>
        <v>51710000000</v>
      </c>
      <c r="H168" s="13">
        <f t="shared" si="36"/>
        <v>0</v>
      </c>
      <c r="I168" s="13">
        <f t="shared" si="27"/>
        <v>959000000</v>
      </c>
      <c r="J168" s="13">
        <f t="shared" si="37"/>
        <v>58951114430.884567</v>
      </c>
      <c r="K168" s="13">
        <f t="shared" si="38"/>
        <v>192664831.99629426</v>
      </c>
      <c r="L168" s="11">
        <f t="shared" si="28"/>
        <v>0.57001657736303002</v>
      </c>
      <c r="M168" s="16">
        <f t="shared" si="29"/>
        <v>1.8545735834461421E-2</v>
      </c>
      <c r="N168" s="10">
        <f t="shared" si="30"/>
        <v>10000000</v>
      </c>
      <c r="O168" s="18">
        <f t="shared" si="31"/>
        <v>103420000000</v>
      </c>
      <c r="P168">
        <v>0</v>
      </c>
      <c r="Q168">
        <f t="shared" si="32"/>
        <v>0</v>
      </c>
    </row>
    <row r="169" spans="1:17" x14ac:dyDescent="0.25">
      <c r="A169" s="8">
        <v>137</v>
      </c>
      <c r="B169" s="9">
        <v>1</v>
      </c>
      <c r="C169" s="10">
        <f>MAX(0,MIN(INT(($D$10+SUM($N$33:N168)+SUM($P$33:P168))/$D$5*B169)-D168,IF($D$11&gt;G168,INT(($D$11-G168)/$D$5),0)-D168))</f>
        <v>5000</v>
      </c>
      <c r="D169" s="10">
        <f t="shared" si="33"/>
        <v>484500</v>
      </c>
      <c r="E169" s="10">
        <f t="shared" si="26"/>
        <v>2000</v>
      </c>
      <c r="F169" s="10">
        <f t="shared" si="34"/>
        <v>969000000</v>
      </c>
      <c r="G169" s="10">
        <f t="shared" si="35"/>
        <v>52679000000</v>
      </c>
      <c r="H169" s="13">
        <f t="shared" si="36"/>
        <v>0</v>
      </c>
      <c r="I169" s="13">
        <f t="shared" si="27"/>
        <v>969000000</v>
      </c>
      <c r="J169" s="13">
        <f t="shared" si="37"/>
        <v>60116618145.654182</v>
      </c>
      <c r="K169" s="13">
        <f t="shared" si="38"/>
        <v>196503714.76961523</v>
      </c>
      <c r="L169" s="11">
        <f t="shared" si="28"/>
        <v>0.57059376739928802</v>
      </c>
      <c r="M169" s="16">
        <f t="shared" si="29"/>
        <v>1.8394426621613925E-2</v>
      </c>
      <c r="N169" s="10">
        <f t="shared" si="30"/>
        <v>10000000</v>
      </c>
      <c r="O169" s="18">
        <f t="shared" si="31"/>
        <v>105358000000</v>
      </c>
      <c r="P169">
        <v>0</v>
      </c>
      <c r="Q169">
        <f t="shared" si="32"/>
        <v>0</v>
      </c>
    </row>
    <row r="170" spans="1:17" x14ac:dyDescent="0.25">
      <c r="A170" s="8">
        <v>138</v>
      </c>
      <c r="B170" s="9">
        <v>1</v>
      </c>
      <c r="C170" s="10">
        <f>MAX(0,MIN(INT(($D$10+SUM($N$33:N169)+SUM($P$33:P169))/$D$5*B170)-D169,IF($D$11&gt;G169,INT(($D$11-G169)/$D$5),0)-D169))</f>
        <v>5000</v>
      </c>
      <c r="D170" s="10">
        <f t="shared" si="33"/>
        <v>489500</v>
      </c>
      <c r="E170" s="10">
        <f t="shared" si="26"/>
        <v>2000</v>
      </c>
      <c r="F170" s="10">
        <f t="shared" si="34"/>
        <v>979000000</v>
      </c>
      <c r="G170" s="10">
        <f t="shared" si="35"/>
        <v>53658000000</v>
      </c>
      <c r="H170" s="13">
        <f t="shared" si="36"/>
        <v>0</v>
      </c>
      <c r="I170" s="13">
        <f t="shared" si="27"/>
        <v>979000000</v>
      </c>
      <c r="J170" s="13">
        <f t="shared" si="37"/>
        <v>61296006872.806366</v>
      </c>
      <c r="K170" s="13">
        <f t="shared" si="38"/>
        <v>200388727.15218061</v>
      </c>
      <c r="L170" s="11">
        <f t="shared" si="28"/>
        <v>0.57117304849981709</v>
      </c>
      <c r="M170" s="16">
        <f t="shared" si="29"/>
        <v>1.8245182451824517E-2</v>
      </c>
      <c r="N170" s="10">
        <f t="shared" si="30"/>
        <v>10000000</v>
      </c>
      <c r="O170" s="18">
        <f t="shared" si="31"/>
        <v>107316000000</v>
      </c>
      <c r="P170">
        <v>0</v>
      </c>
      <c r="Q170">
        <f t="shared" si="32"/>
        <v>0</v>
      </c>
    </row>
    <row r="171" spans="1:17" x14ac:dyDescent="0.25">
      <c r="A171" s="8">
        <v>139</v>
      </c>
      <c r="B171" s="9">
        <v>1</v>
      </c>
      <c r="C171" s="10">
        <f>MAX(0,MIN(INT(($D$10+SUM($N$33:N170)+SUM($P$33:P170))/$D$5*B171)-D170,IF($D$11&gt;G170,INT(($D$11-G170)/$D$5),0)-D170))</f>
        <v>5000</v>
      </c>
      <c r="D171" s="10">
        <f t="shared" si="33"/>
        <v>494500</v>
      </c>
      <c r="E171" s="10">
        <f t="shared" si="26"/>
        <v>2000</v>
      </c>
      <c r="F171" s="10">
        <f t="shared" si="34"/>
        <v>989000000</v>
      </c>
      <c r="G171" s="10">
        <f t="shared" si="35"/>
        <v>54647000000</v>
      </c>
      <c r="H171" s="13">
        <f t="shared" si="36"/>
        <v>0</v>
      </c>
      <c r="I171" s="13">
        <f t="shared" si="27"/>
        <v>989000000</v>
      </c>
      <c r="J171" s="13">
        <f t="shared" si="37"/>
        <v>62489326895.715721</v>
      </c>
      <c r="K171" s="13">
        <f t="shared" si="38"/>
        <v>204320022.90935457</v>
      </c>
      <c r="L171" s="11">
        <f t="shared" si="28"/>
        <v>0.57175441374380775</v>
      </c>
      <c r="M171" s="16">
        <f t="shared" si="29"/>
        <v>1.8097974271231724E-2</v>
      </c>
      <c r="N171" s="10">
        <f t="shared" si="30"/>
        <v>10000000</v>
      </c>
      <c r="O171" s="18">
        <f t="shared" si="31"/>
        <v>109294000000</v>
      </c>
      <c r="P171">
        <v>0</v>
      </c>
      <c r="Q171">
        <f t="shared" si="32"/>
        <v>0</v>
      </c>
    </row>
    <row r="172" spans="1:17" x14ac:dyDescent="0.25">
      <c r="A172" s="8">
        <v>140</v>
      </c>
      <c r="B172" s="9">
        <v>1</v>
      </c>
      <c r="C172" s="10">
        <f>MAX(0,MIN(INT(($D$10+SUM($N$33:N171)+SUM($P$33:P171))/$D$5*B172)-D171,IF($D$11&gt;G171,INT(($D$11-G171)/$D$5),0)-D171))</f>
        <v>5000</v>
      </c>
      <c r="D172" s="10">
        <f t="shared" si="33"/>
        <v>499500</v>
      </c>
      <c r="E172" s="10">
        <f t="shared" si="26"/>
        <v>2000</v>
      </c>
      <c r="F172" s="10">
        <f t="shared" si="34"/>
        <v>999000000</v>
      </c>
      <c r="G172" s="10">
        <f t="shared" si="35"/>
        <v>55646000000</v>
      </c>
      <c r="H172" s="13">
        <f t="shared" si="36"/>
        <v>0</v>
      </c>
      <c r="I172" s="13">
        <f t="shared" si="27"/>
        <v>999000000</v>
      </c>
      <c r="J172" s="13">
        <f t="shared" si="37"/>
        <v>63696624652.034775</v>
      </c>
      <c r="K172" s="13">
        <f t="shared" si="38"/>
        <v>208297756.31905243</v>
      </c>
      <c r="L172" s="11">
        <f t="shared" si="28"/>
        <v>0.57233785583900709</v>
      </c>
      <c r="M172" s="16">
        <f t="shared" si="29"/>
        <v>1.7952772885742013E-2</v>
      </c>
      <c r="N172" s="10">
        <f t="shared" si="30"/>
        <v>10000000</v>
      </c>
      <c r="O172" s="18">
        <f t="shared" si="31"/>
        <v>111292000000</v>
      </c>
      <c r="P172">
        <v>0</v>
      </c>
      <c r="Q172">
        <f t="shared" si="32"/>
        <v>0</v>
      </c>
    </row>
    <row r="173" spans="1:17" x14ac:dyDescent="0.25">
      <c r="A173" s="8">
        <v>141</v>
      </c>
      <c r="B173" s="9">
        <v>1</v>
      </c>
      <c r="C173" s="10">
        <f>MAX(0,MIN(INT(($D$10+SUM($N$33:N172)+SUM($P$33:P172))/$D$5*B173)-D172,IF($D$11&gt;G172,INT(($D$11-G172)/$D$5),0)-D172))</f>
        <v>5000</v>
      </c>
      <c r="D173" s="10">
        <f t="shared" si="33"/>
        <v>504500</v>
      </c>
      <c r="E173" s="10">
        <f t="shared" si="26"/>
        <v>2000</v>
      </c>
      <c r="F173" s="10">
        <f t="shared" si="34"/>
        <v>1009000000</v>
      </c>
      <c r="G173" s="10">
        <f t="shared" si="35"/>
        <v>56655000000</v>
      </c>
      <c r="H173" s="13">
        <f t="shared" si="36"/>
        <v>0</v>
      </c>
      <c r="I173" s="13">
        <f t="shared" si="27"/>
        <v>1009000000</v>
      </c>
      <c r="J173" s="13">
        <f t="shared" si="37"/>
        <v>64917946734.208221</v>
      </c>
      <c r="K173" s="13">
        <f t="shared" si="38"/>
        <v>212322082.17344925</v>
      </c>
      <c r="L173" s="11">
        <f t="shared" si="28"/>
        <v>0.57292336717154901</v>
      </c>
      <c r="M173" s="16">
        <f t="shared" si="29"/>
        <v>1.7809549024799223E-2</v>
      </c>
      <c r="N173" s="10">
        <f t="shared" si="30"/>
        <v>10000000</v>
      </c>
      <c r="O173" s="18">
        <f t="shared" si="31"/>
        <v>113310000000</v>
      </c>
      <c r="P173">
        <v>0</v>
      </c>
      <c r="Q173">
        <f t="shared" si="32"/>
        <v>0</v>
      </c>
    </row>
    <row r="174" spans="1:17" x14ac:dyDescent="0.25">
      <c r="A174" s="8">
        <v>142</v>
      </c>
      <c r="B174" s="9">
        <v>1</v>
      </c>
      <c r="C174" s="10">
        <f>MAX(0,MIN(INT(($D$10+SUM($N$33:N173)+SUM($P$33:P173))/$D$5*B174)-D173,IF($D$11&gt;G173,INT(($D$11-G173)/$D$5),0)-D173))</f>
        <v>5000</v>
      </c>
      <c r="D174" s="10">
        <f t="shared" si="33"/>
        <v>509500</v>
      </c>
      <c r="E174" s="10">
        <f t="shared" si="26"/>
        <v>2000</v>
      </c>
      <c r="F174" s="10">
        <f t="shared" si="34"/>
        <v>1019000000</v>
      </c>
      <c r="G174" s="10">
        <f t="shared" si="35"/>
        <v>57674000000</v>
      </c>
      <c r="H174" s="13">
        <f t="shared" si="36"/>
        <v>0</v>
      </c>
      <c r="I174" s="13">
        <f t="shared" si="27"/>
        <v>1019000000</v>
      </c>
      <c r="J174" s="13">
        <f t="shared" si="37"/>
        <v>66153339889.988914</v>
      </c>
      <c r="K174" s="13">
        <f t="shared" si="38"/>
        <v>216393155.7806941</v>
      </c>
      <c r="L174" s="11">
        <f t="shared" si="28"/>
        <v>0.57351093985148349</v>
      </c>
      <c r="M174" s="16">
        <f t="shared" si="29"/>
        <v>1.7668273398758538E-2</v>
      </c>
      <c r="N174" s="10">
        <f t="shared" si="30"/>
        <v>10000000</v>
      </c>
      <c r="O174" s="18">
        <f t="shared" si="31"/>
        <v>115348000000</v>
      </c>
      <c r="P174">
        <v>0</v>
      </c>
      <c r="Q174">
        <f t="shared" si="32"/>
        <v>0</v>
      </c>
    </row>
    <row r="175" spans="1:17" x14ac:dyDescent="0.25">
      <c r="A175" s="8">
        <v>143</v>
      </c>
      <c r="B175" s="9">
        <v>1</v>
      </c>
      <c r="C175" s="10">
        <f>MAX(0,MIN(INT(($D$10+SUM($N$33:N174)+SUM($P$33:P174))/$D$5*B175)-D174,IF($D$11&gt;G174,INT(($D$11-G174)/$D$5),0)-D174))</f>
        <v>5000</v>
      </c>
      <c r="D175" s="10">
        <f t="shared" si="33"/>
        <v>514500</v>
      </c>
      <c r="E175" s="10">
        <f t="shared" si="26"/>
        <v>2000</v>
      </c>
      <c r="F175" s="10">
        <f t="shared" si="34"/>
        <v>1029000000</v>
      </c>
      <c r="G175" s="10">
        <f t="shared" si="35"/>
        <v>58703000000</v>
      </c>
      <c r="H175" s="13">
        <f t="shared" si="36"/>
        <v>0</v>
      </c>
      <c r="I175" s="13">
        <f t="shared" si="27"/>
        <v>1029000000</v>
      </c>
      <c r="J175" s="13">
        <f t="shared" si="37"/>
        <v>67402851022.955544</v>
      </c>
      <c r="K175" s="13">
        <f t="shared" si="38"/>
        <v>220511132.96662974</v>
      </c>
      <c r="L175" s="11">
        <f t="shared" si="28"/>
        <v>0.57410056575435275</v>
      </c>
      <c r="M175" s="16">
        <f t="shared" si="29"/>
        <v>1.7528916750421612E-2</v>
      </c>
      <c r="N175" s="10">
        <f t="shared" si="30"/>
        <v>10000000</v>
      </c>
      <c r="O175" s="18">
        <f t="shared" si="31"/>
        <v>117406000000</v>
      </c>
      <c r="P175">
        <v>0</v>
      </c>
      <c r="Q175">
        <f t="shared" si="32"/>
        <v>0</v>
      </c>
    </row>
    <row r="176" spans="1:17" x14ac:dyDescent="0.25">
      <c r="A176" s="8">
        <v>144</v>
      </c>
      <c r="B176" s="9">
        <v>1</v>
      </c>
      <c r="C176" s="10">
        <f>MAX(0,MIN(INT(($D$10+SUM($N$33:N175)+SUM($P$33:P175))/$D$5*B176)-D175,IF($D$11&gt;G175,INT(($D$11-G175)/$D$5),0)-D175))</f>
        <v>5000</v>
      </c>
      <c r="D176" s="10">
        <f t="shared" si="33"/>
        <v>519500</v>
      </c>
      <c r="E176" s="10">
        <f t="shared" si="26"/>
        <v>2000</v>
      </c>
      <c r="F176" s="10">
        <f t="shared" si="34"/>
        <v>1039000000</v>
      </c>
      <c r="G176" s="10">
        <f t="shared" si="35"/>
        <v>59742000000</v>
      </c>
      <c r="H176" s="13">
        <f t="shared" si="36"/>
        <v>0</v>
      </c>
      <c r="I176" s="13">
        <f t="shared" si="27"/>
        <v>1039000000</v>
      </c>
      <c r="J176" s="13">
        <f t="shared" si="37"/>
        <v>68666527193.032059</v>
      </c>
      <c r="K176" s="13">
        <f t="shared" si="38"/>
        <v>224676170.07651851</v>
      </c>
      <c r="L176" s="11">
        <f t="shared" si="28"/>
        <v>0.57469223655913815</v>
      </c>
      <c r="M176" s="16">
        <f t="shared" si="29"/>
        <v>1.7391449901242008E-2</v>
      </c>
      <c r="N176" s="10">
        <f t="shared" si="30"/>
        <v>10000000</v>
      </c>
      <c r="O176" s="18">
        <f t="shared" si="31"/>
        <v>119484000000</v>
      </c>
      <c r="P176">
        <v>0</v>
      </c>
      <c r="Q176">
        <f t="shared" si="32"/>
        <v>0</v>
      </c>
    </row>
    <row r="177" spans="1:17" x14ac:dyDescent="0.25">
      <c r="A177" s="8">
        <v>145</v>
      </c>
      <c r="B177" s="9">
        <v>1</v>
      </c>
      <c r="C177" s="10">
        <f>MAX(0,MIN(INT(($D$10+SUM($N$33:N176)+SUM($P$33:P176))/$D$5*B177)-D176,IF($D$11&gt;G176,INT(($D$11-G176)/$D$5),0)-D176))</f>
        <v>5000</v>
      </c>
      <c r="D177" s="10">
        <f t="shared" si="33"/>
        <v>524500</v>
      </c>
      <c r="E177" s="10">
        <f t="shared" si="26"/>
        <v>2000</v>
      </c>
      <c r="F177" s="10">
        <f t="shared" si="34"/>
        <v>1049000000</v>
      </c>
      <c r="G177" s="10">
        <f t="shared" si="35"/>
        <v>60791000000</v>
      </c>
      <c r="H177" s="13">
        <f t="shared" si="36"/>
        <v>0</v>
      </c>
      <c r="I177" s="13">
        <f t="shared" si="27"/>
        <v>1049000000</v>
      </c>
      <c r="J177" s="13">
        <f t="shared" si="37"/>
        <v>69944415617.008835</v>
      </c>
      <c r="K177" s="13">
        <f t="shared" si="38"/>
        <v>228888423.97677353</v>
      </c>
      <c r="L177" s="11">
        <f t="shared" si="28"/>
        <v>0.57528594378286946</v>
      </c>
      <c r="M177" s="16">
        <f t="shared" si="29"/>
        <v>1.7255843792666679E-2</v>
      </c>
      <c r="N177" s="10">
        <f t="shared" si="30"/>
        <v>10000000</v>
      </c>
      <c r="O177" s="18">
        <f t="shared" si="31"/>
        <v>121582000000</v>
      </c>
      <c r="P177">
        <v>0</v>
      </c>
      <c r="Q177">
        <f t="shared" si="32"/>
        <v>0</v>
      </c>
    </row>
    <row r="178" spans="1:17" x14ac:dyDescent="0.25">
      <c r="A178" s="8">
        <v>146</v>
      </c>
      <c r="B178" s="9">
        <v>1</v>
      </c>
      <c r="C178" s="10">
        <f>MAX(0,MIN(INT(($D$10+SUM($N$33:N177)+SUM($P$33:P177))/$D$5*B178)-D177,IF($D$11&gt;G177,INT(($D$11-G177)/$D$5),0)-D177))</f>
        <v>5000</v>
      </c>
      <c r="D178" s="10">
        <f t="shared" si="33"/>
        <v>529500</v>
      </c>
      <c r="E178" s="10">
        <f t="shared" si="26"/>
        <v>2000</v>
      </c>
      <c r="F178" s="10">
        <f t="shared" si="34"/>
        <v>1059000000</v>
      </c>
      <c r="G178" s="10">
        <f t="shared" si="35"/>
        <v>61850000000</v>
      </c>
      <c r="H178" s="13">
        <f t="shared" si="36"/>
        <v>0</v>
      </c>
      <c r="I178" s="13">
        <f t="shared" si="27"/>
        <v>1059000000</v>
      </c>
      <c r="J178" s="13">
        <f t="shared" si="37"/>
        <v>71236563669.065536</v>
      </c>
      <c r="K178" s="13">
        <f t="shared" si="38"/>
        <v>233148052.05669612</v>
      </c>
      <c r="L178" s="11">
        <f t="shared" si="28"/>
        <v>0.57588167881217089</v>
      </c>
      <c r="M178" s="16">
        <f t="shared" si="29"/>
        <v>1.7122069523039612E-2</v>
      </c>
      <c r="N178" s="10">
        <f t="shared" si="30"/>
        <v>10000000</v>
      </c>
      <c r="O178" s="18">
        <f t="shared" si="31"/>
        <v>123700000000</v>
      </c>
      <c r="P178">
        <v>0</v>
      </c>
      <c r="Q178">
        <f t="shared" si="32"/>
        <v>0</v>
      </c>
    </row>
    <row r="179" spans="1:17" x14ac:dyDescent="0.25">
      <c r="A179" s="8">
        <v>147</v>
      </c>
      <c r="B179" s="9">
        <v>1</v>
      </c>
      <c r="C179" s="10">
        <f>MAX(0,MIN(INT(($D$10+SUM($N$33:N178)+SUM($P$33:P178))/$D$5*B179)-D178,IF($D$11&gt;G178,INT(($D$11-G178)/$D$5),0)-D178))</f>
        <v>5000</v>
      </c>
      <c r="D179" s="10">
        <f t="shared" si="33"/>
        <v>534500</v>
      </c>
      <c r="E179" s="10">
        <f t="shared" si="26"/>
        <v>2000</v>
      </c>
      <c r="F179" s="10">
        <f t="shared" si="34"/>
        <v>1069000000</v>
      </c>
      <c r="G179" s="10">
        <f t="shared" si="35"/>
        <v>62919000000</v>
      </c>
      <c r="H179" s="13">
        <f t="shared" si="36"/>
        <v>0</v>
      </c>
      <c r="I179" s="13">
        <f t="shared" si="27"/>
        <v>1069000000</v>
      </c>
      <c r="J179" s="13">
        <f t="shared" si="37"/>
        <v>72543018881.295761</v>
      </c>
      <c r="K179" s="13">
        <f t="shared" si="38"/>
        <v>237455212.23021847</v>
      </c>
      <c r="L179" s="11">
        <f t="shared" si="28"/>
        <v>0.57647943293199</v>
      </c>
      <c r="M179" s="16">
        <f t="shared" si="29"/>
        <v>1.6990098380457414E-2</v>
      </c>
      <c r="N179" s="10">
        <f t="shared" si="30"/>
        <v>10000000</v>
      </c>
      <c r="O179" s="18">
        <f t="shared" si="31"/>
        <v>125838000000</v>
      </c>
      <c r="P179">
        <v>0</v>
      </c>
      <c r="Q179">
        <f t="shared" si="32"/>
        <v>0</v>
      </c>
    </row>
    <row r="180" spans="1:17" x14ac:dyDescent="0.25">
      <c r="A180" s="8">
        <v>148</v>
      </c>
      <c r="B180" s="9">
        <v>1</v>
      </c>
      <c r="C180" s="10">
        <f>MAX(0,MIN(INT(($D$10+SUM($N$33:N179)+SUM($P$33:P179))/$D$5*B180)-D179,IF($D$11&gt;G179,INT(($D$11-G179)/$D$5),0)-D179))</f>
        <v>5000</v>
      </c>
      <c r="D180" s="10">
        <f t="shared" si="33"/>
        <v>539500</v>
      </c>
      <c r="E180" s="10">
        <f t="shared" si="26"/>
        <v>2000</v>
      </c>
      <c r="F180" s="10">
        <f t="shared" si="34"/>
        <v>1079000000</v>
      </c>
      <c r="G180" s="10">
        <f t="shared" si="35"/>
        <v>63998000000</v>
      </c>
      <c r="H180" s="13">
        <f t="shared" si="36"/>
        <v>0</v>
      </c>
      <c r="I180" s="13">
        <f t="shared" si="27"/>
        <v>1079000000</v>
      </c>
      <c r="J180" s="13">
        <f t="shared" si="37"/>
        <v>73863828944.233414</v>
      </c>
      <c r="K180" s="13">
        <f t="shared" si="38"/>
        <v>241810062.93765256</v>
      </c>
      <c r="L180" s="11">
        <f t="shared" si="28"/>
        <v>0.57707919735174074</v>
      </c>
      <c r="M180" s="16">
        <f t="shared" si="29"/>
        <v>1.6859901871933498E-2</v>
      </c>
      <c r="N180" s="10">
        <f t="shared" si="30"/>
        <v>10000000</v>
      </c>
      <c r="O180" s="18">
        <f t="shared" si="31"/>
        <v>127996000000</v>
      </c>
      <c r="P180">
        <v>0</v>
      </c>
      <c r="Q180">
        <f t="shared" si="32"/>
        <v>0</v>
      </c>
    </row>
    <row r="181" spans="1:17" x14ac:dyDescent="0.25">
      <c r="A181" s="8">
        <v>149</v>
      </c>
      <c r="B181" s="9">
        <v>1</v>
      </c>
      <c r="C181" s="10">
        <f>MAX(0,MIN(INT(($D$10+SUM($N$33:N180)+SUM($P$33:P180))/$D$5*B181)-D180,IF($D$11&gt;G180,INT(($D$11-G180)/$D$5),0)-D180))</f>
        <v>5000</v>
      </c>
      <c r="D181" s="10">
        <f t="shared" si="33"/>
        <v>544500</v>
      </c>
      <c r="E181" s="10">
        <f t="shared" si="26"/>
        <v>2000</v>
      </c>
      <c r="F181" s="10">
        <f t="shared" si="34"/>
        <v>1089000000</v>
      </c>
      <c r="G181" s="10">
        <f t="shared" si="35"/>
        <v>65087000000</v>
      </c>
      <c r="H181" s="13">
        <f t="shared" si="36"/>
        <v>0</v>
      </c>
      <c r="I181" s="13">
        <f t="shared" si="27"/>
        <v>1089000000</v>
      </c>
      <c r="J181" s="13">
        <f t="shared" si="37"/>
        <v>75199041707.380859</v>
      </c>
      <c r="K181" s="13">
        <f t="shared" si="38"/>
        <v>246212763.14744473</v>
      </c>
      <c r="L181" s="11">
        <f t="shared" si="28"/>
        <v>0.57768096322906926</v>
      </c>
      <c r="M181" s="16">
        <f t="shared" si="29"/>
        <v>1.673145174919723E-2</v>
      </c>
      <c r="N181" s="10">
        <f t="shared" si="30"/>
        <v>10000000</v>
      </c>
      <c r="O181" s="18">
        <f t="shared" si="31"/>
        <v>130174000000</v>
      </c>
      <c r="P181">
        <v>0</v>
      </c>
      <c r="Q181">
        <f t="shared" si="32"/>
        <v>0</v>
      </c>
    </row>
    <row r="182" spans="1:17" x14ac:dyDescent="0.25">
      <c r="A182" s="8">
        <v>150</v>
      </c>
      <c r="B182" s="9">
        <v>1</v>
      </c>
      <c r="C182" s="10">
        <f>MAX(0,MIN(INT(($D$10+SUM($N$33:N181)+SUM($P$33:P181))/$D$5*B182)-D181,IF($D$11&gt;G181,INT(($D$11-G181)/$D$5),0)-D181))</f>
        <v>5000</v>
      </c>
      <c r="D182" s="10">
        <f t="shared" si="33"/>
        <v>549500</v>
      </c>
      <c r="E182" s="10">
        <f t="shared" si="26"/>
        <v>2000</v>
      </c>
      <c r="F182" s="10">
        <f t="shared" si="34"/>
        <v>1099000000</v>
      </c>
      <c r="G182" s="10">
        <f t="shared" si="35"/>
        <v>66186000000</v>
      </c>
      <c r="H182" s="13">
        <f t="shared" si="36"/>
        <v>0</v>
      </c>
      <c r="I182" s="13">
        <f t="shared" si="27"/>
        <v>1099000000</v>
      </c>
      <c r="J182" s="13">
        <f t="shared" si="37"/>
        <v>76548705179.7388</v>
      </c>
      <c r="K182" s="13">
        <f t="shared" si="38"/>
        <v>250663472.3579362</v>
      </c>
      <c r="L182" s="11">
        <f t="shared" si="28"/>
        <v>0.5782847216914363</v>
      </c>
      <c r="M182" s="16">
        <f t="shared" si="29"/>
        <v>1.6604720031426587E-2</v>
      </c>
      <c r="N182" s="10">
        <f t="shared" si="30"/>
        <v>10000000</v>
      </c>
      <c r="O182" s="18">
        <f t="shared" si="31"/>
        <v>132372000000</v>
      </c>
      <c r="P182">
        <v>0</v>
      </c>
      <c r="Q182">
        <f t="shared" si="32"/>
        <v>0</v>
      </c>
    </row>
    <row r="183" spans="1:17" x14ac:dyDescent="0.25">
      <c r="A183" s="8">
        <v>151</v>
      </c>
      <c r="B183" s="9">
        <v>1</v>
      </c>
      <c r="C183" s="10">
        <f>MAX(0,MIN(INT(($D$10+SUM($N$33:N182)+SUM($P$33:P182))/$D$5*B183)-D182,IF($D$11&gt;G182,INT(($D$11-G182)/$D$5),0)-D182))</f>
        <v>5000</v>
      </c>
      <c r="D183" s="10">
        <f t="shared" si="33"/>
        <v>554500</v>
      </c>
      <c r="E183" s="10">
        <f t="shared" si="26"/>
        <v>2000</v>
      </c>
      <c r="F183" s="10">
        <f t="shared" si="34"/>
        <v>1109000000</v>
      </c>
      <c r="G183" s="10">
        <f t="shared" si="35"/>
        <v>67295000000</v>
      </c>
      <c r="H183" s="13">
        <f t="shared" si="36"/>
        <v>0</v>
      </c>
      <c r="I183" s="13">
        <f t="shared" si="27"/>
        <v>1109000000</v>
      </c>
      <c r="J183" s="13">
        <f t="shared" si="37"/>
        <v>77912867530.337936</v>
      </c>
      <c r="K183" s="13">
        <f t="shared" si="38"/>
        <v>255162350.59912935</v>
      </c>
      <c r="L183" s="11">
        <f t="shared" si="28"/>
        <v>0.57889046385569465</v>
      </c>
      <c r="M183" s="16">
        <f t="shared" si="29"/>
        <v>1.6479679025187606E-2</v>
      </c>
      <c r="N183" s="10">
        <f t="shared" si="30"/>
        <v>10000000</v>
      </c>
      <c r="O183" s="18">
        <f t="shared" si="31"/>
        <v>134590000000</v>
      </c>
      <c r="P183">
        <v>0</v>
      </c>
      <c r="Q183">
        <f t="shared" si="32"/>
        <v>0</v>
      </c>
    </row>
    <row r="184" spans="1:17" x14ac:dyDescent="0.25">
      <c r="A184" s="8">
        <v>152</v>
      </c>
      <c r="B184" s="9">
        <v>1</v>
      </c>
      <c r="C184" s="10">
        <f>MAX(0,MIN(INT(($D$10+SUM($N$33:N183)+SUM($P$33:P183))/$D$5*B184)-D183,IF($D$11&gt;G183,INT(($D$11-G183)/$D$5),0)-D183))</f>
        <v>5000</v>
      </c>
      <c r="D184" s="10">
        <f t="shared" si="33"/>
        <v>559500</v>
      </c>
      <c r="E184" s="10">
        <f t="shared" si="26"/>
        <v>2000</v>
      </c>
      <c r="F184" s="10">
        <f t="shared" si="34"/>
        <v>1119000000</v>
      </c>
      <c r="G184" s="10">
        <f t="shared" si="35"/>
        <v>68414000000</v>
      </c>
      <c r="H184" s="13">
        <f t="shared" si="36"/>
        <v>0</v>
      </c>
      <c r="I184" s="13">
        <f t="shared" si="27"/>
        <v>1119000000</v>
      </c>
      <c r="J184" s="13">
        <f t="shared" si="37"/>
        <v>79291577088.7724</v>
      </c>
      <c r="K184" s="13">
        <f t="shared" si="38"/>
        <v>259709558.43445981</v>
      </c>
      <c r="L184" s="11">
        <f t="shared" si="28"/>
        <v>0.57949818084582394</v>
      </c>
      <c r="M184" s="16">
        <f t="shared" si="29"/>
        <v>1.635630134183062E-2</v>
      </c>
      <c r="N184" s="10">
        <f t="shared" si="30"/>
        <v>10000000</v>
      </c>
      <c r="O184" s="18">
        <f t="shared" si="31"/>
        <v>136828000000</v>
      </c>
      <c r="P184">
        <v>0</v>
      </c>
      <c r="Q184">
        <f t="shared" si="32"/>
        <v>0</v>
      </c>
    </row>
    <row r="185" spans="1:17" x14ac:dyDescent="0.25">
      <c r="A185" s="8">
        <v>153</v>
      </c>
      <c r="B185" s="9">
        <v>1</v>
      </c>
      <c r="C185" s="10">
        <f>MAX(0,MIN(INT(($D$10+SUM($N$33:N184)+SUM($P$33:P184))/$D$5*B185)-D184,IF($D$11&gt;G184,INT(($D$11-G184)/$D$5),0)-D184))</f>
        <v>5000</v>
      </c>
      <c r="D185" s="10">
        <f t="shared" si="33"/>
        <v>564500</v>
      </c>
      <c r="E185" s="10">
        <f t="shared" si="26"/>
        <v>2000</v>
      </c>
      <c r="F185" s="10">
        <f t="shared" si="34"/>
        <v>1129000000</v>
      </c>
      <c r="G185" s="10">
        <f t="shared" si="35"/>
        <v>69543000000</v>
      </c>
      <c r="H185" s="13">
        <f t="shared" si="36"/>
        <v>0</v>
      </c>
      <c r="I185" s="13">
        <f t="shared" si="27"/>
        <v>1129000000</v>
      </c>
      <c r="J185" s="13">
        <f t="shared" si="37"/>
        <v>80684882345.73497</v>
      </c>
      <c r="K185" s="13">
        <f t="shared" si="38"/>
        <v>264305256.96257469</v>
      </c>
      <c r="L185" s="11">
        <f t="shared" si="28"/>
        <v>0.58010786380897406</v>
      </c>
      <c r="M185" s="16">
        <f t="shared" si="29"/>
        <v>1.6234559912572076E-2</v>
      </c>
      <c r="N185" s="10">
        <f t="shared" si="30"/>
        <v>10000000</v>
      </c>
      <c r="O185" s="18">
        <f t="shared" si="31"/>
        <v>139086000000</v>
      </c>
      <c r="P185">
        <v>0</v>
      </c>
      <c r="Q185">
        <f t="shared" si="32"/>
        <v>0</v>
      </c>
    </row>
    <row r="186" spans="1:17" x14ac:dyDescent="0.25">
      <c r="A186" s="8">
        <v>154</v>
      </c>
      <c r="B186" s="9">
        <v>1</v>
      </c>
      <c r="C186" s="10">
        <f>MAX(0,MIN(INT(($D$10+SUM($N$33:N185)+SUM($P$33:P185))/$D$5*B186)-D185,IF($D$11&gt;G185,INT(($D$11-G185)/$D$5),0)-D185))</f>
        <v>5000</v>
      </c>
      <c r="D186" s="10">
        <f t="shared" si="33"/>
        <v>569500</v>
      </c>
      <c r="E186" s="10">
        <f t="shared" si="26"/>
        <v>2000</v>
      </c>
      <c r="F186" s="10">
        <f t="shared" si="34"/>
        <v>1139000000</v>
      </c>
      <c r="G186" s="10">
        <f t="shared" si="35"/>
        <v>70682000000</v>
      </c>
      <c r="H186" s="13">
        <f t="shared" si="36"/>
        <v>0</v>
      </c>
      <c r="I186" s="13">
        <f t="shared" si="27"/>
        <v>1139000000</v>
      </c>
      <c r="J186" s="13">
        <f t="shared" si="37"/>
        <v>82092831953.554092</v>
      </c>
      <c r="K186" s="13">
        <f t="shared" si="38"/>
        <v>268949607.81911659</v>
      </c>
      <c r="L186" s="11">
        <f t="shared" si="28"/>
        <v>0.58071950392995453</v>
      </c>
      <c r="M186" s="16">
        <f t="shared" si="29"/>
        <v>1.6114428001471379E-2</v>
      </c>
      <c r="N186" s="10">
        <f t="shared" si="30"/>
        <v>10000000</v>
      </c>
      <c r="O186" s="18">
        <f t="shared" si="31"/>
        <v>141364000000</v>
      </c>
      <c r="P186">
        <v>0</v>
      </c>
      <c r="Q186">
        <f t="shared" si="32"/>
        <v>0</v>
      </c>
    </row>
    <row r="187" spans="1:17" x14ac:dyDescent="0.25">
      <c r="A187" s="8">
        <v>155</v>
      </c>
      <c r="B187" s="9">
        <v>1</v>
      </c>
      <c r="C187" s="10">
        <f>MAX(0,MIN(INT(($D$10+SUM($N$33:N186)+SUM($P$33:P186))/$D$5*B187)-D186,IF($D$11&gt;G186,INT(($D$11-G186)/$D$5),0)-D186))</f>
        <v>5000</v>
      </c>
      <c r="D187" s="10">
        <f t="shared" si="33"/>
        <v>574500</v>
      </c>
      <c r="E187" s="10">
        <f t="shared" si="26"/>
        <v>2000</v>
      </c>
      <c r="F187" s="10">
        <f t="shared" si="34"/>
        <v>1149000000</v>
      </c>
      <c r="G187" s="10">
        <f t="shared" si="35"/>
        <v>71831000000</v>
      </c>
      <c r="H187" s="13">
        <f t="shared" si="36"/>
        <v>0</v>
      </c>
      <c r="I187" s="13">
        <f t="shared" si="27"/>
        <v>1149000000</v>
      </c>
      <c r="J187" s="13">
        <f t="shared" si="37"/>
        <v>83515474726.732605</v>
      </c>
      <c r="K187" s="13">
        <f t="shared" si="38"/>
        <v>273642773.17851365</v>
      </c>
      <c r="L187" s="11">
        <f t="shared" si="28"/>
        <v>0.58133309244429709</v>
      </c>
      <c r="M187" s="16">
        <f t="shared" si="29"/>
        <v>1.5995879216494271E-2</v>
      </c>
      <c r="N187" s="10">
        <f t="shared" si="30"/>
        <v>10000000</v>
      </c>
      <c r="O187" s="18">
        <f t="shared" si="31"/>
        <v>143662000000</v>
      </c>
      <c r="P187">
        <v>0</v>
      </c>
      <c r="Q187">
        <f t="shared" si="32"/>
        <v>0</v>
      </c>
    </row>
    <row r="188" spans="1:17" x14ac:dyDescent="0.25">
      <c r="A188" s="8">
        <v>156</v>
      </c>
      <c r="B188" s="9">
        <v>1</v>
      </c>
      <c r="C188" s="10">
        <f>MAX(0,MIN(INT(($D$10+SUM($N$33:N187)+SUM($P$33:P187))/$D$5*B188)-D187,IF($D$11&gt;G187,INT(($D$11-G187)/$D$5),0)-D187))</f>
        <v>5000</v>
      </c>
      <c r="D188" s="10">
        <f t="shared" si="33"/>
        <v>579500</v>
      </c>
      <c r="E188" s="10">
        <f t="shared" si="26"/>
        <v>2000</v>
      </c>
      <c r="F188" s="10">
        <f t="shared" si="34"/>
        <v>1159000000</v>
      </c>
      <c r="G188" s="10">
        <f t="shared" si="35"/>
        <v>72990000000</v>
      </c>
      <c r="H188" s="13">
        <f t="shared" si="36"/>
        <v>0</v>
      </c>
      <c r="I188" s="13">
        <f t="shared" si="27"/>
        <v>1159000000</v>
      </c>
      <c r="J188" s="13">
        <f t="shared" si="37"/>
        <v>84952859642.488373</v>
      </c>
      <c r="K188" s="13">
        <f t="shared" si="38"/>
        <v>278384915.75577539</v>
      </c>
      <c r="L188" s="11">
        <f t="shared" si="28"/>
        <v>0.58194862065000941</v>
      </c>
      <c r="M188" s="16">
        <f t="shared" si="29"/>
        <v>1.5878887518838196E-2</v>
      </c>
      <c r="N188" s="10">
        <f t="shared" si="30"/>
        <v>10000000</v>
      </c>
      <c r="O188" s="18">
        <f t="shared" si="31"/>
        <v>145980000000</v>
      </c>
      <c r="P188">
        <v>0</v>
      </c>
      <c r="Q188">
        <f t="shared" si="32"/>
        <v>0</v>
      </c>
    </row>
    <row r="189" spans="1:17" x14ac:dyDescent="0.25">
      <c r="A189" s="8">
        <v>157</v>
      </c>
      <c r="B189" s="9">
        <v>1</v>
      </c>
      <c r="C189" s="10">
        <f>MAX(0,MIN(INT(($D$10+SUM($N$33:N188)+SUM($P$33:P188))/$D$5*B189)-D188,IF($D$11&gt;G188,INT(($D$11-G188)/$D$5),0)-D188))</f>
        <v>5000</v>
      </c>
      <c r="D189" s="10">
        <f t="shared" si="33"/>
        <v>584500</v>
      </c>
      <c r="E189" s="10">
        <f t="shared" si="26"/>
        <v>2000</v>
      </c>
      <c r="F189" s="10">
        <f t="shared" si="34"/>
        <v>1169000000</v>
      </c>
      <c r="G189" s="10">
        <f t="shared" si="35"/>
        <v>74159000000</v>
      </c>
      <c r="H189" s="13">
        <f t="shared" si="36"/>
        <v>0</v>
      </c>
      <c r="I189" s="13">
        <f t="shared" si="27"/>
        <v>1169000000</v>
      </c>
      <c r="J189" s="13">
        <f t="shared" si="37"/>
        <v>86405035841.296661</v>
      </c>
      <c r="K189" s="13">
        <f t="shared" si="38"/>
        <v>283176198.80829459</v>
      </c>
      <c r="L189" s="11">
        <f t="shared" si="28"/>
        <v>0.58256607991812637</v>
      </c>
      <c r="M189" s="16">
        <f t="shared" si="29"/>
        <v>1.5763427230680024E-2</v>
      </c>
      <c r="N189" s="10">
        <f t="shared" si="30"/>
        <v>20000000</v>
      </c>
      <c r="O189" s="18">
        <f t="shared" si="31"/>
        <v>148318000000</v>
      </c>
      <c r="P189">
        <v>0</v>
      </c>
      <c r="Q189">
        <f t="shared" si="32"/>
        <v>0</v>
      </c>
    </row>
    <row r="190" spans="1:17" x14ac:dyDescent="0.25">
      <c r="A190" s="8">
        <v>158</v>
      </c>
      <c r="B190" s="9">
        <v>1</v>
      </c>
      <c r="C190" s="10">
        <f>MAX(0,MIN(INT(($D$10+SUM($N$33:N189)+SUM($P$33:P189))/$D$5*B190)-D189,IF($D$11&gt;G189,INT(($D$11-G189)/$D$5),0)-D189))</f>
        <v>10000</v>
      </c>
      <c r="D190" s="10">
        <f t="shared" si="33"/>
        <v>594500</v>
      </c>
      <c r="E190" s="10">
        <f t="shared" si="26"/>
        <v>2000</v>
      </c>
      <c r="F190" s="10">
        <f t="shared" si="34"/>
        <v>1189000000</v>
      </c>
      <c r="G190" s="10">
        <f t="shared" si="35"/>
        <v>75348000000</v>
      </c>
      <c r="H190" s="13">
        <f t="shared" si="36"/>
        <v>0</v>
      </c>
      <c r="I190" s="13">
        <f t="shared" si="27"/>
        <v>1189000000</v>
      </c>
      <c r="J190" s="13">
        <f t="shared" si="37"/>
        <v>87882052627.434311</v>
      </c>
      <c r="K190" s="13">
        <f t="shared" si="38"/>
        <v>288016786.13765556</v>
      </c>
      <c r="L190" s="11">
        <f t="shared" si="28"/>
        <v>0.58317442153364596</v>
      </c>
      <c r="M190" s="16">
        <f t="shared" si="29"/>
        <v>1.5780113606200564E-2</v>
      </c>
      <c r="N190" s="10">
        <f t="shared" si="30"/>
        <v>20000000</v>
      </c>
      <c r="O190" s="18">
        <f t="shared" si="31"/>
        <v>150696000000</v>
      </c>
      <c r="P190">
        <v>0</v>
      </c>
      <c r="Q190">
        <f t="shared" si="32"/>
        <v>0</v>
      </c>
    </row>
    <row r="191" spans="1:17" x14ac:dyDescent="0.25">
      <c r="A191" s="8">
        <v>159</v>
      </c>
      <c r="B191" s="9">
        <v>1</v>
      </c>
      <c r="C191" s="10">
        <f>MAX(0,MIN(INT(($D$10+SUM($N$33:N190)+SUM($P$33:P190))/$D$5*B191)-D190,IF($D$11&gt;G190,INT(($D$11-G190)/$D$5),0)-D190))</f>
        <v>10000</v>
      </c>
      <c r="D191" s="10">
        <f t="shared" si="33"/>
        <v>604500</v>
      </c>
      <c r="E191" s="10">
        <f t="shared" si="26"/>
        <v>2000</v>
      </c>
      <c r="F191" s="10">
        <f t="shared" si="34"/>
        <v>1209000000</v>
      </c>
      <c r="G191" s="10">
        <f t="shared" si="35"/>
        <v>76557000000</v>
      </c>
      <c r="H191" s="13">
        <f t="shared" si="36"/>
        <v>0</v>
      </c>
      <c r="I191" s="13">
        <f t="shared" si="27"/>
        <v>1209000000</v>
      </c>
      <c r="J191" s="13">
        <f t="shared" si="37"/>
        <v>89383992802.859085</v>
      </c>
      <c r="K191" s="13">
        <f t="shared" si="38"/>
        <v>292940175.42478108</v>
      </c>
      <c r="L191" s="11">
        <f t="shared" si="28"/>
        <v>0.58377413432383118</v>
      </c>
      <c r="M191" s="16">
        <f t="shared" si="29"/>
        <v>1.5792154865002548E-2</v>
      </c>
      <c r="N191" s="10">
        <f t="shared" si="30"/>
        <v>20000000</v>
      </c>
      <c r="O191" s="18">
        <f t="shared" si="31"/>
        <v>153114000000</v>
      </c>
      <c r="P191">
        <v>0</v>
      </c>
      <c r="Q191">
        <f t="shared" si="32"/>
        <v>0</v>
      </c>
    </row>
    <row r="192" spans="1:17" x14ac:dyDescent="0.25">
      <c r="A192" s="8">
        <v>160</v>
      </c>
      <c r="B192" s="9">
        <v>1</v>
      </c>
      <c r="C192" s="10">
        <f>MAX(0,MIN(INT(($D$10+SUM($N$33:N191)+SUM($P$33:P191))/$D$5*B192)-D191,IF($D$11&gt;G191,INT(($D$11-G191)/$D$5),0)-D191))</f>
        <v>10000</v>
      </c>
      <c r="D192" s="10">
        <f t="shared" si="33"/>
        <v>614500</v>
      </c>
      <c r="E192" s="10">
        <f t="shared" si="26"/>
        <v>2000</v>
      </c>
      <c r="F192" s="10">
        <f t="shared" si="34"/>
        <v>1229000000</v>
      </c>
      <c r="G192" s="10">
        <f t="shared" si="35"/>
        <v>77786000000</v>
      </c>
      <c r="H192" s="13">
        <f t="shared" si="36"/>
        <v>0</v>
      </c>
      <c r="I192" s="13">
        <f t="shared" si="27"/>
        <v>1229000000</v>
      </c>
      <c r="J192" s="13">
        <f t="shared" si="37"/>
        <v>90910939445.535278</v>
      </c>
      <c r="K192" s="13">
        <f t="shared" si="38"/>
        <v>297946642.67619699</v>
      </c>
      <c r="L192" s="11">
        <f t="shared" si="28"/>
        <v>0.58436569206242306</v>
      </c>
      <c r="M192" s="16">
        <f t="shared" si="29"/>
        <v>1.5799758311264237E-2</v>
      </c>
      <c r="N192" s="10">
        <f t="shared" si="30"/>
        <v>20000000</v>
      </c>
      <c r="O192" s="18">
        <f t="shared" si="31"/>
        <v>155572000000</v>
      </c>
      <c r="P192">
        <v>0</v>
      </c>
      <c r="Q192">
        <f t="shared" si="32"/>
        <v>0</v>
      </c>
    </row>
    <row r="193" spans="1:17" x14ac:dyDescent="0.25">
      <c r="A193" s="8">
        <v>161</v>
      </c>
      <c r="B193" s="9">
        <v>1</v>
      </c>
      <c r="C193" s="10">
        <f>MAX(0,MIN(INT(($D$10+SUM($N$33:N192)+SUM($P$33:P192))/$D$5*B193)-D192,IF($D$11&gt;G192,INT(($D$11-G192)/$D$5),0)-D192))</f>
        <v>10000</v>
      </c>
      <c r="D193" s="10">
        <f t="shared" si="33"/>
        <v>624500</v>
      </c>
      <c r="E193" s="10">
        <f t="shared" si="26"/>
        <v>2000</v>
      </c>
      <c r="F193" s="10">
        <f t="shared" si="34"/>
        <v>1249000000</v>
      </c>
      <c r="G193" s="10">
        <f t="shared" si="35"/>
        <v>79035000000</v>
      </c>
      <c r="H193" s="13">
        <f t="shared" si="36"/>
        <v>0</v>
      </c>
      <c r="I193" s="13">
        <f t="shared" si="27"/>
        <v>1249000000</v>
      </c>
      <c r="J193" s="13">
        <f t="shared" si="37"/>
        <v>92462975910.353729</v>
      </c>
      <c r="K193" s="13">
        <f t="shared" si="38"/>
        <v>303036464.81845093</v>
      </c>
      <c r="L193" s="11">
        <f t="shared" si="28"/>
        <v>0.58494955342793531</v>
      </c>
      <c r="M193" s="16">
        <f t="shared" si="29"/>
        <v>1.5803125197697224E-2</v>
      </c>
      <c r="N193" s="10">
        <f t="shared" si="30"/>
        <v>20000000</v>
      </c>
      <c r="O193" s="18">
        <f t="shared" si="31"/>
        <v>158070000000</v>
      </c>
      <c r="P193">
        <v>0</v>
      </c>
      <c r="Q193">
        <f t="shared" si="32"/>
        <v>0</v>
      </c>
    </row>
    <row r="194" spans="1:17" x14ac:dyDescent="0.25">
      <c r="A194" s="8">
        <v>162</v>
      </c>
      <c r="B194" s="9">
        <v>1</v>
      </c>
      <c r="C194" s="10">
        <f>MAX(0,MIN(INT(($D$10+SUM($N$33:N193)+SUM($P$33:P193))/$D$5*B194)-D193,IF($D$11&gt;G193,INT(($D$11-G193)/$D$5),0)-D193))</f>
        <v>10000</v>
      </c>
      <c r="D194" s="10">
        <f t="shared" si="33"/>
        <v>634500</v>
      </c>
      <c r="E194" s="10">
        <f t="shared" si="26"/>
        <v>2000</v>
      </c>
      <c r="F194" s="10">
        <f t="shared" si="34"/>
        <v>1269000000</v>
      </c>
      <c r="G194" s="10">
        <f t="shared" si="35"/>
        <v>80304000000</v>
      </c>
      <c r="H194" s="13">
        <f t="shared" si="36"/>
        <v>0</v>
      </c>
      <c r="I194" s="13">
        <f t="shared" si="27"/>
        <v>1269000000</v>
      </c>
      <c r="J194" s="13">
        <f t="shared" si="37"/>
        <v>94040185830.054901</v>
      </c>
      <c r="K194" s="13">
        <f t="shared" si="38"/>
        <v>308209919.70117915</v>
      </c>
      <c r="L194" s="11">
        <f t="shared" si="28"/>
        <v>0.5855261620221589</v>
      </c>
      <c r="M194" s="16">
        <f t="shared" si="29"/>
        <v>1.5802450687387927E-2</v>
      </c>
      <c r="N194" s="10">
        <f t="shared" si="30"/>
        <v>20000000</v>
      </c>
      <c r="O194" s="18">
        <f t="shared" si="31"/>
        <v>160608000000</v>
      </c>
      <c r="P194">
        <v>0</v>
      </c>
      <c r="Q194">
        <f t="shared" si="32"/>
        <v>0</v>
      </c>
    </row>
    <row r="195" spans="1:17" x14ac:dyDescent="0.25">
      <c r="A195" s="8">
        <v>163</v>
      </c>
      <c r="B195" s="9">
        <v>1</v>
      </c>
      <c r="C195" s="10">
        <f>MAX(0,MIN(INT(($D$10+SUM($N$33:N194)+SUM($P$33:P194))/$D$5*B195)-D194,IF($D$11&gt;G194,INT(($D$11-G194)/$D$5),0)-D194))</f>
        <v>10000</v>
      </c>
      <c r="D195" s="10">
        <f t="shared" si="33"/>
        <v>644500</v>
      </c>
      <c r="E195" s="10">
        <f t="shared" si="26"/>
        <v>2000</v>
      </c>
      <c r="F195" s="10">
        <f t="shared" si="34"/>
        <v>1289000000</v>
      </c>
      <c r="G195" s="10">
        <f t="shared" si="35"/>
        <v>81593000000</v>
      </c>
      <c r="H195" s="13">
        <f t="shared" si="36"/>
        <v>0</v>
      </c>
      <c r="I195" s="13">
        <f t="shared" si="27"/>
        <v>1289000000</v>
      </c>
      <c r="J195" s="13">
        <f t="shared" si="37"/>
        <v>95642653116.15509</v>
      </c>
      <c r="K195" s="13">
        <f t="shared" si="38"/>
        <v>313467286.10018301</v>
      </c>
      <c r="L195" s="11">
        <f t="shared" si="28"/>
        <v>0.58609594644243435</v>
      </c>
      <c r="M195" s="16">
        <f t="shared" si="29"/>
        <v>1.5797923841506013E-2</v>
      </c>
      <c r="N195" s="10">
        <f t="shared" si="30"/>
        <v>20000000</v>
      </c>
      <c r="O195" s="18">
        <f t="shared" si="31"/>
        <v>163186000000</v>
      </c>
      <c r="P195">
        <v>0</v>
      </c>
      <c r="Q195">
        <f t="shared" si="32"/>
        <v>0</v>
      </c>
    </row>
    <row r="196" spans="1:17" x14ac:dyDescent="0.25">
      <c r="A196" s="8">
        <v>164</v>
      </c>
      <c r="B196" s="9">
        <v>1</v>
      </c>
      <c r="C196" s="10">
        <f>MAX(0,MIN(INT(($D$10+SUM($N$33:N195)+SUM($P$33:P195))/$D$5*B196)-D195,IF($D$11&gt;G195,INT(($D$11-G195)/$D$5),0)-D195))</f>
        <v>10000</v>
      </c>
      <c r="D196" s="10">
        <f t="shared" si="33"/>
        <v>654500</v>
      </c>
      <c r="E196" s="10">
        <f t="shared" si="26"/>
        <v>2000</v>
      </c>
      <c r="F196" s="10">
        <f t="shared" si="34"/>
        <v>1309000000</v>
      </c>
      <c r="G196" s="10">
        <f t="shared" si="35"/>
        <v>82902000000</v>
      </c>
      <c r="H196" s="13">
        <f t="shared" si="36"/>
        <v>0</v>
      </c>
      <c r="I196" s="13">
        <f t="shared" si="27"/>
        <v>1309000000</v>
      </c>
      <c r="J196" s="13">
        <f t="shared" si="37"/>
        <v>97270461959.87561</v>
      </c>
      <c r="K196" s="13">
        <f t="shared" si="38"/>
        <v>318808843.72051698</v>
      </c>
      <c r="L196" s="11">
        <f t="shared" si="28"/>
        <v>0.58665932040165258</v>
      </c>
      <c r="M196" s="16">
        <f t="shared" si="29"/>
        <v>1.5789727630213989E-2</v>
      </c>
      <c r="N196" s="10">
        <f t="shared" si="30"/>
        <v>20000000</v>
      </c>
      <c r="O196" s="18">
        <f t="shared" si="31"/>
        <v>165804000000</v>
      </c>
      <c r="P196">
        <v>0</v>
      </c>
      <c r="Q196">
        <f t="shared" si="32"/>
        <v>0</v>
      </c>
    </row>
    <row r="197" spans="1:17" x14ac:dyDescent="0.25">
      <c r="A197" s="8">
        <v>165</v>
      </c>
      <c r="B197" s="9">
        <v>1</v>
      </c>
      <c r="C197" s="10">
        <f>MAX(0,MIN(INT(($D$10+SUM($N$33:N196)+SUM($P$33:P196))/$D$5*B197)-D196,IF($D$11&gt;G196,INT(($D$11-G196)/$D$5),0)-D196))</f>
        <v>10000</v>
      </c>
      <c r="D197" s="10">
        <f t="shared" si="33"/>
        <v>664500</v>
      </c>
      <c r="E197" s="10">
        <f t="shared" si="26"/>
        <v>2000</v>
      </c>
      <c r="F197" s="10">
        <f t="shared" si="34"/>
        <v>1329000000</v>
      </c>
      <c r="G197" s="10">
        <f t="shared" si="35"/>
        <v>84231000000</v>
      </c>
      <c r="H197" s="13">
        <f t="shared" si="36"/>
        <v>0</v>
      </c>
      <c r="I197" s="13">
        <f t="shared" si="27"/>
        <v>1329000000</v>
      </c>
      <c r="J197" s="13">
        <f t="shared" si="37"/>
        <v>98923696833.075195</v>
      </c>
      <c r="K197" s="13">
        <f t="shared" si="38"/>
        <v>324234873.19958538</v>
      </c>
      <c r="L197" s="11">
        <f t="shared" si="28"/>
        <v>0.58721668289035622</v>
      </c>
      <c r="M197" s="16">
        <f t="shared" si="29"/>
        <v>1.5778038964276809E-2</v>
      </c>
      <c r="N197" s="10">
        <f t="shared" si="30"/>
        <v>20000000</v>
      </c>
      <c r="O197" s="18">
        <f t="shared" si="31"/>
        <v>168462000000</v>
      </c>
      <c r="P197">
        <v>0</v>
      </c>
      <c r="Q197">
        <f t="shared" si="32"/>
        <v>0</v>
      </c>
    </row>
    <row r="198" spans="1:17" x14ac:dyDescent="0.25">
      <c r="A198" s="8">
        <v>166</v>
      </c>
      <c r="B198" s="9">
        <v>1</v>
      </c>
      <c r="C198" s="10">
        <f>MAX(0,MIN(INT(($D$10+SUM($N$33:N197)+SUM($P$33:P197))/$D$5*B198)-D197,IF($D$11&gt;G197,INT(($D$11-G197)/$D$5),0)-D197))</f>
        <v>10000</v>
      </c>
      <c r="D198" s="10">
        <f t="shared" si="33"/>
        <v>674500</v>
      </c>
      <c r="E198" s="10">
        <f t="shared" si="26"/>
        <v>2000</v>
      </c>
      <c r="F198" s="10">
        <f t="shared" si="34"/>
        <v>1349000000</v>
      </c>
      <c r="G198" s="10">
        <f t="shared" si="35"/>
        <v>85580000000</v>
      </c>
      <c r="H198" s="13">
        <f t="shared" si="36"/>
        <v>0</v>
      </c>
      <c r="I198" s="13">
        <f t="shared" si="27"/>
        <v>1349000000</v>
      </c>
      <c r="J198" s="13">
        <f t="shared" si="37"/>
        <v>100602442489.18544</v>
      </c>
      <c r="K198" s="13">
        <f t="shared" si="38"/>
        <v>329745656.11025065</v>
      </c>
      <c r="L198" s="11">
        <f t="shared" si="28"/>
        <v>0.58776841837570371</v>
      </c>
      <c r="M198" s="16">
        <f t="shared" si="29"/>
        <v>1.5763028745033887E-2</v>
      </c>
      <c r="N198" s="10">
        <f t="shared" si="30"/>
        <v>20000000</v>
      </c>
      <c r="O198" s="18">
        <f t="shared" si="31"/>
        <v>171160000000</v>
      </c>
      <c r="P198">
        <v>0</v>
      </c>
      <c r="Q198">
        <f t="shared" si="32"/>
        <v>0</v>
      </c>
    </row>
    <row r="199" spans="1:17" x14ac:dyDescent="0.25">
      <c r="A199" s="8">
        <v>167</v>
      </c>
      <c r="B199" s="9">
        <v>1</v>
      </c>
      <c r="C199" s="10">
        <f>MAX(0,MIN(INT(($D$10+SUM($N$33:N198)+SUM($P$33:P198))/$D$5*B199)-D198,IF($D$11&gt;G198,INT(($D$11-G198)/$D$5),0)-D198))</f>
        <v>10000</v>
      </c>
      <c r="D199" s="10">
        <f t="shared" si="33"/>
        <v>684500</v>
      </c>
      <c r="E199" s="10">
        <f t="shared" si="26"/>
        <v>2000</v>
      </c>
      <c r="F199" s="10">
        <f t="shared" si="34"/>
        <v>1369000000</v>
      </c>
      <c r="G199" s="10">
        <f t="shared" si="35"/>
        <v>86949000000</v>
      </c>
      <c r="H199" s="13">
        <f t="shared" si="36"/>
        <v>0</v>
      </c>
      <c r="I199" s="13">
        <f t="shared" si="27"/>
        <v>1369000000</v>
      </c>
      <c r="J199" s="13">
        <f t="shared" si="37"/>
        <v>102306783964.1494</v>
      </c>
      <c r="K199" s="13">
        <f t="shared" si="38"/>
        <v>335341474.96395147</v>
      </c>
      <c r="L199" s="11">
        <f t="shared" si="28"/>
        <v>0.58831489703245232</v>
      </c>
      <c r="M199" s="16">
        <f t="shared" si="29"/>
        <v>1.5744861930556991E-2</v>
      </c>
      <c r="N199" s="10">
        <f t="shared" si="30"/>
        <v>20000000</v>
      </c>
      <c r="O199" s="18">
        <f t="shared" si="31"/>
        <v>173898000000</v>
      </c>
      <c r="P199">
        <v>0</v>
      </c>
      <c r="Q199">
        <f t="shared" si="32"/>
        <v>0</v>
      </c>
    </row>
    <row r="200" spans="1:17" x14ac:dyDescent="0.25">
      <c r="A200" s="8">
        <v>168</v>
      </c>
      <c r="B200" s="9">
        <v>1</v>
      </c>
      <c r="C200" s="10">
        <f>MAX(0,MIN(INT(($D$10+SUM($N$33:N199)+SUM($P$33:P199))/$D$5*B200)-D199,IF($D$11&gt;G199,INT(($D$11-G199)/$D$5),0)-D199))</f>
        <v>10000</v>
      </c>
      <c r="D200" s="10">
        <f t="shared" si="33"/>
        <v>694500</v>
      </c>
      <c r="E200" s="10">
        <f t="shared" si="26"/>
        <v>2000</v>
      </c>
      <c r="F200" s="10">
        <f t="shared" si="34"/>
        <v>1389000000</v>
      </c>
      <c r="G200" s="10">
        <f t="shared" si="35"/>
        <v>88338000000</v>
      </c>
      <c r="H200" s="13">
        <f t="shared" si="36"/>
        <v>0</v>
      </c>
      <c r="I200" s="13">
        <f t="shared" si="27"/>
        <v>1389000000</v>
      </c>
      <c r="J200" s="13">
        <f t="shared" si="37"/>
        <v>104036806577.36324</v>
      </c>
      <c r="K200" s="13">
        <f t="shared" si="38"/>
        <v>341022613.21383137</v>
      </c>
      <c r="L200" s="11">
        <f t="shared" si="28"/>
        <v>0.58885647500148997</v>
      </c>
      <c r="M200" s="16">
        <f t="shared" si="29"/>
        <v>1.5723697615975005E-2</v>
      </c>
      <c r="N200" s="10">
        <f t="shared" si="30"/>
        <v>20000000</v>
      </c>
      <c r="O200" s="18">
        <f t="shared" si="31"/>
        <v>176676000000</v>
      </c>
      <c r="P200">
        <v>0</v>
      </c>
      <c r="Q200">
        <f t="shared" si="32"/>
        <v>0</v>
      </c>
    </row>
    <row r="201" spans="1:17" x14ac:dyDescent="0.25">
      <c r="A201" s="8">
        <v>169</v>
      </c>
      <c r="B201" s="9">
        <v>1</v>
      </c>
      <c r="C201" s="10">
        <f>MAX(0,MIN(INT(($D$10+SUM($N$33:N200)+SUM($P$33:P200))/$D$5*B201)-D200,IF($D$11&gt;G200,INT(($D$11-G200)/$D$5),0)-D200))</f>
        <v>10000</v>
      </c>
      <c r="D201" s="10">
        <f t="shared" si="33"/>
        <v>704500</v>
      </c>
      <c r="E201" s="10">
        <f t="shared" si="26"/>
        <v>2000</v>
      </c>
      <c r="F201" s="10">
        <f t="shared" si="34"/>
        <v>1409000000</v>
      </c>
      <c r="G201" s="10">
        <f t="shared" si="35"/>
        <v>89747000000</v>
      </c>
      <c r="H201" s="13">
        <f t="shared" si="36"/>
        <v>0</v>
      </c>
      <c r="I201" s="13">
        <f t="shared" si="27"/>
        <v>1409000000</v>
      </c>
      <c r="J201" s="13">
        <f t="shared" si="37"/>
        <v>105792595932.62111</v>
      </c>
      <c r="K201" s="13">
        <f t="shared" si="38"/>
        <v>346789355.25787747</v>
      </c>
      <c r="L201" s="11">
        <f t="shared" si="28"/>
        <v>0.5893934946718058</v>
      </c>
      <c r="M201" s="16">
        <f t="shared" si="29"/>
        <v>1.5699689126098922E-2</v>
      </c>
      <c r="N201" s="10">
        <f t="shared" si="30"/>
        <v>20000000</v>
      </c>
      <c r="O201" s="18">
        <f t="shared" si="31"/>
        <v>179494000000</v>
      </c>
      <c r="P201">
        <v>0</v>
      </c>
      <c r="Q201">
        <f t="shared" si="32"/>
        <v>0</v>
      </c>
    </row>
    <row r="202" spans="1:17" x14ac:dyDescent="0.25">
      <c r="A202" s="8">
        <v>170</v>
      </c>
      <c r="B202" s="9">
        <v>1</v>
      </c>
      <c r="C202" s="10">
        <f>MAX(0,MIN(INT(($D$10+SUM($N$33:N201)+SUM($P$33:P201))/$D$5*B202)-D201,IF($D$11&gt;G201,INT(($D$11-G201)/$D$5),0)-D201))</f>
        <v>10000</v>
      </c>
      <c r="D202" s="10">
        <f t="shared" si="33"/>
        <v>714500</v>
      </c>
      <c r="E202" s="10">
        <f t="shared" si="26"/>
        <v>2000</v>
      </c>
      <c r="F202" s="10">
        <f t="shared" si="34"/>
        <v>1429000000</v>
      </c>
      <c r="G202" s="10">
        <f t="shared" si="35"/>
        <v>91176000000</v>
      </c>
      <c r="H202" s="13">
        <f t="shared" si="36"/>
        <v>0</v>
      </c>
      <c r="I202" s="13">
        <f t="shared" si="27"/>
        <v>1429000000</v>
      </c>
      <c r="J202" s="13">
        <f t="shared" si="37"/>
        <v>107574237919.06319</v>
      </c>
      <c r="K202" s="13">
        <f t="shared" si="38"/>
        <v>352641986.44207036</v>
      </c>
      <c r="L202" s="11">
        <f t="shared" si="28"/>
        <v>0.58992628498213995</v>
      </c>
      <c r="M202" s="16">
        <f t="shared" si="29"/>
        <v>1.5672984118627709E-2</v>
      </c>
      <c r="N202" s="10">
        <f t="shared" si="30"/>
        <v>20000000</v>
      </c>
      <c r="O202" s="18">
        <f t="shared" si="31"/>
        <v>182352000000</v>
      </c>
      <c r="P202">
        <v>0</v>
      </c>
      <c r="Q202">
        <f t="shared" si="32"/>
        <v>0</v>
      </c>
    </row>
    <row r="203" spans="1:17" x14ac:dyDescent="0.25">
      <c r="A203" s="8">
        <v>171</v>
      </c>
      <c r="B203" s="9">
        <v>1</v>
      </c>
      <c r="C203" s="10">
        <f>MAX(0,MIN(INT(($D$10+SUM($N$33:N202)+SUM($P$33:P202))/$D$5*B203)-D202,IF($D$11&gt;G202,INT(($D$11-G202)/$D$5),0)-D202))</f>
        <v>10000</v>
      </c>
      <c r="D203" s="10">
        <f t="shared" si="33"/>
        <v>724500</v>
      </c>
      <c r="E203" s="10">
        <f t="shared" si="26"/>
        <v>2000</v>
      </c>
      <c r="F203" s="10">
        <f t="shared" si="34"/>
        <v>1449000000</v>
      </c>
      <c r="G203" s="10">
        <f t="shared" si="35"/>
        <v>92625000000</v>
      </c>
      <c r="H203" s="13">
        <f t="shared" si="36"/>
        <v>0</v>
      </c>
      <c r="I203" s="13">
        <f t="shared" si="27"/>
        <v>1449000000</v>
      </c>
      <c r="J203" s="13">
        <f t="shared" si="37"/>
        <v>109381818712.12672</v>
      </c>
      <c r="K203" s="13">
        <f t="shared" si="38"/>
        <v>358580793.06354398</v>
      </c>
      <c r="L203" s="11">
        <f t="shared" si="28"/>
        <v>0.59045516173887569</v>
      </c>
      <c r="M203" s="16">
        <f t="shared" si="29"/>
        <v>1.5643724696356276E-2</v>
      </c>
      <c r="N203" s="10">
        <f t="shared" si="30"/>
        <v>20000000</v>
      </c>
      <c r="O203" s="18">
        <f t="shared" si="31"/>
        <v>185250000000</v>
      </c>
      <c r="P203">
        <v>0</v>
      </c>
      <c r="Q203">
        <f t="shared" si="32"/>
        <v>0</v>
      </c>
    </row>
    <row r="204" spans="1:17" x14ac:dyDescent="0.25">
      <c r="A204" s="8">
        <v>172</v>
      </c>
      <c r="B204" s="9">
        <v>1</v>
      </c>
      <c r="C204" s="10">
        <f>MAX(0,MIN(INT(($D$10+SUM($N$33:N203)+SUM($P$33:P203))/$D$5*B204)-D203,IF($D$11&gt;G203,INT(($D$11-G203)/$D$5),0)-D203))</f>
        <v>10000</v>
      </c>
      <c r="D204" s="10">
        <f t="shared" si="33"/>
        <v>734500</v>
      </c>
      <c r="E204" s="10">
        <f t="shared" si="26"/>
        <v>2000</v>
      </c>
      <c r="F204" s="10">
        <f t="shared" si="34"/>
        <v>1469000000</v>
      </c>
      <c r="G204" s="10">
        <f t="shared" si="35"/>
        <v>94094000000</v>
      </c>
      <c r="H204" s="13">
        <f t="shared" si="36"/>
        <v>0</v>
      </c>
      <c r="I204" s="13">
        <f t="shared" si="27"/>
        <v>1469000000</v>
      </c>
      <c r="J204" s="13">
        <f t="shared" si="37"/>
        <v>111215424774.50047</v>
      </c>
      <c r="K204" s="13">
        <f t="shared" si="38"/>
        <v>364606062.37375575</v>
      </c>
      <c r="L204" s="11">
        <f t="shared" si="28"/>
        <v>0.59098042794705541</v>
      </c>
      <c r="M204" s="16">
        <f t="shared" si="29"/>
        <v>1.5612047526941144E-2</v>
      </c>
      <c r="N204" s="10">
        <f t="shared" si="30"/>
        <v>20000000</v>
      </c>
      <c r="O204" s="18">
        <f t="shared" si="31"/>
        <v>188188000000</v>
      </c>
      <c r="P204">
        <v>0</v>
      </c>
      <c r="Q204">
        <f t="shared" si="32"/>
        <v>0</v>
      </c>
    </row>
    <row r="205" spans="1:17" x14ac:dyDescent="0.25">
      <c r="A205" s="8">
        <v>173</v>
      </c>
      <c r="B205" s="9">
        <v>1</v>
      </c>
      <c r="C205" s="10">
        <f>MAX(0,MIN(INT(($D$10+SUM($N$33:N204)+SUM($P$33:P204))/$D$5*B205)-D204,IF($D$11&gt;G204,INT(($D$11-G204)/$D$5),0)-D204))</f>
        <v>10000</v>
      </c>
      <c r="D205" s="10">
        <f t="shared" si="33"/>
        <v>744500</v>
      </c>
      <c r="E205" s="10">
        <f t="shared" si="26"/>
        <v>2000</v>
      </c>
      <c r="F205" s="10">
        <f t="shared" si="34"/>
        <v>1489000000</v>
      </c>
      <c r="G205" s="10">
        <f t="shared" si="35"/>
        <v>95583000000</v>
      </c>
      <c r="H205" s="13">
        <f t="shared" si="36"/>
        <v>0</v>
      </c>
      <c r="I205" s="13">
        <f t="shared" si="27"/>
        <v>1489000000</v>
      </c>
      <c r="J205" s="13">
        <f t="shared" si="37"/>
        <v>113075142857.08214</v>
      </c>
      <c r="K205" s="13">
        <f t="shared" si="38"/>
        <v>370718082.58166826</v>
      </c>
      <c r="L205" s="11">
        <f t="shared" si="28"/>
        <v>0.59150237415169082</v>
      </c>
      <c r="M205" s="16">
        <f t="shared" si="29"/>
        <v>1.5578083968906606E-2</v>
      </c>
      <c r="N205" s="10">
        <f t="shared" si="30"/>
        <v>20000000</v>
      </c>
      <c r="O205" s="18">
        <f t="shared" si="31"/>
        <v>191166000000</v>
      </c>
      <c r="P205">
        <v>0</v>
      </c>
      <c r="Q205">
        <f t="shared" si="32"/>
        <v>0</v>
      </c>
    </row>
    <row r="206" spans="1:17" x14ac:dyDescent="0.25">
      <c r="A206" s="8">
        <v>174</v>
      </c>
      <c r="B206" s="9">
        <v>1</v>
      </c>
      <c r="C206" s="10">
        <f>MAX(0,MIN(INT(($D$10+SUM($N$33:N205)+SUM($P$33:P205))/$D$5*B206)-D205,IF($D$11&gt;G205,INT(($D$11-G205)/$D$5),0)-D205))</f>
        <v>10000</v>
      </c>
      <c r="D206" s="10">
        <f t="shared" si="33"/>
        <v>754500</v>
      </c>
      <c r="E206" s="10">
        <f t="shared" si="26"/>
        <v>2000</v>
      </c>
      <c r="F206" s="10">
        <f t="shared" si="34"/>
        <v>1509000000</v>
      </c>
      <c r="G206" s="10">
        <f t="shared" si="35"/>
        <v>97092000000</v>
      </c>
      <c r="H206" s="13">
        <f t="shared" si="36"/>
        <v>0</v>
      </c>
      <c r="I206" s="13">
        <f t="shared" si="27"/>
        <v>1509000000</v>
      </c>
      <c r="J206" s="13">
        <f t="shared" si="37"/>
        <v>114961059999.93907</v>
      </c>
      <c r="K206" s="13">
        <f t="shared" si="38"/>
        <v>376917142.85694051</v>
      </c>
      <c r="L206" s="11">
        <f t="shared" si="28"/>
        <v>0.59202127878681599</v>
      </c>
      <c r="M206" s="16">
        <f t="shared" si="29"/>
        <v>1.5541960202694351E-2</v>
      </c>
      <c r="N206" s="10">
        <f t="shared" si="30"/>
        <v>20000000</v>
      </c>
      <c r="O206" s="18">
        <f t="shared" si="31"/>
        <v>194184000000</v>
      </c>
      <c r="P206">
        <v>0</v>
      </c>
      <c r="Q206">
        <f t="shared" si="32"/>
        <v>0</v>
      </c>
    </row>
    <row r="207" spans="1:17" x14ac:dyDescent="0.25">
      <c r="A207" s="8">
        <v>175</v>
      </c>
      <c r="B207" s="9">
        <v>1</v>
      </c>
      <c r="C207" s="10">
        <f>MAX(0,MIN(INT(($D$10+SUM($N$33:N206)+SUM($P$33:P206))/$D$5*B207)-D206,IF($D$11&gt;G206,INT(($D$11-G206)/$D$5),0)-D206))</f>
        <v>10000</v>
      </c>
      <c r="D207" s="10">
        <f t="shared" si="33"/>
        <v>764500</v>
      </c>
      <c r="E207" s="10">
        <f t="shared" si="26"/>
        <v>2000</v>
      </c>
      <c r="F207" s="10">
        <f t="shared" si="34"/>
        <v>1529000000</v>
      </c>
      <c r="G207" s="10">
        <f t="shared" si="35"/>
        <v>98621000000</v>
      </c>
      <c r="H207" s="13">
        <f t="shared" si="36"/>
        <v>0</v>
      </c>
      <c r="I207" s="13">
        <f t="shared" si="27"/>
        <v>1529000000</v>
      </c>
      <c r="J207" s="13">
        <f t="shared" si="37"/>
        <v>116873263533.2722</v>
      </c>
      <c r="K207" s="13">
        <f t="shared" si="38"/>
        <v>383203533.33313024</v>
      </c>
      <c r="L207" s="11">
        <f t="shared" si="28"/>
        <v>0.5925374085299896</v>
      </c>
      <c r="M207" s="16">
        <f t="shared" si="29"/>
        <v>1.5503797365672626E-2</v>
      </c>
      <c r="N207" s="10">
        <f t="shared" si="30"/>
        <v>20000000</v>
      </c>
      <c r="O207" s="18">
        <f t="shared" si="31"/>
        <v>197242000000</v>
      </c>
      <c r="P207">
        <v>0</v>
      </c>
      <c r="Q207">
        <f t="shared" si="32"/>
        <v>0</v>
      </c>
    </row>
    <row r="208" spans="1:17" x14ac:dyDescent="0.25">
      <c r="A208" s="8">
        <v>176</v>
      </c>
      <c r="B208" s="9">
        <v>1</v>
      </c>
      <c r="C208" s="10">
        <f>MAX(0,MIN(INT(($D$10+SUM($N$33:N207)+SUM($P$33:P207))/$D$5*B208)-D207,IF($D$11&gt;G207,INT(($D$11-G207)/$D$5),0)-D207))</f>
        <v>10000</v>
      </c>
      <c r="D208" s="10">
        <f t="shared" si="33"/>
        <v>774500</v>
      </c>
      <c r="E208" s="10">
        <f t="shared" si="26"/>
        <v>2000</v>
      </c>
      <c r="F208" s="10">
        <f t="shared" si="34"/>
        <v>1549000000</v>
      </c>
      <c r="G208" s="10">
        <f t="shared" si="35"/>
        <v>100170000000</v>
      </c>
      <c r="H208" s="13">
        <f t="shared" si="36"/>
        <v>0</v>
      </c>
      <c r="I208" s="13">
        <f t="shared" si="27"/>
        <v>1549000000</v>
      </c>
      <c r="J208" s="13">
        <f t="shared" si="37"/>
        <v>118811841078.3831</v>
      </c>
      <c r="K208" s="13">
        <f t="shared" si="38"/>
        <v>389577545.11090738</v>
      </c>
      <c r="L208" s="11">
        <f t="shared" si="28"/>
        <v>0.59305101866019316</v>
      </c>
      <c r="M208" s="16">
        <f t="shared" si="29"/>
        <v>1.5463711690126784E-2</v>
      </c>
      <c r="N208" s="10">
        <f t="shared" si="30"/>
        <v>20000000</v>
      </c>
      <c r="O208" s="18">
        <f t="shared" si="31"/>
        <v>200340000000</v>
      </c>
      <c r="P208">
        <v>0</v>
      </c>
      <c r="Q208">
        <f t="shared" si="32"/>
        <v>0</v>
      </c>
    </row>
    <row r="209" spans="1:17" x14ac:dyDescent="0.25">
      <c r="A209" s="8">
        <v>177</v>
      </c>
      <c r="B209" s="9">
        <v>1</v>
      </c>
      <c r="C209" s="10">
        <f>MAX(0,MIN(INT(($D$10+SUM($N$33:N208)+SUM($P$33:P208))/$D$5*B209)-D208,IF($D$11&gt;G208,INT(($D$11-G208)/$D$5),0)-D208))</f>
        <v>10000</v>
      </c>
      <c r="D209" s="10">
        <f t="shared" si="33"/>
        <v>784500</v>
      </c>
      <c r="E209" s="10">
        <f t="shared" si="26"/>
        <v>2000</v>
      </c>
      <c r="F209" s="10">
        <f t="shared" si="34"/>
        <v>1569000000</v>
      </c>
      <c r="G209" s="10">
        <f t="shared" si="35"/>
        <v>101739000000</v>
      </c>
      <c r="H209" s="13">
        <f t="shared" si="36"/>
        <v>0</v>
      </c>
      <c r="I209" s="13">
        <f t="shared" si="27"/>
        <v>1569000000</v>
      </c>
      <c r="J209" s="13">
        <f t="shared" si="37"/>
        <v>120776880548.64438</v>
      </c>
      <c r="K209" s="13">
        <f t="shared" si="38"/>
        <v>396039470.26127702</v>
      </c>
      <c r="L209" s="11">
        <f t="shared" si="28"/>
        <v>0.59356235341729513</v>
      </c>
      <c r="M209" s="16">
        <f t="shared" si="29"/>
        <v>1.5421814643352107E-2</v>
      </c>
      <c r="N209" s="10">
        <f t="shared" si="30"/>
        <v>20000000</v>
      </c>
      <c r="O209" s="18">
        <f t="shared" si="31"/>
        <v>203478000000</v>
      </c>
      <c r="P209">
        <v>0</v>
      </c>
      <c r="Q209">
        <f t="shared" si="32"/>
        <v>0</v>
      </c>
    </row>
    <row r="210" spans="1:17" x14ac:dyDescent="0.25">
      <c r="A210" s="8">
        <v>178</v>
      </c>
      <c r="B210" s="9">
        <v>1</v>
      </c>
      <c r="C210" s="10">
        <f>MAX(0,MIN(INT(($D$10+SUM($N$33:N209)+SUM($P$33:P209))/$D$5*B210)-D209,IF($D$11&gt;G209,INT(($D$11-G209)/$D$5),0)-D209))</f>
        <v>10000</v>
      </c>
      <c r="D210" s="10">
        <f t="shared" si="33"/>
        <v>794500</v>
      </c>
      <c r="E210" s="10">
        <f t="shared" si="26"/>
        <v>2000</v>
      </c>
      <c r="F210" s="10">
        <f t="shared" si="34"/>
        <v>1589000000</v>
      </c>
      <c r="G210" s="10">
        <f t="shared" si="35"/>
        <v>103328000000</v>
      </c>
      <c r="H210" s="13">
        <f t="shared" si="36"/>
        <v>0</v>
      </c>
      <c r="I210" s="13">
        <f t="shared" si="27"/>
        <v>1589000000</v>
      </c>
      <c r="J210" s="13">
        <f t="shared" si="37"/>
        <v>122768470150.47319</v>
      </c>
      <c r="K210" s="13">
        <f t="shared" si="38"/>
        <v>402589601.82881463</v>
      </c>
      <c r="L210" s="11">
        <f t="shared" si="28"/>
        <v>0.59407164636145671</v>
      </c>
      <c r="M210" s="16">
        <f t="shared" si="29"/>
        <v>1.537821306906163E-2</v>
      </c>
      <c r="N210" s="10">
        <f t="shared" si="30"/>
        <v>20000000</v>
      </c>
      <c r="O210" s="18">
        <f t="shared" si="31"/>
        <v>206656000000</v>
      </c>
      <c r="P210">
        <v>0</v>
      </c>
      <c r="Q210">
        <f t="shared" si="32"/>
        <v>0</v>
      </c>
    </row>
    <row r="211" spans="1:17" x14ac:dyDescent="0.25">
      <c r="A211" s="8">
        <v>179</v>
      </c>
      <c r="B211" s="9">
        <v>1</v>
      </c>
      <c r="C211" s="10">
        <f>MAX(0,MIN(INT(($D$10+SUM($N$33:N210)+SUM($P$33:P210))/$D$5*B211)-D210,IF($D$11&gt;G210,INT(($D$11-G210)/$D$5),0)-D210))</f>
        <v>10000</v>
      </c>
      <c r="D211" s="10">
        <f t="shared" si="33"/>
        <v>804500</v>
      </c>
      <c r="E211" s="10">
        <f t="shared" si="26"/>
        <v>2000</v>
      </c>
      <c r="F211" s="10">
        <f t="shared" si="34"/>
        <v>1609000000</v>
      </c>
      <c r="G211" s="10">
        <f t="shared" si="35"/>
        <v>104937000000</v>
      </c>
      <c r="H211" s="13">
        <f t="shared" si="36"/>
        <v>0</v>
      </c>
      <c r="I211" s="13">
        <f t="shared" si="27"/>
        <v>1609000000</v>
      </c>
      <c r="J211" s="13">
        <f t="shared" si="37"/>
        <v>124786698384.30811</v>
      </c>
      <c r="K211" s="13">
        <f t="shared" si="38"/>
        <v>409228233.83491063</v>
      </c>
      <c r="L211" s="11">
        <f t="shared" si="28"/>
        <v>0.59457912073104868</v>
      </c>
      <c r="M211" s="16">
        <f t="shared" si="29"/>
        <v>1.5333009329407168E-2</v>
      </c>
      <c r="N211" s="10">
        <f t="shared" si="30"/>
        <v>20000000</v>
      </c>
      <c r="O211" s="18">
        <f t="shared" si="31"/>
        <v>209874000000</v>
      </c>
      <c r="P211">
        <v>0</v>
      </c>
      <c r="Q211">
        <f t="shared" si="32"/>
        <v>0</v>
      </c>
    </row>
    <row r="212" spans="1:17" x14ac:dyDescent="0.25">
      <c r="A212" s="8">
        <v>180</v>
      </c>
      <c r="B212" s="9">
        <v>1</v>
      </c>
      <c r="C212" s="10">
        <f>MAX(0,MIN(INT(($D$10+SUM($N$33:N211)+SUM($P$33:P211))/$D$5*B212)-D211,IF($D$11&gt;G211,INT(($D$11-G211)/$D$5),0)-D211))</f>
        <v>10000</v>
      </c>
      <c r="D212" s="10">
        <f t="shared" si="33"/>
        <v>814500</v>
      </c>
      <c r="E212" s="10">
        <f t="shared" si="26"/>
        <v>2000</v>
      </c>
      <c r="F212" s="10">
        <f t="shared" si="34"/>
        <v>1629000000</v>
      </c>
      <c r="G212" s="10">
        <f t="shared" si="35"/>
        <v>106566000000</v>
      </c>
      <c r="H212" s="13">
        <f t="shared" si="36"/>
        <v>0</v>
      </c>
      <c r="I212" s="13">
        <f t="shared" si="27"/>
        <v>1629000000</v>
      </c>
      <c r="J212" s="13">
        <f t="shared" si="37"/>
        <v>126831654045.58913</v>
      </c>
      <c r="K212" s="13">
        <f t="shared" si="38"/>
        <v>415955661.28102702</v>
      </c>
      <c r="L212" s="11">
        <f t="shared" si="28"/>
        <v>0.59508498979782076</v>
      </c>
      <c r="M212" s="16">
        <f t="shared" si="29"/>
        <v>1.5286301446990598E-2</v>
      </c>
      <c r="N212" s="10">
        <f t="shared" si="30"/>
        <v>20000000</v>
      </c>
      <c r="O212" s="18">
        <f t="shared" si="31"/>
        <v>213132000000</v>
      </c>
      <c r="P212">
        <v>0</v>
      </c>
      <c r="Q212">
        <f t="shared" si="32"/>
        <v>0</v>
      </c>
    </row>
    <row r="213" spans="1:17" x14ac:dyDescent="0.25">
      <c r="A213" s="8">
        <v>181</v>
      </c>
      <c r="B213" s="9">
        <v>1</v>
      </c>
      <c r="C213" s="10">
        <f>MAX(0,MIN(INT(($D$10+SUM($N$33:N212)+SUM($P$33:P212))/$D$5*B213)-D212,IF($D$11&gt;G212,INT(($D$11-G212)/$D$5),0)-D212))</f>
        <v>10000</v>
      </c>
      <c r="D213" s="10">
        <f t="shared" si="33"/>
        <v>824500</v>
      </c>
      <c r="E213" s="10">
        <f t="shared" si="26"/>
        <v>2000</v>
      </c>
      <c r="F213" s="10">
        <f t="shared" si="34"/>
        <v>1649000000</v>
      </c>
      <c r="G213" s="10">
        <f t="shared" si="35"/>
        <v>108215000000</v>
      </c>
      <c r="H213" s="13">
        <f t="shared" si="36"/>
        <v>0</v>
      </c>
      <c r="I213" s="13">
        <f t="shared" si="27"/>
        <v>1649000000</v>
      </c>
      <c r="J213" s="13">
        <f t="shared" si="37"/>
        <v>128903426225.74109</v>
      </c>
      <c r="K213" s="13">
        <f t="shared" si="38"/>
        <v>422772180.15196377</v>
      </c>
      <c r="L213" s="11">
        <f t="shared" si="28"/>
        <v>0.59558945721822798</v>
      </c>
      <c r="M213" s="16">
        <f t="shared" si="29"/>
        <v>1.5238183246315205E-2</v>
      </c>
      <c r="N213" s="10">
        <f t="shared" si="30"/>
        <v>20000000</v>
      </c>
      <c r="O213" s="18">
        <f t="shared" si="31"/>
        <v>216430000000</v>
      </c>
      <c r="P213">
        <v>0</v>
      </c>
      <c r="Q213">
        <f t="shared" si="32"/>
        <v>0</v>
      </c>
    </row>
    <row r="214" spans="1:17" x14ac:dyDescent="0.25">
      <c r="A214" s="8">
        <v>182</v>
      </c>
      <c r="B214" s="9">
        <v>1</v>
      </c>
      <c r="C214" s="10">
        <f>MAX(0,MIN(INT(($D$10+SUM($N$33:N213)+SUM($P$33:P213))/$D$5*B214)-D213,IF($D$11&gt;G213,INT(($D$11-G213)/$D$5),0)-D213))</f>
        <v>10000</v>
      </c>
      <c r="D214" s="10">
        <f t="shared" si="33"/>
        <v>834500</v>
      </c>
      <c r="E214" s="10">
        <f t="shared" si="26"/>
        <v>2000</v>
      </c>
      <c r="F214" s="10">
        <f t="shared" si="34"/>
        <v>1669000000</v>
      </c>
      <c r="G214" s="10">
        <f t="shared" si="35"/>
        <v>109884000000</v>
      </c>
      <c r="H214" s="13">
        <f t="shared" si="36"/>
        <v>0</v>
      </c>
      <c r="I214" s="13">
        <f t="shared" si="27"/>
        <v>1669000000</v>
      </c>
      <c r="J214" s="13">
        <f t="shared" si="37"/>
        <v>131002104313.16023</v>
      </c>
      <c r="K214" s="13">
        <f t="shared" si="38"/>
        <v>429678087.419137</v>
      </c>
      <c r="L214" s="11">
        <f t="shared" si="28"/>
        <v>0.59609271737996539</v>
      </c>
      <c r="M214" s="16">
        <f t="shared" si="29"/>
        <v>1.5188744494193877E-2</v>
      </c>
      <c r="N214" s="10">
        <f t="shared" si="30"/>
        <v>20000000</v>
      </c>
      <c r="O214" s="18">
        <f t="shared" si="31"/>
        <v>219768000000</v>
      </c>
      <c r="P214">
        <v>0</v>
      </c>
      <c r="Q214">
        <f t="shared" si="32"/>
        <v>0</v>
      </c>
    </row>
    <row r="215" spans="1:17" x14ac:dyDescent="0.25">
      <c r="A215" s="8">
        <v>183</v>
      </c>
      <c r="B215" s="9">
        <v>1</v>
      </c>
      <c r="C215" s="10">
        <f>MAX(0,MIN(INT(($D$10+SUM($N$33:N214)+SUM($P$33:P214))/$D$5*B215)-D214,IF($D$11&gt;G214,INT(($D$11-G214)/$D$5),0)-D214))</f>
        <v>10000</v>
      </c>
      <c r="D215" s="10">
        <f t="shared" si="33"/>
        <v>844500</v>
      </c>
      <c r="E215" s="10">
        <f t="shared" si="26"/>
        <v>2000</v>
      </c>
      <c r="F215" s="10">
        <f t="shared" si="34"/>
        <v>1689000000</v>
      </c>
      <c r="G215" s="10">
        <f t="shared" si="35"/>
        <v>111573000000</v>
      </c>
      <c r="H215" s="13">
        <f t="shared" si="36"/>
        <v>0</v>
      </c>
      <c r="I215" s="13">
        <f t="shared" si="27"/>
        <v>1689000000</v>
      </c>
      <c r="J215" s="13">
        <f t="shared" si="37"/>
        <v>133127777994.2041</v>
      </c>
      <c r="K215" s="13">
        <f t="shared" si="38"/>
        <v>436673681.04386747</v>
      </c>
      <c r="L215" s="11">
        <f t="shared" si="28"/>
        <v>0.59659495574289523</v>
      </c>
      <c r="M215" s="16">
        <f t="shared" si="29"/>
        <v>1.5138071038692157E-2</v>
      </c>
      <c r="N215" s="10">
        <f t="shared" si="30"/>
        <v>20000000</v>
      </c>
      <c r="O215" s="18">
        <f t="shared" si="31"/>
        <v>223146000000</v>
      </c>
      <c r="P215">
        <v>0</v>
      </c>
      <c r="Q215">
        <f t="shared" si="32"/>
        <v>0</v>
      </c>
    </row>
    <row r="216" spans="1:17" x14ac:dyDescent="0.25">
      <c r="A216" s="8">
        <v>184</v>
      </c>
      <c r="B216" s="9">
        <v>1</v>
      </c>
      <c r="C216" s="10">
        <f>MAX(0,MIN(INT(($D$10+SUM($N$33:N215)+SUM($P$33:P215))/$D$5*B216)-D215,IF($D$11&gt;G215,INT(($D$11-G215)/$D$5),0)-D215))</f>
        <v>10000</v>
      </c>
      <c r="D216" s="10">
        <f t="shared" si="33"/>
        <v>854500</v>
      </c>
      <c r="E216" s="10">
        <f t="shared" si="26"/>
        <v>2000</v>
      </c>
      <c r="F216" s="10">
        <f t="shared" si="34"/>
        <v>1709000000</v>
      </c>
      <c r="G216" s="10">
        <f t="shared" si="35"/>
        <v>113282000000</v>
      </c>
      <c r="H216" s="13">
        <f t="shared" si="36"/>
        <v>0</v>
      </c>
      <c r="I216" s="13">
        <f t="shared" si="27"/>
        <v>1709000000</v>
      </c>
      <c r="J216" s="13">
        <f t="shared" si="37"/>
        <v>135280537254.18478</v>
      </c>
      <c r="K216" s="13">
        <f t="shared" si="38"/>
        <v>443759259.98068035</v>
      </c>
      <c r="L216" s="11">
        <f t="shared" si="28"/>
        <v>0.59709634917367627</v>
      </c>
      <c r="M216" s="16">
        <f t="shared" si="29"/>
        <v>1.5086244946240356E-2</v>
      </c>
      <c r="N216" s="10">
        <f t="shared" si="30"/>
        <v>20000000</v>
      </c>
      <c r="O216" s="18">
        <f t="shared" si="31"/>
        <v>226564000000</v>
      </c>
      <c r="P216">
        <v>0</v>
      </c>
      <c r="Q216">
        <f t="shared" si="32"/>
        <v>0</v>
      </c>
    </row>
    <row r="217" spans="1:17" x14ac:dyDescent="0.25">
      <c r="A217" s="8">
        <v>185</v>
      </c>
      <c r="B217" s="9">
        <v>1</v>
      </c>
      <c r="C217" s="10">
        <f>MAX(0,MIN(INT(($D$10+SUM($N$33:N216)+SUM($P$33:P216))/$D$5*B217)-D216,IF($D$11&gt;G216,INT(($D$11-G216)/$D$5),0)-D216))</f>
        <v>10000</v>
      </c>
      <c r="D217" s="10">
        <f t="shared" si="33"/>
        <v>864500</v>
      </c>
      <c r="E217" s="10">
        <f t="shared" si="26"/>
        <v>2000</v>
      </c>
      <c r="F217" s="10">
        <f t="shared" si="34"/>
        <v>1729000000</v>
      </c>
      <c r="G217" s="10">
        <f t="shared" si="35"/>
        <v>115011000000</v>
      </c>
      <c r="H217" s="13">
        <f t="shared" si="36"/>
        <v>0</v>
      </c>
      <c r="I217" s="13">
        <f t="shared" si="27"/>
        <v>1729000000</v>
      </c>
      <c r="J217" s="13">
        <f t="shared" si="37"/>
        <v>137460472378.36539</v>
      </c>
      <c r="K217" s="13">
        <f t="shared" si="38"/>
        <v>450935124.18061596</v>
      </c>
      <c r="L217" s="11">
        <f t="shared" si="28"/>
        <v>0.59759706627351028</v>
      </c>
      <c r="M217" s="16">
        <f t="shared" si="29"/>
        <v>1.5033344636599978E-2</v>
      </c>
      <c r="N217" s="10">
        <f t="shared" si="30"/>
        <v>20000000</v>
      </c>
      <c r="O217" s="18">
        <f t="shared" si="31"/>
        <v>230022000000</v>
      </c>
      <c r="P217">
        <v>0</v>
      </c>
      <c r="Q217">
        <f t="shared" si="32"/>
        <v>0</v>
      </c>
    </row>
    <row r="218" spans="1:17" x14ac:dyDescent="0.25">
      <c r="A218" s="8">
        <v>186</v>
      </c>
      <c r="B218" s="9">
        <v>1</v>
      </c>
      <c r="C218" s="10">
        <f>MAX(0,MIN(INT(($D$10+SUM($N$33:N217)+SUM($P$33:P217))/$D$5*B218)-D217,IF($D$11&gt;G217,INT(($D$11-G217)/$D$5),0)-D217))</f>
        <v>10000</v>
      </c>
      <c r="D218" s="10">
        <f t="shared" si="33"/>
        <v>874500</v>
      </c>
      <c r="E218" s="10">
        <f t="shared" si="26"/>
        <v>2000</v>
      </c>
      <c r="F218" s="10">
        <f t="shared" si="34"/>
        <v>1749000000</v>
      </c>
      <c r="G218" s="10">
        <f t="shared" si="35"/>
        <v>116760000000</v>
      </c>
      <c r="H218" s="13">
        <f t="shared" si="36"/>
        <v>0</v>
      </c>
      <c r="I218" s="13">
        <f t="shared" si="27"/>
        <v>1749000000</v>
      </c>
      <c r="J218" s="13">
        <f t="shared" si="37"/>
        <v>139667673952.95993</v>
      </c>
      <c r="K218" s="13">
        <f t="shared" si="38"/>
        <v>458201574.59455132</v>
      </c>
      <c r="L218" s="11">
        <f t="shared" si="28"/>
        <v>0.59809726769852656</v>
      </c>
      <c r="M218" s="16">
        <f t="shared" si="29"/>
        <v>1.4979445015416239E-2</v>
      </c>
      <c r="N218" s="10">
        <f t="shared" si="30"/>
        <v>20000000</v>
      </c>
      <c r="O218" s="18">
        <f t="shared" si="31"/>
        <v>233520000000</v>
      </c>
      <c r="P218">
        <v>0</v>
      </c>
      <c r="Q218">
        <f t="shared" si="32"/>
        <v>0</v>
      </c>
    </row>
    <row r="219" spans="1:17" x14ac:dyDescent="0.25">
      <c r="A219" s="8">
        <v>187</v>
      </c>
      <c r="B219" s="9">
        <v>1</v>
      </c>
      <c r="C219" s="10">
        <f>MAX(0,MIN(INT(($D$10+SUM($N$33:N218)+SUM($P$33:P218))/$D$5*B219)-D218,IF($D$11&gt;G218,INT(($D$11-G218)/$D$5),0)-D218))</f>
        <v>10000</v>
      </c>
      <c r="D219" s="10">
        <f t="shared" si="33"/>
        <v>884500</v>
      </c>
      <c r="E219" s="10">
        <f t="shared" si="26"/>
        <v>2000</v>
      </c>
      <c r="F219" s="10">
        <f t="shared" si="34"/>
        <v>1769000000</v>
      </c>
      <c r="G219" s="10">
        <f t="shared" si="35"/>
        <v>118529000000</v>
      </c>
      <c r="H219" s="13">
        <f t="shared" si="36"/>
        <v>0</v>
      </c>
      <c r="I219" s="13">
        <f t="shared" si="27"/>
        <v>1769000000</v>
      </c>
      <c r="J219" s="13">
        <f t="shared" si="37"/>
        <v>141902232866.13647</v>
      </c>
      <c r="K219" s="13">
        <f t="shared" si="38"/>
        <v>465558913.1765331</v>
      </c>
      <c r="L219" s="11">
        <f t="shared" si="28"/>
        <v>0.5985971064724096</v>
      </c>
      <c r="M219" s="16">
        <f t="shared" si="29"/>
        <v>1.4924617604130636E-2</v>
      </c>
      <c r="N219" s="10">
        <f t="shared" si="30"/>
        <v>20000000</v>
      </c>
      <c r="O219" s="18">
        <f t="shared" si="31"/>
        <v>237058000000</v>
      </c>
      <c r="P219">
        <v>0</v>
      </c>
      <c r="Q219">
        <f t="shared" si="32"/>
        <v>0</v>
      </c>
    </row>
    <row r="220" spans="1:17" x14ac:dyDescent="0.25">
      <c r="A220" s="8">
        <v>188</v>
      </c>
      <c r="B220" s="9">
        <v>1</v>
      </c>
      <c r="C220" s="10">
        <f>MAX(0,MIN(INT(($D$10+SUM($N$33:N219)+SUM($P$33:P219))/$D$5*B220)-D219,IF($D$11&gt;G219,INT(($D$11-G219)/$D$5),0)-D219))</f>
        <v>10000</v>
      </c>
      <c r="D220" s="10">
        <f t="shared" si="33"/>
        <v>894500</v>
      </c>
      <c r="E220" s="10">
        <f t="shared" si="26"/>
        <v>2000</v>
      </c>
      <c r="F220" s="10">
        <f t="shared" si="34"/>
        <v>1789000000</v>
      </c>
      <c r="G220" s="10">
        <f t="shared" si="35"/>
        <v>120318000000</v>
      </c>
      <c r="H220" s="13">
        <f t="shared" si="36"/>
        <v>0</v>
      </c>
      <c r="I220" s="13">
        <f t="shared" si="27"/>
        <v>1789000000</v>
      </c>
      <c r="J220" s="13">
        <f t="shared" si="37"/>
        <v>144164240309.02359</v>
      </c>
      <c r="K220" s="13">
        <f t="shared" si="38"/>
        <v>473007442.88712162</v>
      </c>
      <c r="L220" s="11">
        <f t="shared" si="28"/>
        <v>0.59909672829096061</v>
      </c>
      <c r="M220" s="16">
        <f t="shared" si="29"/>
        <v>1.486893066706561E-2</v>
      </c>
      <c r="N220" s="10">
        <f t="shared" si="30"/>
        <v>20000000</v>
      </c>
      <c r="O220" s="18">
        <f t="shared" si="31"/>
        <v>240636000000</v>
      </c>
      <c r="P220">
        <v>0</v>
      </c>
      <c r="Q220">
        <f t="shared" si="32"/>
        <v>0</v>
      </c>
    </row>
    <row r="221" spans="1:17" x14ac:dyDescent="0.25">
      <c r="A221" s="8">
        <v>189</v>
      </c>
      <c r="B221" s="9">
        <v>1</v>
      </c>
      <c r="C221" s="10">
        <f>MAX(0,MIN(INT(($D$10+SUM($N$33:N220)+SUM($P$33:P220))/$D$5*B221)-D220,IF($D$11&gt;G220,INT(($D$11-G220)/$D$5),0)-D220))</f>
        <v>10000</v>
      </c>
      <c r="D221" s="10">
        <f t="shared" si="33"/>
        <v>904500</v>
      </c>
      <c r="E221" s="10">
        <f t="shared" si="26"/>
        <v>2000</v>
      </c>
      <c r="F221" s="10">
        <f t="shared" si="34"/>
        <v>1809000000</v>
      </c>
      <c r="G221" s="10">
        <f t="shared" si="35"/>
        <v>122127000000</v>
      </c>
      <c r="H221" s="13">
        <f t="shared" si="36"/>
        <v>0</v>
      </c>
      <c r="I221" s="13">
        <f t="shared" si="27"/>
        <v>1809000000</v>
      </c>
      <c r="J221" s="13">
        <f t="shared" si="37"/>
        <v>146453787776.72034</v>
      </c>
      <c r="K221" s="13">
        <f t="shared" si="38"/>
        <v>480547467.69674534</v>
      </c>
      <c r="L221" s="11">
        <f t="shared" si="28"/>
        <v>0.5995962718183544</v>
      </c>
      <c r="M221" s="16">
        <f t="shared" si="29"/>
        <v>1.4812449335527771E-2</v>
      </c>
      <c r="N221" s="10">
        <f t="shared" si="30"/>
        <v>20000000</v>
      </c>
      <c r="O221" s="18">
        <f t="shared" si="31"/>
        <v>244254000000</v>
      </c>
      <c r="P221">
        <v>0</v>
      </c>
      <c r="Q221">
        <f t="shared" si="32"/>
        <v>0</v>
      </c>
    </row>
    <row r="222" spans="1:17" x14ac:dyDescent="0.25">
      <c r="A222" s="8">
        <v>190</v>
      </c>
      <c r="B222" s="9">
        <v>1</v>
      </c>
      <c r="C222" s="10">
        <f>MAX(0,MIN(INT(($D$10+SUM($N$33:N221)+SUM($P$33:P221))/$D$5*B222)-D221,IF($D$11&gt;G221,INT(($D$11-G221)/$D$5),0)-D221))</f>
        <v>10000</v>
      </c>
      <c r="D222" s="10">
        <f t="shared" si="33"/>
        <v>914500</v>
      </c>
      <c r="E222" s="10">
        <f t="shared" si="26"/>
        <v>2000</v>
      </c>
      <c r="F222" s="10">
        <f t="shared" si="34"/>
        <v>1829000000</v>
      </c>
      <c r="G222" s="10">
        <f t="shared" si="35"/>
        <v>123956000000</v>
      </c>
      <c r="H222" s="13">
        <f t="shared" si="36"/>
        <v>0</v>
      </c>
      <c r="I222" s="13">
        <f t="shared" si="27"/>
        <v>1829000000</v>
      </c>
      <c r="J222" s="13">
        <f t="shared" si="37"/>
        <v>148770967069.30942</v>
      </c>
      <c r="K222" s="13">
        <f t="shared" si="38"/>
        <v>488179292.58906782</v>
      </c>
      <c r="L222" s="11">
        <f t="shared" si="28"/>
        <v>0.60009586897491618</v>
      </c>
      <c r="M222" s="16">
        <f t="shared" si="29"/>
        <v>1.4755235728806996E-2</v>
      </c>
      <c r="N222" s="10">
        <f t="shared" si="30"/>
        <v>20000000</v>
      </c>
      <c r="O222" s="18">
        <f t="shared" si="31"/>
        <v>247912000000</v>
      </c>
      <c r="P222">
        <v>0</v>
      </c>
      <c r="Q222">
        <f t="shared" si="32"/>
        <v>0</v>
      </c>
    </row>
    <row r="223" spans="1:17" x14ac:dyDescent="0.25">
      <c r="A223" s="8">
        <v>191</v>
      </c>
      <c r="B223" s="9">
        <v>1</v>
      </c>
      <c r="C223" s="10">
        <f>MAX(0,MIN(INT(($D$10+SUM($N$33:N222)+SUM($P$33:P222))/$D$5*B223)-D222,IF($D$11&gt;G222,INT(($D$11-G222)/$D$5),0)-D222))</f>
        <v>10000</v>
      </c>
      <c r="D223" s="10">
        <f t="shared" si="33"/>
        <v>924500</v>
      </c>
      <c r="E223" s="10">
        <f t="shared" si="26"/>
        <v>2000</v>
      </c>
      <c r="F223" s="10">
        <f t="shared" si="34"/>
        <v>1849000000</v>
      </c>
      <c r="G223" s="10">
        <f t="shared" si="35"/>
        <v>125805000000</v>
      </c>
      <c r="H223" s="13">
        <f t="shared" si="36"/>
        <v>0</v>
      </c>
      <c r="I223" s="13">
        <f t="shared" si="27"/>
        <v>1849000000</v>
      </c>
      <c r="J223" s="13">
        <f t="shared" si="37"/>
        <v>151115870292.87378</v>
      </c>
      <c r="K223" s="13">
        <f t="shared" si="38"/>
        <v>495903223.56436473</v>
      </c>
      <c r="L223" s="11">
        <f t="shared" si="28"/>
        <v>0.60059564521630215</v>
      </c>
      <c r="M223" s="16">
        <f t="shared" si="29"/>
        <v>1.4697349071976472E-2</v>
      </c>
      <c r="N223" s="10">
        <f t="shared" si="30"/>
        <v>20000000</v>
      </c>
      <c r="O223" s="18">
        <f t="shared" si="31"/>
        <v>251610000000</v>
      </c>
      <c r="P223">
        <v>0</v>
      </c>
      <c r="Q223">
        <f t="shared" si="32"/>
        <v>0</v>
      </c>
    </row>
    <row r="224" spans="1:17" x14ac:dyDescent="0.25">
      <c r="A224" s="8">
        <v>192</v>
      </c>
      <c r="B224" s="9">
        <v>1</v>
      </c>
      <c r="C224" s="10">
        <f>MAX(0,MIN(INT(($D$10+SUM($N$33:N223)+SUM($P$33:P223))/$D$5*B224)-D223,IF($D$11&gt;G223,INT(($D$11-G223)/$D$5),0)-D223))</f>
        <v>10000</v>
      </c>
      <c r="D224" s="10">
        <f t="shared" si="33"/>
        <v>934500</v>
      </c>
      <c r="E224" s="10">
        <f t="shared" si="26"/>
        <v>2000</v>
      </c>
      <c r="F224" s="10">
        <f t="shared" si="34"/>
        <v>1869000000</v>
      </c>
      <c r="G224" s="10">
        <f t="shared" si="35"/>
        <v>127674000000</v>
      </c>
      <c r="H224" s="13">
        <f t="shared" si="36"/>
        <v>0</v>
      </c>
      <c r="I224" s="13">
        <f t="shared" si="27"/>
        <v>1869000000</v>
      </c>
      <c r="J224" s="13">
        <f t="shared" si="37"/>
        <v>153488589860.51669</v>
      </c>
      <c r="K224" s="13">
        <f t="shared" si="38"/>
        <v>503719567.64291263</v>
      </c>
      <c r="L224" s="11">
        <f t="shared" si="28"/>
        <v>0.60109571980401921</v>
      </c>
      <c r="M224" s="16">
        <f t="shared" si="29"/>
        <v>1.4638845810423422E-2</v>
      </c>
      <c r="N224" s="10">
        <f t="shared" si="30"/>
        <v>20000000</v>
      </c>
      <c r="O224" s="18">
        <f t="shared" si="31"/>
        <v>255348000000</v>
      </c>
      <c r="P224">
        <v>0</v>
      </c>
      <c r="Q224">
        <f t="shared" si="32"/>
        <v>0</v>
      </c>
    </row>
    <row r="225" spans="1:17" x14ac:dyDescent="0.25">
      <c r="A225" s="8">
        <v>193</v>
      </c>
      <c r="B225" s="9">
        <v>1</v>
      </c>
      <c r="C225" s="10">
        <f>MAX(0,MIN(INT(($D$10+SUM($N$33:N224)+SUM($P$33:P224))/$D$5*B225)-D224,IF($D$11&gt;G224,INT(($D$11-G224)/$D$5),0)-D224))</f>
        <v>10000</v>
      </c>
      <c r="D225" s="10">
        <f t="shared" si="33"/>
        <v>944500</v>
      </c>
      <c r="E225" s="10">
        <f t="shared" ref="E225:E288" si="39">$D$5</f>
        <v>2000</v>
      </c>
      <c r="F225" s="10">
        <f t="shared" si="34"/>
        <v>1889000000</v>
      </c>
      <c r="G225" s="10">
        <f t="shared" si="35"/>
        <v>129563000000</v>
      </c>
      <c r="H225" s="13">
        <f t="shared" si="36"/>
        <v>0</v>
      </c>
      <c r="I225" s="13">
        <f t="shared" ref="I225:I288" si="40">$D$7*F225+Q225</f>
        <v>1889000000</v>
      </c>
      <c r="J225" s="13">
        <f t="shared" si="37"/>
        <v>155889218493.38507</v>
      </c>
      <c r="K225" s="13">
        <f t="shared" si="38"/>
        <v>511628632.86838901</v>
      </c>
      <c r="L225" s="11">
        <f t="shared" ref="L225:L288" si="41">IF(G225=0,0,(J225/G225)/2)</f>
        <v>0.60159620606726094</v>
      </c>
      <c r="M225" s="16">
        <f t="shared" ref="M225:M288" si="42">I225/G225</f>
        <v>1.4579779721062341E-2</v>
      </c>
      <c r="N225" s="10">
        <f t="shared" ref="N225:N288" si="43">INDEX($G$6:$G$30,MIN(INT((A225-1)/12)+1,25))</f>
        <v>20000000</v>
      </c>
      <c r="O225" s="18">
        <f t="shared" ref="O225:O288" si="44">G225*2</f>
        <v>259126000000</v>
      </c>
      <c r="P225">
        <v>0</v>
      </c>
      <c r="Q225">
        <f t="shared" ref="Q225:Q288" si="45">MAX(0,0.01*G225-$D$7*F225)</f>
        <v>0</v>
      </c>
    </row>
    <row r="226" spans="1:17" x14ac:dyDescent="0.25">
      <c r="A226" s="8">
        <v>194</v>
      </c>
      <c r="B226" s="9">
        <v>1</v>
      </c>
      <c r="C226" s="10">
        <f>MAX(0,MIN(INT(($D$10+SUM($N$33:N225)+SUM($P$33:P225))/$D$5*B226)-D225,IF($D$11&gt;G225,INT(($D$11-G225)/$D$5),0)-D225))</f>
        <v>10000</v>
      </c>
      <c r="D226" s="10">
        <f t="shared" ref="D226:D289" si="46">D225+C226</f>
        <v>954500</v>
      </c>
      <c r="E226" s="10">
        <f t="shared" si="39"/>
        <v>2000</v>
      </c>
      <c r="F226" s="10">
        <f t="shared" ref="F226:F289" si="47">IF(G225&gt;=$D$11,0,MIN(D226*E226,$D$11-G225))</f>
        <v>1909000000</v>
      </c>
      <c r="G226" s="10">
        <f t="shared" ref="G226:G289" si="48">G225+F226-P226</f>
        <v>131472000000</v>
      </c>
      <c r="H226" s="13">
        <f t="shared" ref="H226:H289" si="49">H225+$D$6*F226</f>
        <v>0</v>
      </c>
      <c r="I226" s="13">
        <f t="shared" si="40"/>
        <v>1909000000</v>
      </c>
      <c r="J226" s="13">
        <f t="shared" ref="J226:J289" si="50">J225+$D$8*F226+K226-P226*2-Q226</f>
        <v>158317849221.69635</v>
      </c>
      <c r="K226" s="13">
        <f t="shared" ref="K226:K289" si="51">($D$9/12)*J225</f>
        <v>519630728.31128359</v>
      </c>
      <c r="L226" s="11">
        <f t="shared" si="41"/>
        <v>0.60209721165608021</v>
      </c>
      <c r="M226" s="16">
        <f t="shared" si="42"/>
        <v>1.452020202020202E-2</v>
      </c>
      <c r="N226" s="10">
        <f t="shared" si="43"/>
        <v>20000000</v>
      </c>
      <c r="O226" s="18">
        <f t="shared" si="44"/>
        <v>262944000000</v>
      </c>
      <c r="P226">
        <v>0</v>
      </c>
      <c r="Q226">
        <f t="shared" si="45"/>
        <v>0</v>
      </c>
    </row>
    <row r="227" spans="1:17" x14ac:dyDescent="0.25">
      <c r="A227" s="8">
        <v>195</v>
      </c>
      <c r="B227" s="9">
        <v>1</v>
      </c>
      <c r="C227" s="10">
        <f>MAX(0,MIN(INT(($D$10+SUM($N$33:N226)+SUM($P$33:P226))/$D$5*B227)-D226,IF($D$11&gt;G226,INT(($D$11-G226)/$D$5),0)-D226))</f>
        <v>10000</v>
      </c>
      <c r="D227" s="10">
        <f t="shared" si="46"/>
        <v>964500</v>
      </c>
      <c r="E227" s="10">
        <f t="shared" si="39"/>
        <v>2000</v>
      </c>
      <c r="F227" s="10">
        <f t="shared" si="47"/>
        <v>1929000000</v>
      </c>
      <c r="G227" s="10">
        <f t="shared" si="48"/>
        <v>133401000000</v>
      </c>
      <c r="H227" s="13">
        <f t="shared" si="49"/>
        <v>0</v>
      </c>
      <c r="I227" s="13">
        <f t="shared" si="40"/>
        <v>1929000000</v>
      </c>
      <c r="J227" s="13">
        <f t="shared" si="50"/>
        <v>160774575385.76868</v>
      </c>
      <c r="K227" s="13">
        <f t="shared" si="51"/>
        <v>527726164.07232118</v>
      </c>
      <c r="L227" s="11">
        <f t="shared" si="41"/>
        <v>0.60259883878594867</v>
      </c>
      <c r="M227" s="16">
        <f t="shared" si="42"/>
        <v>1.4460161468054962E-2</v>
      </c>
      <c r="N227" s="10">
        <f t="shared" si="43"/>
        <v>20000000</v>
      </c>
      <c r="O227" s="18">
        <f t="shared" si="44"/>
        <v>266802000000</v>
      </c>
      <c r="P227">
        <v>0</v>
      </c>
      <c r="Q227">
        <f t="shared" si="45"/>
        <v>0</v>
      </c>
    </row>
    <row r="228" spans="1:17" x14ac:dyDescent="0.25">
      <c r="A228" s="8">
        <v>196</v>
      </c>
      <c r="B228" s="9">
        <v>1</v>
      </c>
      <c r="C228" s="10">
        <f>MAX(0,MIN(INT(($D$10+SUM($N$33:N227)+SUM($P$33:P227))/$D$5*B228)-D227,IF($D$11&gt;G227,INT(($D$11-G227)/$D$5),0)-D227))</f>
        <v>10000</v>
      </c>
      <c r="D228" s="10">
        <f t="shared" si="46"/>
        <v>974500</v>
      </c>
      <c r="E228" s="10">
        <f t="shared" si="39"/>
        <v>2000</v>
      </c>
      <c r="F228" s="10">
        <f t="shared" si="47"/>
        <v>1949000000</v>
      </c>
      <c r="G228" s="10">
        <f t="shared" si="48"/>
        <v>135350000000</v>
      </c>
      <c r="H228" s="13">
        <f t="shared" si="49"/>
        <v>0</v>
      </c>
      <c r="I228" s="13">
        <f t="shared" si="40"/>
        <v>1949000000</v>
      </c>
      <c r="J228" s="13">
        <f t="shared" si="50"/>
        <v>163259490637.05457</v>
      </c>
      <c r="K228" s="13">
        <f t="shared" si="51"/>
        <v>535915251.28589565</v>
      </c>
      <c r="L228" s="11">
        <f t="shared" si="41"/>
        <v>0.60310118447378858</v>
      </c>
      <c r="M228" s="16">
        <f t="shared" si="42"/>
        <v>1.439970446989287E-2</v>
      </c>
      <c r="N228" s="10">
        <f t="shared" si="43"/>
        <v>20000000</v>
      </c>
      <c r="O228" s="18">
        <f t="shared" si="44"/>
        <v>270700000000</v>
      </c>
      <c r="P228">
        <v>0</v>
      </c>
      <c r="Q228">
        <f t="shared" si="45"/>
        <v>0</v>
      </c>
    </row>
    <row r="229" spans="1:17" x14ac:dyDescent="0.25">
      <c r="A229" s="8">
        <v>197</v>
      </c>
      <c r="B229" s="9">
        <v>1</v>
      </c>
      <c r="C229" s="10">
        <f>MAX(0,MIN(INT(($D$10+SUM($N$33:N228)+SUM($P$33:P228))/$D$5*B229)-D228,IF($D$11&gt;G228,INT(($D$11-G228)/$D$5),0)-D228))</f>
        <v>10000</v>
      </c>
      <c r="D229" s="10">
        <f t="shared" si="46"/>
        <v>984500</v>
      </c>
      <c r="E229" s="10">
        <f t="shared" si="39"/>
        <v>2000</v>
      </c>
      <c r="F229" s="10">
        <f t="shared" si="47"/>
        <v>1969000000</v>
      </c>
      <c r="G229" s="10">
        <f t="shared" si="48"/>
        <v>137319000000</v>
      </c>
      <c r="H229" s="13">
        <f t="shared" si="49"/>
        <v>0</v>
      </c>
      <c r="I229" s="13">
        <f t="shared" si="40"/>
        <v>1969000000</v>
      </c>
      <c r="J229" s="13">
        <f t="shared" si="50"/>
        <v>165772688939.17807</v>
      </c>
      <c r="K229" s="13">
        <f t="shared" si="51"/>
        <v>544198302.12351525</v>
      </c>
      <c r="L229" s="11">
        <f t="shared" si="41"/>
        <v>0.60360434076558256</v>
      </c>
      <c r="M229" s="16">
        <f t="shared" si="42"/>
        <v>1.4338875173865234E-2</v>
      </c>
      <c r="N229" s="10">
        <f t="shared" si="43"/>
        <v>20000000</v>
      </c>
      <c r="O229" s="18">
        <f t="shared" si="44"/>
        <v>274638000000</v>
      </c>
      <c r="P229">
        <v>0</v>
      </c>
      <c r="Q229">
        <f t="shared" si="45"/>
        <v>0</v>
      </c>
    </row>
    <row r="230" spans="1:17" x14ac:dyDescent="0.25">
      <c r="A230" s="8">
        <v>198</v>
      </c>
      <c r="B230" s="9">
        <v>1</v>
      </c>
      <c r="C230" s="10">
        <f>MAX(0,MIN(INT(($D$10+SUM($N$33:N229)+SUM($P$33:P229))/$D$5*B230)-D229,IF($D$11&gt;G229,INT(($D$11-G229)/$D$5),0)-D229))</f>
        <v>10000</v>
      </c>
      <c r="D230" s="10">
        <f t="shared" si="46"/>
        <v>994500</v>
      </c>
      <c r="E230" s="10">
        <f t="shared" si="39"/>
        <v>2000</v>
      </c>
      <c r="F230" s="10">
        <f t="shared" si="47"/>
        <v>1989000000</v>
      </c>
      <c r="G230" s="10">
        <f t="shared" si="48"/>
        <v>139308000000</v>
      </c>
      <c r="H230" s="13">
        <f t="shared" si="49"/>
        <v>0</v>
      </c>
      <c r="I230" s="13">
        <f t="shared" si="40"/>
        <v>1989000000</v>
      </c>
      <c r="J230" s="13">
        <f t="shared" si="50"/>
        <v>168314264568.97534</v>
      </c>
      <c r="K230" s="13">
        <f t="shared" si="51"/>
        <v>552575629.79726028</v>
      </c>
      <c r="L230" s="11">
        <f t="shared" si="41"/>
        <v>0.60410839495569291</v>
      </c>
      <c r="M230" s="16">
        <f t="shared" si="42"/>
        <v>1.4277715565509519E-2</v>
      </c>
      <c r="N230" s="10">
        <f t="shared" si="43"/>
        <v>20000000</v>
      </c>
      <c r="O230" s="18">
        <f t="shared" si="44"/>
        <v>278616000000</v>
      </c>
      <c r="P230">
        <v>0</v>
      </c>
      <c r="Q230">
        <f t="shared" si="45"/>
        <v>0</v>
      </c>
    </row>
    <row r="231" spans="1:17" x14ac:dyDescent="0.25">
      <c r="A231" s="8">
        <v>199</v>
      </c>
      <c r="B231" s="9">
        <v>1</v>
      </c>
      <c r="C231" s="10">
        <f>MAX(0,MIN(INT(($D$10+SUM($N$33:N230)+SUM($P$33:P230))/$D$5*B231)-D230,IF($D$11&gt;G230,INT(($D$11-G230)/$D$5),0)-D230))</f>
        <v>10000</v>
      </c>
      <c r="D231" s="10">
        <f t="shared" si="46"/>
        <v>1004500</v>
      </c>
      <c r="E231" s="10">
        <f t="shared" si="39"/>
        <v>2000</v>
      </c>
      <c r="F231" s="10">
        <f t="shared" si="47"/>
        <v>2009000000</v>
      </c>
      <c r="G231" s="10">
        <f t="shared" si="48"/>
        <v>141317000000</v>
      </c>
      <c r="H231" s="13">
        <f t="shared" si="49"/>
        <v>0</v>
      </c>
      <c r="I231" s="13">
        <f t="shared" si="40"/>
        <v>2009000000</v>
      </c>
      <c r="J231" s="13">
        <f t="shared" si="50"/>
        <v>170884312117.5386</v>
      </c>
      <c r="K231" s="13">
        <f t="shared" si="51"/>
        <v>561047548.56325114</v>
      </c>
      <c r="L231" s="11">
        <f t="shared" si="41"/>
        <v>0.60461342979803778</v>
      </c>
      <c r="M231" s="16">
        <f t="shared" si="42"/>
        <v>1.4216265558991487E-2</v>
      </c>
      <c r="N231" s="10">
        <f t="shared" si="43"/>
        <v>20000000</v>
      </c>
      <c r="O231" s="18">
        <f t="shared" si="44"/>
        <v>282634000000</v>
      </c>
      <c r="P231">
        <v>0</v>
      </c>
      <c r="Q231">
        <f t="shared" si="45"/>
        <v>0</v>
      </c>
    </row>
    <row r="232" spans="1:17" x14ac:dyDescent="0.25">
      <c r="A232" s="8">
        <v>200</v>
      </c>
      <c r="B232" s="9">
        <v>1</v>
      </c>
      <c r="C232" s="10">
        <f>MAX(0,MIN(INT(($D$10+SUM($N$33:N231)+SUM($P$33:P231))/$D$5*B232)-D231,IF($D$11&gt;G231,INT(($D$11-G231)/$D$5),0)-D231))</f>
        <v>10000</v>
      </c>
      <c r="D232" s="10">
        <f t="shared" si="46"/>
        <v>1014500</v>
      </c>
      <c r="E232" s="10">
        <f t="shared" si="39"/>
        <v>2000</v>
      </c>
      <c r="F232" s="10">
        <f t="shared" si="47"/>
        <v>2029000000</v>
      </c>
      <c r="G232" s="10">
        <f t="shared" si="48"/>
        <v>143346000000</v>
      </c>
      <c r="H232" s="13">
        <f t="shared" si="49"/>
        <v>0</v>
      </c>
      <c r="I232" s="13">
        <f t="shared" si="40"/>
        <v>2029000000</v>
      </c>
      <c r="J232" s="13">
        <f t="shared" si="50"/>
        <v>173482926491.26373</v>
      </c>
      <c r="K232" s="13">
        <f t="shared" si="51"/>
        <v>569614373.72512877</v>
      </c>
      <c r="L232" s="11">
        <f t="shared" si="41"/>
        <v>0.6051195237092899</v>
      </c>
      <c r="M232" s="16">
        <f t="shared" si="42"/>
        <v>1.4154563085122709E-2</v>
      </c>
      <c r="N232" s="10">
        <f t="shared" si="43"/>
        <v>20000000</v>
      </c>
      <c r="O232" s="18">
        <f t="shared" si="44"/>
        <v>286692000000</v>
      </c>
      <c r="P232">
        <v>0</v>
      </c>
      <c r="Q232">
        <f t="shared" si="45"/>
        <v>0</v>
      </c>
    </row>
    <row r="233" spans="1:17" x14ac:dyDescent="0.25">
      <c r="A233" s="8">
        <v>201</v>
      </c>
      <c r="B233" s="9">
        <v>1</v>
      </c>
      <c r="C233" s="10">
        <f>MAX(0,MIN(INT(($D$10+SUM($N$33:N232)+SUM($P$33:P232))/$D$5*B233)-D232,IF($D$11&gt;G232,INT(($D$11-G232)/$D$5),0)-D232))</f>
        <v>10000</v>
      </c>
      <c r="D233" s="10">
        <f t="shared" si="46"/>
        <v>1024500</v>
      </c>
      <c r="E233" s="10">
        <f t="shared" si="39"/>
        <v>2000</v>
      </c>
      <c r="F233" s="10">
        <f t="shared" si="47"/>
        <v>2049000000</v>
      </c>
      <c r="G233" s="10">
        <f t="shared" si="48"/>
        <v>145395000000</v>
      </c>
      <c r="H233" s="13">
        <f t="shared" si="49"/>
        <v>0</v>
      </c>
      <c r="I233" s="13">
        <f t="shared" si="40"/>
        <v>2049000000</v>
      </c>
      <c r="J233" s="13">
        <f t="shared" si="50"/>
        <v>176110202912.90128</v>
      </c>
      <c r="K233" s="13">
        <f t="shared" si="51"/>
        <v>578276421.63754582</v>
      </c>
      <c r="L233" s="11">
        <f t="shared" si="41"/>
        <v>0.6056267509642741</v>
      </c>
      <c r="M233" s="16">
        <f t="shared" si="42"/>
        <v>1.4092644176209635E-2</v>
      </c>
      <c r="N233" s="10">
        <f t="shared" si="43"/>
        <v>20000000</v>
      </c>
      <c r="O233" s="18">
        <f t="shared" si="44"/>
        <v>290790000000</v>
      </c>
      <c r="P233">
        <v>0</v>
      </c>
      <c r="Q233">
        <f t="shared" si="45"/>
        <v>0</v>
      </c>
    </row>
    <row r="234" spans="1:17" x14ac:dyDescent="0.25">
      <c r="A234" s="8">
        <v>202</v>
      </c>
      <c r="B234" s="9">
        <v>1</v>
      </c>
      <c r="C234" s="10">
        <f>MAX(0,MIN(INT(($D$10+SUM($N$33:N233)+SUM($P$33:P233))/$D$5*B234)-D233,IF($D$11&gt;G233,INT(($D$11-G233)/$D$5),0)-D233))</f>
        <v>10000</v>
      </c>
      <c r="D234" s="10">
        <f t="shared" si="46"/>
        <v>1034500</v>
      </c>
      <c r="E234" s="10">
        <f t="shared" si="39"/>
        <v>2000</v>
      </c>
      <c r="F234" s="10">
        <f t="shared" si="47"/>
        <v>2069000000</v>
      </c>
      <c r="G234" s="10">
        <f t="shared" si="48"/>
        <v>147464000000</v>
      </c>
      <c r="H234" s="13">
        <f t="shared" si="49"/>
        <v>0</v>
      </c>
      <c r="I234" s="13">
        <f t="shared" si="40"/>
        <v>2069000000</v>
      </c>
      <c r="J234" s="13">
        <f t="shared" si="50"/>
        <v>178766236922.61093</v>
      </c>
      <c r="K234" s="13">
        <f t="shared" si="51"/>
        <v>587034009.7096709</v>
      </c>
      <c r="L234" s="11">
        <f t="shared" si="41"/>
        <v>0.60613518188375104</v>
      </c>
      <c r="M234" s="16">
        <f t="shared" si="42"/>
        <v>1.4030543047794716E-2</v>
      </c>
      <c r="N234" s="10">
        <f t="shared" si="43"/>
        <v>20000000</v>
      </c>
      <c r="O234" s="18">
        <f t="shared" si="44"/>
        <v>294928000000</v>
      </c>
      <c r="P234">
        <v>0</v>
      </c>
      <c r="Q234">
        <f t="shared" si="45"/>
        <v>0</v>
      </c>
    </row>
    <row r="235" spans="1:17" x14ac:dyDescent="0.25">
      <c r="A235" s="8">
        <v>203</v>
      </c>
      <c r="B235" s="9">
        <v>1</v>
      </c>
      <c r="C235" s="10">
        <f>MAX(0,MIN(INT(($D$10+SUM($N$33:N234)+SUM($P$33:P234))/$D$5*B235)-D234,IF($D$11&gt;G234,INT(($D$11-G234)/$D$5),0)-D234))</f>
        <v>10000</v>
      </c>
      <c r="D235" s="10">
        <f t="shared" si="46"/>
        <v>1044500</v>
      </c>
      <c r="E235" s="10">
        <f t="shared" si="39"/>
        <v>2000</v>
      </c>
      <c r="F235" s="10">
        <f t="shared" si="47"/>
        <v>2089000000</v>
      </c>
      <c r="G235" s="10">
        <f t="shared" si="48"/>
        <v>149553000000</v>
      </c>
      <c r="H235" s="13">
        <f t="shared" si="49"/>
        <v>0</v>
      </c>
      <c r="I235" s="13">
        <f t="shared" si="40"/>
        <v>2089000000</v>
      </c>
      <c r="J235" s="13">
        <f t="shared" si="50"/>
        <v>181451124379.01962</v>
      </c>
      <c r="K235" s="13">
        <f t="shared" si="51"/>
        <v>595887456.40870309</v>
      </c>
      <c r="L235" s="11">
        <f t="shared" si="41"/>
        <v>0.60664488301478281</v>
      </c>
      <c r="M235" s="16">
        <f t="shared" si="42"/>
        <v>1.3968292177355185E-2</v>
      </c>
      <c r="N235" s="10">
        <f t="shared" si="43"/>
        <v>20000000</v>
      </c>
      <c r="O235" s="18">
        <f t="shared" si="44"/>
        <v>299106000000</v>
      </c>
      <c r="P235">
        <v>0</v>
      </c>
      <c r="Q235">
        <f t="shared" si="45"/>
        <v>0</v>
      </c>
    </row>
    <row r="236" spans="1:17" x14ac:dyDescent="0.25">
      <c r="A236" s="8">
        <v>204</v>
      </c>
      <c r="B236" s="9">
        <v>1</v>
      </c>
      <c r="C236" s="10">
        <f>MAX(0,MIN(INT(($D$10+SUM($N$33:N235)+SUM($P$33:P235))/$D$5*B236)-D235,IF($D$11&gt;G235,INT(($D$11-G235)/$D$5),0)-D235))</f>
        <v>10000</v>
      </c>
      <c r="D236" s="10">
        <f t="shared" si="46"/>
        <v>1054500</v>
      </c>
      <c r="E236" s="10">
        <f t="shared" si="39"/>
        <v>2000</v>
      </c>
      <c r="F236" s="10">
        <f t="shared" si="47"/>
        <v>2109000000</v>
      </c>
      <c r="G236" s="10">
        <f t="shared" si="48"/>
        <v>151662000000</v>
      </c>
      <c r="H236" s="13">
        <f t="shared" si="49"/>
        <v>0</v>
      </c>
      <c r="I236" s="13">
        <f t="shared" si="40"/>
        <v>2109000000</v>
      </c>
      <c r="J236" s="13">
        <f t="shared" si="50"/>
        <v>184164961460.28302</v>
      </c>
      <c r="K236" s="13">
        <f t="shared" si="51"/>
        <v>604837081.26339877</v>
      </c>
      <c r="L236" s="11">
        <f t="shared" si="41"/>
        <v>0.60715591730388307</v>
      </c>
      <c r="M236" s="16">
        <f t="shared" si="42"/>
        <v>1.3905922380029275E-2</v>
      </c>
      <c r="N236" s="10">
        <f t="shared" si="43"/>
        <v>20000000</v>
      </c>
      <c r="O236" s="18">
        <f t="shared" si="44"/>
        <v>303324000000</v>
      </c>
      <c r="P236">
        <v>0</v>
      </c>
      <c r="Q236">
        <f t="shared" si="45"/>
        <v>0</v>
      </c>
    </row>
    <row r="237" spans="1:17" x14ac:dyDescent="0.25">
      <c r="A237" s="8">
        <v>205</v>
      </c>
      <c r="B237" s="9">
        <v>1</v>
      </c>
      <c r="C237" s="10">
        <f>MAX(0,MIN(INT(($D$10+SUM($N$33:N236)+SUM($P$33:P236))/$D$5*B237)-D236,IF($D$11&gt;G236,INT(($D$11-G236)/$D$5),0)-D236))</f>
        <v>10000</v>
      </c>
      <c r="D237" s="10">
        <f t="shared" si="46"/>
        <v>1064500</v>
      </c>
      <c r="E237" s="10">
        <f t="shared" si="39"/>
        <v>2000</v>
      </c>
      <c r="F237" s="10">
        <f t="shared" si="47"/>
        <v>2129000000</v>
      </c>
      <c r="G237" s="10">
        <f t="shared" si="48"/>
        <v>153791000000</v>
      </c>
      <c r="H237" s="13">
        <f t="shared" si="49"/>
        <v>0</v>
      </c>
      <c r="I237" s="13">
        <f t="shared" si="40"/>
        <v>2129000000</v>
      </c>
      <c r="J237" s="13">
        <f t="shared" si="50"/>
        <v>186907844665.15063</v>
      </c>
      <c r="K237" s="13">
        <f t="shared" si="51"/>
        <v>613883204.8676101</v>
      </c>
      <c r="L237" s="11">
        <f t="shared" si="41"/>
        <v>0.60766834426315786</v>
      </c>
      <c r="M237" s="16">
        <f t="shared" si="42"/>
        <v>1.3843462881442998E-2</v>
      </c>
      <c r="N237" s="10">
        <f t="shared" si="43"/>
        <v>20000000</v>
      </c>
      <c r="O237" s="18">
        <f t="shared" si="44"/>
        <v>307582000000</v>
      </c>
      <c r="P237">
        <v>0</v>
      </c>
      <c r="Q237">
        <f t="shared" si="45"/>
        <v>0</v>
      </c>
    </row>
    <row r="238" spans="1:17" x14ac:dyDescent="0.25">
      <c r="A238" s="8">
        <v>206</v>
      </c>
      <c r="B238" s="9">
        <v>1</v>
      </c>
      <c r="C238" s="10">
        <f>MAX(0,MIN(INT(($D$10+SUM($N$33:N237)+SUM($P$33:P237))/$D$5*B238)-D237,IF($D$11&gt;G237,INT(($D$11-G237)/$D$5),0)-D237))</f>
        <v>10000</v>
      </c>
      <c r="D238" s="10">
        <f t="shared" si="46"/>
        <v>1074500</v>
      </c>
      <c r="E238" s="10">
        <f t="shared" si="39"/>
        <v>2000</v>
      </c>
      <c r="F238" s="10">
        <f t="shared" si="47"/>
        <v>2149000000</v>
      </c>
      <c r="G238" s="10">
        <f t="shared" si="48"/>
        <v>155940000000</v>
      </c>
      <c r="H238" s="13">
        <f t="shared" si="49"/>
        <v>0</v>
      </c>
      <c r="I238" s="13">
        <f t="shared" si="40"/>
        <v>2149000000</v>
      </c>
      <c r="J238" s="13">
        <f t="shared" si="50"/>
        <v>189679870814.03448</v>
      </c>
      <c r="K238" s="13">
        <f t="shared" si="51"/>
        <v>623026148.88383543</v>
      </c>
      <c r="L238" s="11">
        <f t="shared" si="41"/>
        <v>0.60818222012964762</v>
      </c>
      <c r="M238" s="16">
        <f t="shared" si="42"/>
        <v>1.3780941387713222E-2</v>
      </c>
      <c r="N238" s="10">
        <f t="shared" si="43"/>
        <v>20000000</v>
      </c>
      <c r="O238" s="18">
        <f t="shared" si="44"/>
        <v>311880000000</v>
      </c>
      <c r="P238">
        <v>0</v>
      </c>
      <c r="Q238">
        <f t="shared" si="45"/>
        <v>0</v>
      </c>
    </row>
    <row r="239" spans="1:17" x14ac:dyDescent="0.25">
      <c r="A239" s="8">
        <v>207</v>
      </c>
      <c r="B239" s="9">
        <v>1</v>
      </c>
      <c r="C239" s="10">
        <f>MAX(0,MIN(INT(($D$10+SUM($N$33:N238)+SUM($P$33:P238))/$D$5*B239)-D238,IF($D$11&gt;G238,INT(($D$11-G238)/$D$5),0)-D238))</f>
        <v>10000</v>
      </c>
      <c r="D239" s="10">
        <f t="shared" si="46"/>
        <v>1084500</v>
      </c>
      <c r="E239" s="10">
        <f t="shared" si="39"/>
        <v>2000</v>
      </c>
      <c r="F239" s="10">
        <f t="shared" si="47"/>
        <v>2169000000</v>
      </c>
      <c r="G239" s="10">
        <f t="shared" si="48"/>
        <v>158109000000</v>
      </c>
      <c r="H239" s="13">
        <f t="shared" si="49"/>
        <v>0</v>
      </c>
      <c r="I239" s="13">
        <f t="shared" si="40"/>
        <v>2169000000</v>
      </c>
      <c r="J239" s="13">
        <f t="shared" si="50"/>
        <v>192481137050.08127</v>
      </c>
      <c r="K239" s="13">
        <f t="shared" si="51"/>
        <v>632266236.04678166</v>
      </c>
      <c r="L239" s="11">
        <f t="shared" si="41"/>
        <v>0.6086975980180801</v>
      </c>
      <c r="M239" s="16">
        <f t="shared" si="42"/>
        <v>1.371838415270478E-2</v>
      </c>
      <c r="N239" s="10">
        <f t="shared" si="43"/>
        <v>20000000</v>
      </c>
      <c r="O239" s="18">
        <f t="shared" si="44"/>
        <v>316218000000</v>
      </c>
      <c r="P239">
        <v>0</v>
      </c>
      <c r="Q239">
        <f t="shared" si="45"/>
        <v>0</v>
      </c>
    </row>
    <row r="240" spans="1:17" x14ac:dyDescent="0.25">
      <c r="A240" s="8">
        <v>208</v>
      </c>
      <c r="B240" s="9">
        <v>1</v>
      </c>
      <c r="C240" s="10">
        <f>MAX(0,MIN(INT(($D$10+SUM($N$33:N239)+SUM($P$33:P239))/$D$5*B240)-D239,IF($D$11&gt;G239,INT(($D$11-G239)/$D$5),0)-D239))</f>
        <v>10000</v>
      </c>
      <c r="D240" s="10">
        <f t="shared" si="46"/>
        <v>1094500</v>
      </c>
      <c r="E240" s="10">
        <f t="shared" si="39"/>
        <v>2000</v>
      </c>
      <c r="F240" s="10">
        <f t="shared" si="47"/>
        <v>2189000000</v>
      </c>
      <c r="G240" s="10">
        <f t="shared" si="48"/>
        <v>160298000000</v>
      </c>
      <c r="H240" s="13">
        <f t="shared" si="49"/>
        <v>0</v>
      </c>
      <c r="I240" s="13">
        <f t="shared" si="40"/>
        <v>2189000000</v>
      </c>
      <c r="J240" s="13">
        <f t="shared" si="50"/>
        <v>195311740840.2482</v>
      </c>
      <c r="K240" s="13">
        <f t="shared" si="51"/>
        <v>641603790.16693759</v>
      </c>
      <c r="L240" s="11">
        <f t="shared" si="41"/>
        <v>0.6092145280672504</v>
      </c>
      <c r="M240" s="16">
        <f t="shared" si="42"/>
        <v>1.3655816042620618E-2</v>
      </c>
      <c r="N240" s="10">
        <f t="shared" si="43"/>
        <v>20000000</v>
      </c>
      <c r="O240" s="18">
        <f t="shared" si="44"/>
        <v>320596000000</v>
      </c>
      <c r="P240">
        <v>0</v>
      </c>
      <c r="Q240">
        <f t="shared" si="45"/>
        <v>0</v>
      </c>
    </row>
    <row r="241" spans="1:17" x14ac:dyDescent="0.25">
      <c r="A241" s="8">
        <v>209</v>
      </c>
      <c r="B241" s="9">
        <v>1</v>
      </c>
      <c r="C241" s="10">
        <f>MAX(0,MIN(INT(($D$10+SUM($N$33:N240)+SUM($P$33:P240))/$D$5*B241)-D240,IF($D$11&gt;G240,INT(($D$11-G240)/$D$5),0)-D240))</f>
        <v>10000</v>
      </c>
      <c r="D241" s="10">
        <f t="shared" si="46"/>
        <v>1104500</v>
      </c>
      <c r="E241" s="10">
        <f t="shared" si="39"/>
        <v>2000</v>
      </c>
      <c r="F241" s="10">
        <f t="shared" si="47"/>
        <v>2209000000</v>
      </c>
      <c r="G241" s="10">
        <f t="shared" si="48"/>
        <v>162507000000</v>
      </c>
      <c r="H241" s="13">
        <f t="shared" si="49"/>
        <v>0</v>
      </c>
      <c r="I241" s="13">
        <f t="shared" si="40"/>
        <v>2209000000</v>
      </c>
      <c r="J241" s="13">
        <f t="shared" si="50"/>
        <v>198171779976.38235</v>
      </c>
      <c r="K241" s="13">
        <f t="shared" si="51"/>
        <v>651039136.13416076</v>
      </c>
      <c r="L241" s="11">
        <f t="shared" si="41"/>
        <v>0.60973305758023455</v>
      </c>
      <c r="M241" s="16">
        <f t="shared" si="42"/>
        <v>1.3593260598005009E-2</v>
      </c>
      <c r="N241" s="10">
        <f t="shared" si="43"/>
        <v>20000000</v>
      </c>
      <c r="O241" s="18">
        <f t="shared" si="44"/>
        <v>325014000000</v>
      </c>
      <c r="P241">
        <v>0</v>
      </c>
      <c r="Q241">
        <f t="shared" si="45"/>
        <v>0</v>
      </c>
    </row>
    <row r="242" spans="1:17" x14ac:dyDescent="0.25">
      <c r="A242" s="8">
        <v>210</v>
      </c>
      <c r="B242" s="9">
        <v>1</v>
      </c>
      <c r="C242" s="10">
        <f>MAX(0,MIN(INT(($D$10+SUM($N$33:N241)+SUM($P$33:P241))/$D$5*B242)-D241,IF($D$11&gt;G241,INT(($D$11-G241)/$D$5),0)-D241))</f>
        <v>10000</v>
      </c>
      <c r="D242" s="10">
        <f t="shared" si="46"/>
        <v>1114500</v>
      </c>
      <c r="E242" s="10">
        <f t="shared" si="39"/>
        <v>2000</v>
      </c>
      <c r="F242" s="10">
        <f t="shared" si="47"/>
        <v>2229000000</v>
      </c>
      <c r="G242" s="10">
        <f t="shared" si="48"/>
        <v>164736000000</v>
      </c>
      <c r="H242" s="13">
        <f t="shared" si="49"/>
        <v>0</v>
      </c>
      <c r="I242" s="13">
        <f t="shared" si="40"/>
        <v>2229000000</v>
      </c>
      <c r="J242" s="13">
        <f t="shared" si="50"/>
        <v>201061352576.30362</v>
      </c>
      <c r="K242" s="13">
        <f t="shared" si="51"/>
        <v>660572599.92127454</v>
      </c>
      <c r="L242" s="11">
        <f t="shared" si="41"/>
        <v>0.61025323115865271</v>
      </c>
      <c r="M242" s="16">
        <f t="shared" si="42"/>
        <v>1.3530740093240094E-2</v>
      </c>
      <c r="N242" s="10">
        <f t="shared" si="43"/>
        <v>20000000</v>
      </c>
      <c r="O242" s="18">
        <f t="shared" si="44"/>
        <v>329472000000</v>
      </c>
      <c r="P242">
        <v>0</v>
      </c>
      <c r="Q242">
        <f t="shared" si="45"/>
        <v>0</v>
      </c>
    </row>
    <row r="243" spans="1:17" x14ac:dyDescent="0.25">
      <c r="A243" s="8">
        <v>211</v>
      </c>
      <c r="B243" s="9">
        <v>1</v>
      </c>
      <c r="C243" s="10">
        <f>MAX(0,MIN(INT(($D$10+SUM($N$33:N242)+SUM($P$33:P242))/$D$5*B243)-D242,IF($D$11&gt;G242,INT(($D$11-G242)/$D$5),0)-D242))</f>
        <v>10000</v>
      </c>
      <c r="D243" s="10">
        <f t="shared" si="46"/>
        <v>1124500</v>
      </c>
      <c r="E243" s="10">
        <f t="shared" si="39"/>
        <v>2000</v>
      </c>
      <c r="F243" s="10">
        <f t="shared" si="47"/>
        <v>2249000000</v>
      </c>
      <c r="G243" s="10">
        <f t="shared" si="48"/>
        <v>166985000000</v>
      </c>
      <c r="H243" s="13">
        <f t="shared" si="49"/>
        <v>0</v>
      </c>
      <c r="I243" s="13">
        <f t="shared" si="40"/>
        <v>2249000000</v>
      </c>
      <c r="J243" s="13">
        <f t="shared" si="50"/>
        <v>203980557084.8913</v>
      </c>
      <c r="K243" s="13">
        <f t="shared" si="51"/>
        <v>670204508.58767879</v>
      </c>
      <c r="L243" s="11">
        <f t="shared" si="41"/>
        <v>0.61077509083118631</v>
      </c>
      <c r="M243" s="16">
        <f t="shared" si="42"/>
        <v>1.3468275593616193E-2</v>
      </c>
      <c r="N243" s="10">
        <f t="shared" si="43"/>
        <v>20000000</v>
      </c>
      <c r="O243" s="18">
        <f t="shared" si="44"/>
        <v>333970000000</v>
      </c>
      <c r="P243">
        <v>0</v>
      </c>
      <c r="Q243">
        <f t="shared" si="45"/>
        <v>0</v>
      </c>
    </row>
    <row r="244" spans="1:17" x14ac:dyDescent="0.25">
      <c r="A244" s="8">
        <v>212</v>
      </c>
      <c r="B244" s="9">
        <v>1</v>
      </c>
      <c r="C244" s="10">
        <f>MAX(0,MIN(INT(($D$10+SUM($N$33:N243)+SUM($P$33:P243))/$D$5*B244)-D243,IF($D$11&gt;G243,INT(($D$11-G243)/$D$5),0)-D243))</f>
        <v>10000</v>
      </c>
      <c r="D244" s="10">
        <f t="shared" si="46"/>
        <v>1134500</v>
      </c>
      <c r="E244" s="10">
        <f t="shared" si="39"/>
        <v>2000</v>
      </c>
      <c r="F244" s="10">
        <f t="shared" si="47"/>
        <v>2269000000</v>
      </c>
      <c r="G244" s="10">
        <f t="shared" si="48"/>
        <v>169254000000</v>
      </c>
      <c r="H244" s="13">
        <f t="shared" si="49"/>
        <v>0</v>
      </c>
      <c r="I244" s="13">
        <f t="shared" si="40"/>
        <v>2269000000</v>
      </c>
      <c r="J244" s="13">
        <f t="shared" si="50"/>
        <v>206929492275.17426</v>
      </c>
      <c r="K244" s="13">
        <f t="shared" si="51"/>
        <v>679935190.28297102</v>
      </c>
      <c r="L244" s="11">
        <f t="shared" si="41"/>
        <v>0.61129867617655786</v>
      </c>
      <c r="M244" s="16">
        <f t="shared" si="42"/>
        <v>1.3405887010055892E-2</v>
      </c>
      <c r="N244" s="10">
        <f t="shared" si="43"/>
        <v>20000000</v>
      </c>
      <c r="O244" s="18">
        <f t="shared" si="44"/>
        <v>338508000000</v>
      </c>
      <c r="P244">
        <v>0</v>
      </c>
      <c r="Q244">
        <f t="shared" si="45"/>
        <v>0</v>
      </c>
    </row>
    <row r="245" spans="1:17" x14ac:dyDescent="0.25">
      <c r="A245" s="8">
        <v>213</v>
      </c>
      <c r="B245" s="9">
        <v>1</v>
      </c>
      <c r="C245" s="10">
        <f>MAX(0,MIN(INT(($D$10+SUM($N$33:N244)+SUM($P$33:P244))/$D$5*B245)-D244,IF($D$11&gt;G244,INT(($D$11-G244)/$D$5),0)-D244))</f>
        <v>10000</v>
      </c>
      <c r="D245" s="10">
        <f t="shared" si="46"/>
        <v>1144500</v>
      </c>
      <c r="E245" s="10">
        <f t="shared" si="39"/>
        <v>2000</v>
      </c>
      <c r="F245" s="10">
        <f t="shared" si="47"/>
        <v>2289000000</v>
      </c>
      <c r="G245" s="10">
        <f t="shared" si="48"/>
        <v>171543000000</v>
      </c>
      <c r="H245" s="13">
        <f t="shared" si="49"/>
        <v>0</v>
      </c>
      <c r="I245" s="13">
        <f t="shared" si="40"/>
        <v>2289000000</v>
      </c>
      <c r="J245" s="13">
        <f t="shared" si="50"/>
        <v>209908257249.42484</v>
      </c>
      <c r="K245" s="13">
        <f t="shared" si="51"/>
        <v>689764974.25058091</v>
      </c>
      <c r="L245" s="11">
        <f t="shared" si="41"/>
        <v>0.61182402444117456</v>
      </c>
      <c r="M245" s="16">
        <f t="shared" si="42"/>
        <v>1.3343593151571326E-2</v>
      </c>
      <c r="N245" s="10">
        <f t="shared" si="43"/>
        <v>20000000</v>
      </c>
      <c r="O245" s="18">
        <f t="shared" si="44"/>
        <v>343086000000</v>
      </c>
      <c r="P245">
        <v>0</v>
      </c>
      <c r="Q245">
        <f t="shared" si="45"/>
        <v>0</v>
      </c>
    </row>
    <row r="246" spans="1:17" x14ac:dyDescent="0.25">
      <c r="A246" s="8">
        <v>214</v>
      </c>
      <c r="B246" s="9">
        <v>1</v>
      </c>
      <c r="C246" s="10">
        <f>MAX(0,MIN(INT(($D$10+SUM($N$33:N245)+SUM($P$33:P245))/$D$5*B246)-D245,IF($D$11&gt;G245,INT(($D$11-G245)/$D$5),0)-D245))</f>
        <v>10000</v>
      </c>
      <c r="D246" s="10">
        <f t="shared" si="46"/>
        <v>1154500</v>
      </c>
      <c r="E246" s="10">
        <f t="shared" si="39"/>
        <v>2000</v>
      </c>
      <c r="F246" s="10">
        <f t="shared" si="47"/>
        <v>2309000000</v>
      </c>
      <c r="G246" s="10">
        <f t="shared" si="48"/>
        <v>173852000000</v>
      </c>
      <c r="H246" s="13">
        <f t="shared" si="49"/>
        <v>0</v>
      </c>
      <c r="I246" s="13">
        <f t="shared" si="40"/>
        <v>2309000000</v>
      </c>
      <c r="J246" s="13">
        <f t="shared" si="50"/>
        <v>212916951440.25626</v>
      </c>
      <c r="K246" s="13">
        <f t="shared" si="51"/>
        <v>699694190.83141613</v>
      </c>
      <c r="L246" s="11">
        <f t="shared" si="41"/>
        <v>0.61235117065163547</v>
      </c>
      <c r="M246" s="16">
        <f t="shared" si="42"/>
        <v>1.3281411775533212E-2</v>
      </c>
      <c r="N246" s="10">
        <f t="shared" si="43"/>
        <v>20000000</v>
      </c>
      <c r="O246" s="18">
        <f t="shared" si="44"/>
        <v>347704000000</v>
      </c>
      <c r="P246">
        <v>0</v>
      </c>
      <c r="Q246">
        <f t="shared" si="45"/>
        <v>0</v>
      </c>
    </row>
    <row r="247" spans="1:17" x14ac:dyDescent="0.25">
      <c r="A247" s="8">
        <v>215</v>
      </c>
      <c r="B247" s="9">
        <v>1</v>
      </c>
      <c r="C247" s="10">
        <f>MAX(0,MIN(INT(($D$10+SUM($N$33:N246)+SUM($P$33:P246))/$D$5*B247)-D246,IF($D$11&gt;G246,INT(($D$11-G246)/$D$5),0)-D246))</f>
        <v>10000</v>
      </c>
      <c r="D247" s="10">
        <f t="shared" si="46"/>
        <v>1164500</v>
      </c>
      <c r="E247" s="10">
        <f t="shared" si="39"/>
        <v>2000</v>
      </c>
      <c r="F247" s="10">
        <f t="shared" si="47"/>
        <v>2329000000</v>
      </c>
      <c r="G247" s="10">
        <f t="shared" si="48"/>
        <v>176181000000</v>
      </c>
      <c r="H247" s="13">
        <f t="shared" si="49"/>
        <v>0</v>
      </c>
      <c r="I247" s="13">
        <f t="shared" si="40"/>
        <v>2329000000</v>
      </c>
      <c r="J247" s="13">
        <f t="shared" si="50"/>
        <v>215955674611.72379</v>
      </c>
      <c r="K247" s="13">
        <f t="shared" si="51"/>
        <v>709723171.46752095</v>
      </c>
      <c r="L247" s="11">
        <f t="shared" si="41"/>
        <v>0.61288014772229638</v>
      </c>
      <c r="M247" s="16">
        <f t="shared" si="42"/>
        <v>1.3219359635829063E-2</v>
      </c>
      <c r="N247" s="10">
        <f t="shared" si="43"/>
        <v>20000000</v>
      </c>
      <c r="O247" s="18">
        <f t="shared" si="44"/>
        <v>352362000000</v>
      </c>
      <c r="P247">
        <v>0</v>
      </c>
      <c r="Q247">
        <f t="shared" si="45"/>
        <v>0</v>
      </c>
    </row>
    <row r="248" spans="1:17" x14ac:dyDescent="0.25">
      <c r="A248" s="8">
        <v>216</v>
      </c>
      <c r="B248" s="9">
        <v>1</v>
      </c>
      <c r="C248" s="10">
        <f>MAX(0,MIN(INT(($D$10+SUM($N$33:N247)+SUM($P$33:P247))/$D$5*B248)-D247,IF($D$11&gt;G247,INT(($D$11-G247)/$D$5),0)-D247))</f>
        <v>10000</v>
      </c>
      <c r="D248" s="10">
        <f t="shared" si="46"/>
        <v>1174500</v>
      </c>
      <c r="E248" s="10">
        <f t="shared" si="39"/>
        <v>2000</v>
      </c>
      <c r="F248" s="10">
        <f t="shared" si="47"/>
        <v>2349000000</v>
      </c>
      <c r="G248" s="10">
        <f t="shared" si="48"/>
        <v>178530000000</v>
      </c>
      <c r="H248" s="13">
        <f t="shared" si="49"/>
        <v>0</v>
      </c>
      <c r="I248" s="13">
        <f t="shared" si="40"/>
        <v>2349000000</v>
      </c>
      <c r="J248" s="13">
        <f t="shared" si="50"/>
        <v>219024526860.42953</v>
      </c>
      <c r="K248" s="13">
        <f t="shared" si="51"/>
        <v>719852248.70574605</v>
      </c>
      <c r="L248" s="11">
        <f t="shared" si="41"/>
        <v>0.61341098655808413</v>
      </c>
      <c r="M248" s="16">
        <f t="shared" si="42"/>
        <v>1.3157452528986724E-2</v>
      </c>
      <c r="N248" s="10">
        <f t="shared" si="43"/>
        <v>20000000</v>
      </c>
      <c r="O248" s="18">
        <f t="shared" si="44"/>
        <v>357060000000</v>
      </c>
      <c r="P248">
        <v>0</v>
      </c>
      <c r="Q248">
        <f t="shared" si="45"/>
        <v>0</v>
      </c>
    </row>
    <row r="249" spans="1:17" x14ac:dyDescent="0.25">
      <c r="A249" s="8">
        <v>217</v>
      </c>
      <c r="B249" s="9">
        <v>1</v>
      </c>
      <c r="C249" s="10">
        <f>MAX(0,MIN(INT(($D$10+SUM($N$33:N248)+SUM($P$33:P248))/$D$5*B249)-D248,IF($D$11&gt;G248,INT(($D$11-G248)/$D$5),0)-D248))</f>
        <v>10000</v>
      </c>
      <c r="D249" s="10">
        <f t="shared" si="46"/>
        <v>1184500</v>
      </c>
      <c r="E249" s="10">
        <f t="shared" si="39"/>
        <v>2000</v>
      </c>
      <c r="F249" s="10">
        <f t="shared" si="47"/>
        <v>2369000000</v>
      </c>
      <c r="G249" s="10">
        <f t="shared" si="48"/>
        <v>180899000000</v>
      </c>
      <c r="H249" s="13">
        <f t="shared" si="49"/>
        <v>0</v>
      </c>
      <c r="I249" s="13">
        <f t="shared" si="40"/>
        <v>2369000000</v>
      </c>
      <c r="J249" s="13">
        <f t="shared" si="50"/>
        <v>222123608616.63098</v>
      </c>
      <c r="K249" s="13">
        <f t="shared" si="51"/>
        <v>730081756.20143187</v>
      </c>
      <c r="L249" s="11">
        <f t="shared" si="41"/>
        <v>0.61394371615274546</v>
      </c>
      <c r="M249" s="16">
        <f t="shared" si="42"/>
        <v>1.3095705338337968E-2</v>
      </c>
      <c r="N249" s="10">
        <f t="shared" si="43"/>
        <v>20000000</v>
      </c>
      <c r="O249" s="18">
        <f t="shared" si="44"/>
        <v>361798000000</v>
      </c>
      <c r="P249">
        <v>0</v>
      </c>
      <c r="Q249">
        <f t="shared" si="45"/>
        <v>0</v>
      </c>
    </row>
    <row r="250" spans="1:17" x14ac:dyDescent="0.25">
      <c r="A250" s="8">
        <v>218</v>
      </c>
      <c r="B250" s="9">
        <v>1</v>
      </c>
      <c r="C250" s="10">
        <f>MAX(0,MIN(INT(($D$10+SUM($N$33:N249)+SUM($P$33:P249))/$D$5*B250)-D249,IF($D$11&gt;G249,INT(($D$11-G249)/$D$5),0)-D249))</f>
        <v>10000</v>
      </c>
      <c r="D250" s="10">
        <f t="shared" si="46"/>
        <v>1194500</v>
      </c>
      <c r="E250" s="10">
        <f t="shared" si="39"/>
        <v>2000</v>
      </c>
      <c r="F250" s="10">
        <f t="shared" si="47"/>
        <v>2389000000</v>
      </c>
      <c r="G250" s="10">
        <f t="shared" si="48"/>
        <v>183288000000</v>
      </c>
      <c r="H250" s="13">
        <f t="shared" si="49"/>
        <v>0</v>
      </c>
      <c r="I250" s="13">
        <f t="shared" si="40"/>
        <v>2389000000</v>
      </c>
      <c r="J250" s="13">
        <f t="shared" si="50"/>
        <v>225253020645.35309</v>
      </c>
      <c r="K250" s="13">
        <f t="shared" si="51"/>
        <v>740412028.72210336</v>
      </c>
      <c r="L250" s="11">
        <f t="shared" si="41"/>
        <v>0.61447836368270992</v>
      </c>
      <c r="M250" s="16">
        <f t="shared" si="42"/>
        <v>1.3034132076295229E-2</v>
      </c>
      <c r="N250" s="10">
        <f t="shared" si="43"/>
        <v>20000000</v>
      </c>
      <c r="O250" s="18">
        <f t="shared" si="44"/>
        <v>366576000000</v>
      </c>
      <c r="P250">
        <v>0</v>
      </c>
      <c r="Q250">
        <f t="shared" si="45"/>
        <v>0</v>
      </c>
    </row>
    <row r="251" spans="1:17" x14ac:dyDescent="0.25">
      <c r="A251" s="8">
        <v>219</v>
      </c>
      <c r="B251" s="9">
        <v>1</v>
      </c>
      <c r="C251" s="10">
        <f>MAX(0,MIN(INT(($D$10+SUM($N$33:N250)+SUM($P$33:P250))/$D$5*B251)-D250,IF($D$11&gt;G250,INT(($D$11-G250)/$D$5),0)-D250))</f>
        <v>10000</v>
      </c>
      <c r="D251" s="10">
        <f t="shared" si="46"/>
        <v>1204500</v>
      </c>
      <c r="E251" s="10">
        <f t="shared" si="39"/>
        <v>2000</v>
      </c>
      <c r="F251" s="10">
        <f t="shared" si="47"/>
        <v>2409000000</v>
      </c>
      <c r="G251" s="10">
        <f t="shared" si="48"/>
        <v>185697000000</v>
      </c>
      <c r="H251" s="13">
        <f t="shared" si="49"/>
        <v>0</v>
      </c>
      <c r="I251" s="13">
        <f t="shared" si="40"/>
        <v>2409000000</v>
      </c>
      <c r="J251" s="13">
        <f t="shared" si="50"/>
        <v>228412864047.50427</v>
      </c>
      <c r="K251" s="13">
        <f t="shared" si="51"/>
        <v>750843402.15117705</v>
      </c>
      <c r="L251" s="11">
        <f t="shared" si="41"/>
        <v>0.61501495459674704</v>
      </c>
      <c r="M251" s="16">
        <f t="shared" si="42"/>
        <v>1.2972745924813001E-2</v>
      </c>
      <c r="N251" s="10">
        <f t="shared" si="43"/>
        <v>20000000</v>
      </c>
      <c r="O251" s="18">
        <f t="shared" si="44"/>
        <v>371394000000</v>
      </c>
      <c r="P251">
        <v>0</v>
      </c>
      <c r="Q251">
        <f t="shared" si="45"/>
        <v>0</v>
      </c>
    </row>
    <row r="252" spans="1:17" x14ac:dyDescent="0.25">
      <c r="A252" s="8">
        <v>220</v>
      </c>
      <c r="B252" s="9">
        <v>1</v>
      </c>
      <c r="C252" s="10">
        <f>MAX(0,MIN(INT(($D$10+SUM($N$33:N251)+SUM($P$33:P251))/$D$5*B252)-D251,IF($D$11&gt;G251,INT(($D$11-G251)/$D$5),0)-D251))</f>
        <v>10000</v>
      </c>
      <c r="D252" s="10">
        <f t="shared" si="46"/>
        <v>1214500</v>
      </c>
      <c r="E252" s="10">
        <f t="shared" si="39"/>
        <v>2000</v>
      </c>
      <c r="F252" s="10">
        <f t="shared" si="47"/>
        <v>2429000000</v>
      </c>
      <c r="G252" s="10">
        <f t="shared" si="48"/>
        <v>188126000000</v>
      </c>
      <c r="H252" s="13">
        <f t="shared" si="49"/>
        <v>0</v>
      </c>
      <c r="I252" s="13">
        <f t="shared" si="40"/>
        <v>2429000000</v>
      </c>
      <c r="J252" s="13">
        <f t="shared" si="50"/>
        <v>231603240260.99594</v>
      </c>
      <c r="K252" s="13">
        <f t="shared" si="51"/>
        <v>761376213.49168098</v>
      </c>
      <c r="L252" s="11">
        <f t="shared" si="41"/>
        <v>0.61555351270158287</v>
      </c>
      <c r="M252" s="16">
        <f t="shared" si="42"/>
        <v>1.2911559274103526E-2</v>
      </c>
      <c r="N252" s="10">
        <f t="shared" si="43"/>
        <v>20000000</v>
      </c>
      <c r="O252" s="18">
        <f t="shared" si="44"/>
        <v>376252000000</v>
      </c>
      <c r="P252">
        <v>0</v>
      </c>
      <c r="Q252">
        <f t="shared" si="45"/>
        <v>0</v>
      </c>
    </row>
    <row r="253" spans="1:17" x14ac:dyDescent="0.25">
      <c r="A253" s="8">
        <v>221</v>
      </c>
      <c r="B253" s="9">
        <v>1</v>
      </c>
      <c r="C253" s="10">
        <f>MAX(0,MIN(INT(($D$10+SUM($N$33:N252)+SUM($P$33:P252))/$D$5*B253)-D252,IF($D$11&gt;G252,INT(($D$11-G252)/$D$5),0)-D252))</f>
        <v>10000</v>
      </c>
      <c r="D253" s="10">
        <f t="shared" si="46"/>
        <v>1224500</v>
      </c>
      <c r="E253" s="10">
        <f t="shared" si="39"/>
        <v>2000</v>
      </c>
      <c r="F253" s="10">
        <f t="shared" si="47"/>
        <v>2449000000</v>
      </c>
      <c r="G253" s="10">
        <f t="shared" si="48"/>
        <v>190575000000</v>
      </c>
      <c r="H253" s="13">
        <f t="shared" si="49"/>
        <v>0</v>
      </c>
      <c r="I253" s="13">
        <f t="shared" si="40"/>
        <v>2449000000</v>
      </c>
      <c r="J253" s="13">
        <f t="shared" si="50"/>
        <v>234824251061.86594</v>
      </c>
      <c r="K253" s="13">
        <f t="shared" si="51"/>
        <v>772010800.86998653</v>
      </c>
      <c r="L253" s="11">
        <f t="shared" si="41"/>
        <v>0.61609406024364666</v>
      </c>
      <c r="M253" s="16">
        <f t="shared" si="42"/>
        <v>1.2850583759674669E-2</v>
      </c>
      <c r="N253" s="10">
        <f t="shared" si="43"/>
        <v>20000000</v>
      </c>
      <c r="O253" s="18">
        <f t="shared" si="44"/>
        <v>381150000000</v>
      </c>
      <c r="P253">
        <v>0</v>
      </c>
      <c r="Q253">
        <f t="shared" si="45"/>
        <v>0</v>
      </c>
    </row>
    <row r="254" spans="1:17" x14ac:dyDescent="0.25">
      <c r="A254" s="8">
        <v>222</v>
      </c>
      <c r="B254" s="9">
        <v>1</v>
      </c>
      <c r="C254" s="10">
        <f>MAX(0,MIN(INT(($D$10+SUM($N$33:N253)+SUM($P$33:P253))/$D$5*B254)-D253,IF($D$11&gt;G253,INT(($D$11-G253)/$D$5),0)-D253))</f>
        <v>10000</v>
      </c>
      <c r="D254" s="10">
        <f t="shared" si="46"/>
        <v>1234500</v>
      </c>
      <c r="E254" s="10">
        <f t="shared" si="39"/>
        <v>2000</v>
      </c>
      <c r="F254" s="10">
        <f t="shared" si="47"/>
        <v>2469000000</v>
      </c>
      <c r="G254" s="10">
        <f t="shared" si="48"/>
        <v>193044000000</v>
      </c>
      <c r="H254" s="13">
        <f t="shared" si="49"/>
        <v>0</v>
      </c>
      <c r="I254" s="13">
        <f t="shared" si="40"/>
        <v>2469000000</v>
      </c>
      <c r="J254" s="13">
        <f t="shared" si="50"/>
        <v>238075998565.40549</v>
      </c>
      <c r="K254" s="13">
        <f t="shared" si="51"/>
        <v>782747503.53955317</v>
      </c>
      <c r="L254" s="11">
        <f t="shared" si="41"/>
        <v>0.61663661798710523</v>
      </c>
      <c r="M254" s="16">
        <f t="shared" si="42"/>
        <v>1.2789830297755952E-2</v>
      </c>
      <c r="N254" s="10">
        <f t="shared" si="43"/>
        <v>20000000</v>
      </c>
      <c r="O254" s="18">
        <f t="shared" si="44"/>
        <v>386088000000</v>
      </c>
      <c r="P254">
        <v>0</v>
      </c>
      <c r="Q254">
        <f t="shared" si="45"/>
        <v>0</v>
      </c>
    </row>
    <row r="255" spans="1:17" x14ac:dyDescent="0.25">
      <c r="A255" s="8">
        <v>223</v>
      </c>
      <c r="B255" s="9">
        <v>1</v>
      </c>
      <c r="C255" s="10">
        <f>MAX(0,MIN(INT(($D$10+SUM($N$33:N254)+SUM($P$33:P254))/$D$5*B255)-D254,IF($D$11&gt;G254,INT(($D$11-G254)/$D$5),0)-D254))</f>
        <v>10000</v>
      </c>
      <c r="D255" s="10">
        <f t="shared" si="46"/>
        <v>1244500</v>
      </c>
      <c r="E255" s="10">
        <f t="shared" si="39"/>
        <v>2000</v>
      </c>
      <c r="F255" s="10">
        <f t="shared" si="47"/>
        <v>2489000000</v>
      </c>
      <c r="G255" s="10">
        <f t="shared" si="48"/>
        <v>195533000000</v>
      </c>
      <c r="H255" s="13">
        <f t="shared" si="49"/>
        <v>0</v>
      </c>
      <c r="I255" s="13">
        <f t="shared" si="40"/>
        <v>2489000000</v>
      </c>
      <c r="J255" s="13">
        <f t="shared" si="50"/>
        <v>241358585227.29016</v>
      </c>
      <c r="K255" s="13">
        <f t="shared" si="51"/>
        <v>793586661.88468504</v>
      </c>
      <c r="L255" s="11">
        <f t="shared" si="41"/>
        <v>0.61718120528834053</v>
      </c>
      <c r="M255" s="16">
        <f t="shared" si="42"/>
        <v>1.2729309119176814E-2</v>
      </c>
      <c r="N255" s="10">
        <f t="shared" si="43"/>
        <v>20000000</v>
      </c>
      <c r="O255" s="18">
        <f t="shared" si="44"/>
        <v>391066000000</v>
      </c>
      <c r="P255">
        <v>0</v>
      </c>
      <c r="Q255">
        <f t="shared" si="45"/>
        <v>0</v>
      </c>
    </row>
    <row r="256" spans="1:17" x14ac:dyDescent="0.25">
      <c r="A256" s="8">
        <v>224</v>
      </c>
      <c r="B256" s="9">
        <v>1</v>
      </c>
      <c r="C256" s="10">
        <f>MAX(0,MIN(INT(($D$10+SUM($N$33:N255)+SUM($P$33:P255))/$D$5*B256)-D255,IF($D$11&gt;G255,INT(($D$11-G255)/$D$5),0)-D255))</f>
        <v>10000</v>
      </c>
      <c r="D256" s="10">
        <f t="shared" si="46"/>
        <v>1254500</v>
      </c>
      <c r="E256" s="10">
        <f t="shared" si="39"/>
        <v>2000</v>
      </c>
      <c r="F256" s="10">
        <f t="shared" si="47"/>
        <v>2509000000</v>
      </c>
      <c r="G256" s="10">
        <f t="shared" si="48"/>
        <v>198042000000</v>
      </c>
      <c r="H256" s="13">
        <f t="shared" si="49"/>
        <v>0</v>
      </c>
      <c r="I256" s="13">
        <f t="shared" si="40"/>
        <v>2509000000</v>
      </c>
      <c r="J256" s="13">
        <f t="shared" si="50"/>
        <v>244672113844.71445</v>
      </c>
      <c r="K256" s="13">
        <f t="shared" si="51"/>
        <v>804528617.42430055</v>
      </c>
      <c r="L256" s="11">
        <f t="shared" si="41"/>
        <v>0.6177278401670212</v>
      </c>
      <c r="M256" s="16">
        <f t="shared" si="42"/>
        <v>1.2669029801759223E-2</v>
      </c>
      <c r="N256" s="10">
        <f t="shared" si="43"/>
        <v>20000000</v>
      </c>
      <c r="O256" s="18">
        <f t="shared" si="44"/>
        <v>396084000000</v>
      </c>
      <c r="P256">
        <v>0</v>
      </c>
      <c r="Q256">
        <f t="shared" si="45"/>
        <v>0</v>
      </c>
    </row>
    <row r="257" spans="1:17" x14ac:dyDescent="0.25">
      <c r="A257" s="8">
        <v>225</v>
      </c>
      <c r="B257" s="9">
        <v>1</v>
      </c>
      <c r="C257" s="10">
        <f>MAX(0,MIN(INT(($D$10+SUM($N$33:N256)+SUM($P$33:P256))/$D$5*B257)-D256,IF($D$11&gt;G256,INT(($D$11-G256)/$D$5),0)-D256))</f>
        <v>10000</v>
      </c>
      <c r="D257" s="10">
        <f t="shared" si="46"/>
        <v>1264500</v>
      </c>
      <c r="E257" s="10">
        <f t="shared" si="39"/>
        <v>2000</v>
      </c>
      <c r="F257" s="10">
        <f t="shared" si="47"/>
        <v>2529000000</v>
      </c>
      <c r="G257" s="10">
        <f t="shared" si="48"/>
        <v>200571000000</v>
      </c>
      <c r="H257" s="13">
        <f t="shared" si="49"/>
        <v>0</v>
      </c>
      <c r="I257" s="13">
        <f t="shared" si="40"/>
        <v>2529000000</v>
      </c>
      <c r="J257" s="13">
        <f t="shared" si="50"/>
        <v>248016687557.53015</v>
      </c>
      <c r="K257" s="13">
        <f t="shared" si="51"/>
        <v>815573712.81571484</v>
      </c>
      <c r="L257" s="11">
        <f t="shared" si="41"/>
        <v>0.6182765393739128</v>
      </c>
      <c r="M257" s="16">
        <f t="shared" si="42"/>
        <v>1.2609001301284832E-2</v>
      </c>
      <c r="N257" s="10">
        <f t="shared" si="43"/>
        <v>20000000</v>
      </c>
      <c r="O257" s="18">
        <f t="shared" si="44"/>
        <v>401142000000</v>
      </c>
      <c r="P257">
        <v>0</v>
      </c>
      <c r="Q257">
        <f t="shared" si="45"/>
        <v>0</v>
      </c>
    </row>
    <row r="258" spans="1:17" x14ac:dyDescent="0.25">
      <c r="A258" s="8">
        <v>226</v>
      </c>
      <c r="B258" s="9">
        <v>1</v>
      </c>
      <c r="C258" s="10">
        <f>MAX(0,MIN(INT(($D$10+SUM($N$33:N257)+SUM($P$33:P257))/$D$5*B258)-D257,IF($D$11&gt;G257,INT(($D$11-G257)/$D$5),0)-D257))</f>
        <v>10000</v>
      </c>
      <c r="D258" s="10">
        <f t="shared" si="46"/>
        <v>1274500</v>
      </c>
      <c r="E258" s="10">
        <f t="shared" si="39"/>
        <v>2000</v>
      </c>
      <c r="F258" s="10">
        <f t="shared" si="47"/>
        <v>2549000000</v>
      </c>
      <c r="G258" s="10">
        <f t="shared" si="48"/>
        <v>203120000000</v>
      </c>
      <c r="H258" s="13">
        <f t="shared" si="49"/>
        <v>0</v>
      </c>
      <c r="I258" s="13">
        <f t="shared" si="40"/>
        <v>2549000000</v>
      </c>
      <c r="J258" s="13">
        <f t="shared" si="50"/>
        <v>251392409849.38858</v>
      </c>
      <c r="K258" s="13">
        <f t="shared" si="51"/>
        <v>826722291.85843384</v>
      </c>
      <c r="L258" s="11">
        <f t="shared" si="41"/>
        <v>0.6188273184555646</v>
      </c>
      <c r="M258" s="16">
        <f t="shared" si="42"/>
        <v>1.254923198109492E-2</v>
      </c>
      <c r="N258" s="10">
        <f t="shared" si="43"/>
        <v>20000000</v>
      </c>
      <c r="O258" s="18">
        <f t="shared" si="44"/>
        <v>406240000000</v>
      </c>
      <c r="P258">
        <v>0</v>
      </c>
      <c r="Q258">
        <f t="shared" si="45"/>
        <v>0</v>
      </c>
    </row>
    <row r="259" spans="1:17" x14ac:dyDescent="0.25">
      <c r="A259" s="8">
        <v>227</v>
      </c>
      <c r="B259" s="9">
        <v>1</v>
      </c>
      <c r="C259" s="10">
        <f>MAX(0,MIN(INT(($D$10+SUM($N$33:N258)+SUM($P$33:P258))/$D$5*B259)-D258,IF($D$11&gt;G258,INT(($D$11-G258)/$D$5),0)-D258))</f>
        <v>10000</v>
      </c>
      <c r="D259" s="10">
        <f t="shared" si="46"/>
        <v>1284500</v>
      </c>
      <c r="E259" s="10">
        <f t="shared" si="39"/>
        <v>2000</v>
      </c>
      <c r="F259" s="10">
        <f t="shared" si="47"/>
        <v>2569000000</v>
      </c>
      <c r="G259" s="10">
        <f t="shared" si="48"/>
        <v>205689000000</v>
      </c>
      <c r="H259" s="13">
        <f t="shared" si="49"/>
        <v>0</v>
      </c>
      <c r="I259" s="13">
        <f t="shared" si="40"/>
        <v>2569000000</v>
      </c>
      <c r="J259" s="13">
        <f t="shared" si="50"/>
        <v>254799384548.88654</v>
      </c>
      <c r="K259" s="13">
        <f t="shared" si="51"/>
        <v>837974699.497962</v>
      </c>
      <c r="L259" s="11">
        <f t="shared" si="41"/>
        <v>0.6193801918160099</v>
      </c>
      <c r="M259" s="16">
        <f t="shared" si="42"/>
        <v>1.2489729640379407E-2</v>
      </c>
      <c r="N259" s="10">
        <f t="shared" si="43"/>
        <v>20000000</v>
      </c>
      <c r="O259" s="18">
        <f t="shared" si="44"/>
        <v>411378000000</v>
      </c>
      <c r="P259">
        <v>0</v>
      </c>
      <c r="Q259">
        <f t="shared" si="45"/>
        <v>0</v>
      </c>
    </row>
    <row r="260" spans="1:17" x14ac:dyDescent="0.25">
      <c r="A260" s="8">
        <v>228</v>
      </c>
      <c r="B260" s="9">
        <v>1</v>
      </c>
      <c r="C260" s="10">
        <f>MAX(0,MIN(INT(($D$10+SUM($N$33:N259)+SUM($P$33:P259))/$D$5*B260)-D259,IF($D$11&gt;G259,INT(($D$11-G259)/$D$5),0)-D259))</f>
        <v>10000</v>
      </c>
      <c r="D260" s="10">
        <f t="shared" si="46"/>
        <v>1294500</v>
      </c>
      <c r="E260" s="10">
        <f t="shared" si="39"/>
        <v>2000</v>
      </c>
      <c r="F260" s="10">
        <f t="shared" si="47"/>
        <v>2589000000</v>
      </c>
      <c r="G260" s="10">
        <f t="shared" si="48"/>
        <v>208278000000</v>
      </c>
      <c r="H260" s="13">
        <f t="shared" si="49"/>
        <v>0</v>
      </c>
      <c r="I260" s="13">
        <f t="shared" si="40"/>
        <v>2589000000</v>
      </c>
      <c r="J260" s="13">
        <f t="shared" si="50"/>
        <v>258237715830.71616</v>
      </c>
      <c r="K260" s="13">
        <f t="shared" si="51"/>
        <v>849331281.82962179</v>
      </c>
      <c r="L260" s="11">
        <f t="shared" si="41"/>
        <v>0.61993517277560795</v>
      </c>
      <c r="M260" s="16">
        <f t="shared" si="42"/>
        <v>1.2430501541209345E-2</v>
      </c>
      <c r="N260" s="10">
        <f t="shared" si="43"/>
        <v>20000000</v>
      </c>
      <c r="O260" s="18">
        <f t="shared" si="44"/>
        <v>416556000000</v>
      </c>
      <c r="P260">
        <v>0</v>
      </c>
      <c r="Q260">
        <f t="shared" si="45"/>
        <v>0</v>
      </c>
    </row>
    <row r="261" spans="1:17" x14ac:dyDescent="0.25">
      <c r="A261" s="8">
        <v>229</v>
      </c>
      <c r="B261" s="9">
        <v>1</v>
      </c>
      <c r="C261" s="10">
        <f>MAX(0,MIN(INT(($D$10+SUM($N$33:N260)+SUM($P$33:P260))/$D$5*B261)-D260,IF($D$11&gt;G260,INT(($D$11-G260)/$D$5),0)-D260))</f>
        <v>10000</v>
      </c>
      <c r="D261" s="10">
        <f t="shared" si="46"/>
        <v>1304500</v>
      </c>
      <c r="E261" s="10">
        <f t="shared" si="39"/>
        <v>2000</v>
      </c>
      <c r="F261" s="10">
        <f t="shared" si="47"/>
        <v>2609000000</v>
      </c>
      <c r="G261" s="10">
        <f t="shared" si="48"/>
        <v>210887000000</v>
      </c>
      <c r="H261" s="13">
        <f t="shared" si="49"/>
        <v>0</v>
      </c>
      <c r="I261" s="13">
        <f t="shared" si="40"/>
        <v>2609000000</v>
      </c>
      <c r="J261" s="13">
        <f t="shared" si="50"/>
        <v>261707508216.81854</v>
      </c>
      <c r="K261" s="13">
        <f t="shared" si="51"/>
        <v>860792386.10238719</v>
      </c>
      <c r="L261" s="11">
        <f t="shared" si="41"/>
        <v>0.62049227362715231</v>
      </c>
      <c r="M261" s="16">
        <f t="shared" si="42"/>
        <v>1.2371554434365323E-2</v>
      </c>
      <c r="N261" s="10">
        <f t="shared" si="43"/>
        <v>20000000</v>
      </c>
      <c r="O261" s="18">
        <f t="shared" si="44"/>
        <v>421774000000</v>
      </c>
      <c r="P261">
        <v>0</v>
      </c>
      <c r="Q261">
        <f t="shared" si="45"/>
        <v>0</v>
      </c>
    </row>
    <row r="262" spans="1:17" x14ac:dyDescent="0.25">
      <c r="A262" s="8">
        <v>230</v>
      </c>
      <c r="B262" s="9">
        <v>1</v>
      </c>
      <c r="C262" s="10">
        <f>MAX(0,MIN(INT(($D$10+SUM($N$33:N261)+SUM($P$33:P261))/$D$5*B262)-D261,IF($D$11&gt;G261,INT(($D$11-G261)/$D$5),0)-D261))</f>
        <v>10000</v>
      </c>
      <c r="D262" s="10">
        <f t="shared" si="46"/>
        <v>1314500</v>
      </c>
      <c r="E262" s="10">
        <f t="shared" si="39"/>
        <v>2000</v>
      </c>
      <c r="F262" s="10">
        <f t="shared" si="47"/>
        <v>2629000000</v>
      </c>
      <c r="G262" s="10">
        <f t="shared" si="48"/>
        <v>213516000000</v>
      </c>
      <c r="H262" s="13">
        <f t="shared" si="49"/>
        <v>0</v>
      </c>
      <c r="I262" s="13">
        <f t="shared" si="40"/>
        <v>2629000000</v>
      </c>
      <c r="J262" s="13">
        <f t="shared" si="50"/>
        <v>265208866577.54126</v>
      </c>
      <c r="K262" s="13">
        <f t="shared" si="51"/>
        <v>872358360.72272849</v>
      </c>
      <c r="L262" s="11">
        <f t="shared" si="41"/>
        <v>0.62105150568936585</v>
      </c>
      <c r="M262" s="16">
        <f t="shared" si="42"/>
        <v>1.2312894584012439E-2</v>
      </c>
      <c r="N262" s="10">
        <f t="shared" si="43"/>
        <v>20000000</v>
      </c>
      <c r="O262" s="18">
        <f t="shared" si="44"/>
        <v>427032000000</v>
      </c>
      <c r="P262">
        <v>0</v>
      </c>
      <c r="Q262">
        <f t="shared" si="45"/>
        <v>0</v>
      </c>
    </row>
    <row r="263" spans="1:17" x14ac:dyDescent="0.25">
      <c r="A263" s="8">
        <v>231</v>
      </c>
      <c r="B263" s="9">
        <v>1</v>
      </c>
      <c r="C263" s="10">
        <f>MAX(0,MIN(INT(($D$10+SUM($N$33:N262)+SUM($P$33:P262))/$D$5*B263)-D262,IF($D$11&gt;G262,INT(($D$11-G262)/$D$5),0)-D262))</f>
        <v>10000</v>
      </c>
      <c r="D263" s="10">
        <f t="shared" si="46"/>
        <v>1324500</v>
      </c>
      <c r="E263" s="10">
        <f t="shared" si="39"/>
        <v>2000</v>
      </c>
      <c r="F263" s="10">
        <f t="shared" si="47"/>
        <v>2649000000</v>
      </c>
      <c r="G263" s="10">
        <f t="shared" si="48"/>
        <v>216165000000</v>
      </c>
      <c r="H263" s="13">
        <f t="shared" si="49"/>
        <v>0</v>
      </c>
      <c r="I263" s="13">
        <f t="shared" si="40"/>
        <v>2649000000</v>
      </c>
      <c r="J263" s="13">
        <f t="shared" si="50"/>
        <v>268741896132.79974</v>
      </c>
      <c r="K263" s="13">
        <f t="shared" si="51"/>
        <v>884029555.25847089</v>
      </c>
      <c r="L263" s="11">
        <f t="shared" si="41"/>
        <v>0.62161287935789733</v>
      </c>
      <c r="M263" s="16">
        <f t="shared" si="42"/>
        <v>1.2254527791270557E-2</v>
      </c>
      <c r="N263" s="10">
        <f t="shared" si="43"/>
        <v>20000000</v>
      </c>
      <c r="O263" s="18">
        <f t="shared" si="44"/>
        <v>432330000000</v>
      </c>
      <c r="P263">
        <v>0</v>
      </c>
      <c r="Q263">
        <f t="shared" si="45"/>
        <v>0</v>
      </c>
    </row>
    <row r="264" spans="1:17" x14ac:dyDescent="0.25">
      <c r="A264" s="8">
        <v>232</v>
      </c>
      <c r="B264" s="9">
        <v>1</v>
      </c>
      <c r="C264" s="10">
        <f>MAX(0,MIN(INT(($D$10+SUM($N$33:N263)+SUM($P$33:P263))/$D$5*B264)-D263,IF($D$11&gt;G263,INT(($D$11-G263)/$D$5),0)-D263))</f>
        <v>10000</v>
      </c>
      <c r="D264" s="10">
        <f t="shared" si="46"/>
        <v>1334500</v>
      </c>
      <c r="E264" s="10">
        <f t="shared" si="39"/>
        <v>2000</v>
      </c>
      <c r="F264" s="10">
        <f t="shared" si="47"/>
        <v>2669000000</v>
      </c>
      <c r="G264" s="10">
        <f t="shared" si="48"/>
        <v>218834000000</v>
      </c>
      <c r="H264" s="13">
        <f t="shared" si="49"/>
        <v>0</v>
      </c>
      <c r="I264" s="13">
        <f t="shared" si="40"/>
        <v>2669000000</v>
      </c>
      <c r="J264" s="13">
        <f t="shared" si="50"/>
        <v>272306702453.2424</v>
      </c>
      <c r="K264" s="13">
        <f t="shared" si="51"/>
        <v>895806320.44266582</v>
      </c>
      <c r="L264" s="11">
        <f t="shared" si="41"/>
        <v>0.62217640415393038</v>
      </c>
      <c r="M264" s="16">
        <f t="shared" si="42"/>
        <v>1.2196459416726833E-2</v>
      </c>
      <c r="N264" s="10">
        <f t="shared" si="43"/>
        <v>20000000</v>
      </c>
      <c r="O264" s="18">
        <f t="shared" si="44"/>
        <v>437668000000</v>
      </c>
      <c r="P264">
        <v>0</v>
      </c>
      <c r="Q264">
        <f t="shared" si="45"/>
        <v>0</v>
      </c>
    </row>
    <row r="265" spans="1:17" x14ac:dyDescent="0.25">
      <c r="A265" s="8">
        <v>233</v>
      </c>
      <c r="B265" s="9">
        <v>1</v>
      </c>
      <c r="C265" s="10">
        <f>MAX(0,MIN(INT(($D$10+SUM($N$33:N264)+SUM($P$33:P264))/$D$5*B265)-D264,IF($D$11&gt;G264,INT(($D$11-G264)/$D$5),0)-D264))</f>
        <v>10000</v>
      </c>
      <c r="D265" s="10">
        <f t="shared" si="46"/>
        <v>1344500</v>
      </c>
      <c r="E265" s="10">
        <f t="shared" si="39"/>
        <v>2000</v>
      </c>
      <c r="F265" s="10">
        <f t="shared" si="47"/>
        <v>2689000000</v>
      </c>
      <c r="G265" s="10">
        <f t="shared" si="48"/>
        <v>221523000000</v>
      </c>
      <c r="H265" s="13">
        <f t="shared" si="49"/>
        <v>0</v>
      </c>
      <c r="I265" s="13">
        <f t="shared" si="40"/>
        <v>2689000000</v>
      </c>
      <c r="J265" s="13">
        <f t="shared" si="50"/>
        <v>275903391461.41992</v>
      </c>
      <c r="K265" s="13">
        <f t="shared" si="51"/>
        <v>907689008.17747474</v>
      </c>
      <c r="L265" s="11">
        <f t="shared" si="41"/>
        <v>0.62274208877051129</v>
      </c>
      <c r="M265" s="16">
        <f t="shared" si="42"/>
        <v>1.213869440193569E-2</v>
      </c>
      <c r="N265" s="10">
        <f t="shared" si="43"/>
        <v>20000000</v>
      </c>
      <c r="O265" s="18">
        <f t="shared" si="44"/>
        <v>443046000000</v>
      </c>
      <c r="P265">
        <v>0</v>
      </c>
      <c r="Q265">
        <f t="shared" si="45"/>
        <v>0</v>
      </c>
    </row>
    <row r="266" spans="1:17" x14ac:dyDescent="0.25">
      <c r="A266" s="8">
        <v>234</v>
      </c>
      <c r="B266" s="9">
        <v>1</v>
      </c>
      <c r="C266" s="10">
        <f>MAX(0,MIN(INT(($D$10+SUM($N$33:N265)+SUM($P$33:P265))/$D$5*B266)-D265,IF($D$11&gt;G265,INT(($D$11-G265)/$D$5),0)-D265))</f>
        <v>10000</v>
      </c>
      <c r="D266" s="10">
        <f t="shared" si="46"/>
        <v>1354500</v>
      </c>
      <c r="E266" s="10">
        <f t="shared" si="39"/>
        <v>2000</v>
      </c>
      <c r="F266" s="10">
        <f t="shared" si="47"/>
        <v>2709000000</v>
      </c>
      <c r="G266" s="10">
        <f t="shared" si="48"/>
        <v>224232000000</v>
      </c>
      <c r="H266" s="13">
        <f t="shared" si="49"/>
        <v>0</v>
      </c>
      <c r="I266" s="13">
        <f t="shared" si="40"/>
        <v>2709000000</v>
      </c>
      <c r="J266" s="13">
        <f t="shared" si="50"/>
        <v>279532069432.95801</v>
      </c>
      <c r="K266" s="13">
        <f t="shared" si="51"/>
        <v>919677971.53806651</v>
      </c>
      <c r="L266" s="11">
        <f t="shared" si="41"/>
        <v>0.62330994111669613</v>
      </c>
      <c r="M266" s="16">
        <f t="shared" si="42"/>
        <v>1.2081237289949694E-2</v>
      </c>
      <c r="N266" s="10">
        <f t="shared" si="43"/>
        <v>20000000</v>
      </c>
      <c r="O266" s="18">
        <f t="shared" si="44"/>
        <v>448464000000</v>
      </c>
      <c r="P266">
        <v>0</v>
      </c>
      <c r="Q266">
        <f t="shared" si="45"/>
        <v>0</v>
      </c>
    </row>
    <row r="267" spans="1:17" x14ac:dyDescent="0.25">
      <c r="A267" s="8">
        <v>235</v>
      </c>
      <c r="B267" s="9">
        <v>1</v>
      </c>
      <c r="C267" s="10">
        <f>MAX(0,MIN(INT(($D$10+SUM($N$33:N266)+SUM($P$33:P266))/$D$5*B267)-D266,IF($D$11&gt;G266,INT(($D$11-G266)/$D$5),0)-D266))</f>
        <v>10000</v>
      </c>
      <c r="D267" s="10">
        <f t="shared" si="46"/>
        <v>1364500</v>
      </c>
      <c r="E267" s="10">
        <f t="shared" si="39"/>
        <v>2000</v>
      </c>
      <c r="F267" s="10">
        <f t="shared" si="47"/>
        <v>2729000000</v>
      </c>
      <c r="G267" s="10">
        <f t="shared" si="48"/>
        <v>226961000000</v>
      </c>
      <c r="H267" s="13">
        <f t="shared" si="49"/>
        <v>0</v>
      </c>
      <c r="I267" s="13">
        <f t="shared" si="40"/>
        <v>2729000000</v>
      </c>
      <c r="J267" s="13">
        <f t="shared" si="50"/>
        <v>283192842997.73456</v>
      </c>
      <c r="K267" s="13">
        <f t="shared" si="51"/>
        <v>931773564.77652681</v>
      </c>
      <c r="L267" s="11">
        <f t="shared" si="41"/>
        <v>0.62387996835961812</v>
      </c>
      <c r="M267" s="16">
        <f t="shared" si="42"/>
        <v>1.2024092244923137E-2</v>
      </c>
      <c r="N267" s="10">
        <f t="shared" si="43"/>
        <v>20000000</v>
      </c>
      <c r="O267" s="18">
        <f t="shared" si="44"/>
        <v>453922000000</v>
      </c>
      <c r="P267">
        <v>0</v>
      </c>
      <c r="Q267">
        <f t="shared" si="45"/>
        <v>0</v>
      </c>
    </row>
    <row r="268" spans="1:17" x14ac:dyDescent="0.25">
      <c r="A268" s="8">
        <v>236</v>
      </c>
      <c r="B268" s="9">
        <v>1</v>
      </c>
      <c r="C268" s="10">
        <f>MAX(0,MIN(INT(($D$10+SUM($N$33:N267)+SUM($P$33:P267))/$D$5*B268)-D267,IF($D$11&gt;G267,INT(($D$11-G267)/$D$5),0)-D267))</f>
        <v>10000</v>
      </c>
      <c r="D268" s="10">
        <f t="shared" si="46"/>
        <v>1374500</v>
      </c>
      <c r="E268" s="10">
        <f t="shared" si="39"/>
        <v>2000</v>
      </c>
      <c r="F268" s="10">
        <f t="shared" si="47"/>
        <v>2749000000</v>
      </c>
      <c r="G268" s="10">
        <f t="shared" si="48"/>
        <v>229710000000</v>
      </c>
      <c r="H268" s="13">
        <f t="shared" si="49"/>
        <v>0</v>
      </c>
      <c r="I268" s="13">
        <f t="shared" si="40"/>
        <v>2749000000</v>
      </c>
      <c r="J268" s="13">
        <f t="shared" si="50"/>
        <v>286885819141.06036</v>
      </c>
      <c r="K268" s="13">
        <f t="shared" si="51"/>
        <v>943976143.32578194</v>
      </c>
      <c r="L268" s="11">
        <f t="shared" si="41"/>
        <v>0.62445217696456479</v>
      </c>
      <c r="M268" s="16">
        <f t="shared" si="42"/>
        <v>1.1967263070828436E-2</v>
      </c>
      <c r="N268" s="10">
        <f t="shared" si="43"/>
        <v>20000000</v>
      </c>
      <c r="O268" s="18">
        <f t="shared" si="44"/>
        <v>459420000000</v>
      </c>
      <c r="P268">
        <v>0</v>
      </c>
      <c r="Q268">
        <f t="shared" si="45"/>
        <v>0</v>
      </c>
    </row>
    <row r="269" spans="1:17" x14ac:dyDescent="0.25">
      <c r="A269" s="8">
        <v>237</v>
      </c>
      <c r="B269" s="9">
        <v>1</v>
      </c>
      <c r="C269" s="10">
        <f>MAX(0,MIN(INT(($D$10+SUM($N$33:N268)+SUM($P$33:P268))/$D$5*B269)-D268,IF($D$11&gt;G268,INT(($D$11-G268)/$D$5),0)-D268))</f>
        <v>10000</v>
      </c>
      <c r="D269" s="10">
        <f t="shared" si="46"/>
        <v>1384500</v>
      </c>
      <c r="E269" s="10">
        <f t="shared" si="39"/>
        <v>2000</v>
      </c>
      <c r="F269" s="10">
        <f t="shared" si="47"/>
        <v>2769000000</v>
      </c>
      <c r="G269" s="10">
        <f t="shared" si="48"/>
        <v>232479000000</v>
      </c>
      <c r="H269" s="13">
        <f t="shared" si="49"/>
        <v>0</v>
      </c>
      <c r="I269" s="13">
        <f t="shared" si="40"/>
        <v>2769000000</v>
      </c>
      <c r="J269" s="13">
        <f t="shared" si="50"/>
        <v>290611105204.86389</v>
      </c>
      <c r="K269" s="13">
        <f t="shared" si="51"/>
        <v>956286063.80353463</v>
      </c>
      <c r="L269" s="11">
        <f t="shared" si="41"/>
        <v>0.62502657273315843</v>
      </c>
      <c r="M269" s="16">
        <f t="shared" si="42"/>
        <v>1.191075322932394E-2</v>
      </c>
      <c r="N269" s="10">
        <f t="shared" si="43"/>
        <v>20000000</v>
      </c>
      <c r="O269" s="18">
        <f t="shared" si="44"/>
        <v>464958000000</v>
      </c>
      <c r="P269">
        <v>0</v>
      </c>
      <c r="Q269">
        <f t="shared" si="45"/>
        <v>0</v>
      </c>
    </row>
    <row r="270" spans="1:17" x14ac:dyDescent="0.25">
      <c r="A270" s="8">
        <v>238</v>
      </c>
      <c r="B270" s="9">
        <v>1</v>
      </c>
      <c r="C270" s="10">
        <f>MAX(0,MIN(INT(($D$10+SUM($N$33:N269)+SUM($P$33:P269))/$D$5*B270)-D269,IF($D$11&gt;G269,INT(($D$11-G269)/$D$5),0)-D269))</f>
        <v>10000</v>
      </c>
      <c r="D270" s="10">
        <f t="shared" si="46"/>
        <v>1394500</v>
      </c>
      <c r="E270" s="10">
        <f t="shared" si="39"/>
        <v>2000</v>
      </c>
      <c r="F270" s="10">
        <f t="shared" si="47"/>
        <v>2789000000</v>
      </c>
      <c r="G270" s="10">
        <f t="shared" si="48"/>
        <v>235268000000</v>
      </c>
      <c r="H270" s="13">
        <f t="shared" si="49"/>
        <v>0</v>
      </c>
      <c r="I270" s="13">
        <f t="shared" si="40"/>
        <v>2789000000</v>
      </c>
      <c r="J270" s="13">
        <f t="shared" si="50"/>
        <v>294368808888.88013</v>
      </c>
      <c r="K270" s="13">
        <f t="shared" si="51"/>
        <v>968703684.01621306</v>
      </c>
      <c r="L270" s="11">
        <f t="shared" si="41"/>
        <v>0.62560316083972345</v>
      </c>
      <c r="M270" s="16">
        <f t="shared" si="42"/>
        <v>1.1854565856810106E-2</v>
      </c>
      <c r="N270" s="10">
        <f t="shared" si="43"/>
        <v>20000000</v>
      </c>
      <c r="O270" s="18">
        <f t="shared" si="44"/>
        <v>470536000000</v>
      </c>
      <c r="P270">
        <v>0</v>
      </c>
      <c r="Q270">
        <f t="shared" si="45"/>
        <v>0</v>
      </c>
    </row>
    <row r="271" spans="1:17" x14ac:dyDescent="0.25">
      <c r="A271" s="8">
        <v>239</v>
      </c>
      <c r="B271" s="9">
        <v>1</v>
      </c>
      <c r="C271" s="10">
        <f>MAX(0,MIN(INT(($D$10+SUM($N$33:N270)+SUM($P$33:P270))/$D$5*B271)-D270,IF($D$11&gt;G270,INT(($D$11-G270)/$D$5),0)-D270))</f>
        <v>10000</v>
      </c>
      <c r="D271" s="10">
        <f t="shared" si="46"/>
        <v>1404500</v>
      </c>
      <c r="E271" s="10">
        <f t="shared" si="39"/>
        <v>2000</v>
      </c>
      <c r="F271" s="10">
        <f t="shared" si="47"/>
        <v>2809000000</v>
      </c>
      <c r="G271" s="10">
        <f t="shared" si="48"/>
        <v>238077000000</v>
      </c>
      <c r="H271" s="13">
        <f t="shared" si="49"/>
        <v>0</v>
      </c>
      <c r="I271" s="13">
        <f t="shared" si="40"/>
        <v>2809000000</v>
      </c>
      <c r="J271" s="13">
        <f t="shared" si="50"/>
        <v>298159038251.84308</v>
      </c>
      <c r="K271" s="13">
        <f t="shared" si="51"/>
        <v>981229362.96293378</v>
      </c>
      <c r="L271" s="11">
        <f t="shared" si="41"/>
        <v>0.62618194586592379</v>
      </c>
      <c r="M271" s="16">
        <f t="shared" si="42"/>
        <v>1.1798703780709602E-2</v>
      </c>
      <c r="N271" s="10">
        <f t="shared" si="43"/>
        <v>20000000</v>
      </c>
      <c r="O271" s="18">
        <f t="shared" si="44"/>
        <v>476154000000</v>
      </c>
      <c r="P271">
        <v>0</v>
      </c>
      <c r="Q271">
        <f t="shared" si="45"/>
        <v>0</v>
      </c>
    </row>
    <row r="272" spans="1:17" x14ac:dyDescent="0.25">
      <c r="A272" s="8">
        <v>240</v>
      </c>
      <c r="B272" s="9">
        <v>1</v>
      </c>
      <c r="C272" s="10">
        <f>MAX(0,MIN(INT(($D$10+SUM($N$33:N271)+SUM($P$33:P271))/$D$5*B272)-D271,IF($D$11&gt;G271,INT(($D$11-G271)/$D$5),0)-D271))</f>
        <v>10000</v>
      </c>
      <c r="D272" s="10">
        <f t="shared" si="46"/>
        <v>1414500</v>
      </c>
      <c r="E272" s="10">
        <f t="shared" si="39"/>
        <v>2000</v>
      </c>
      <c r="F272" s="10">
        <f t="shared" si="47"/>
        <v>2829000000</v>
      </c>
      <c r="G272" s="10">
        <f t="shared" si="48"/>
        <v>240906000000</v>
      </c>
      <c r="H272" s="13">
        <f t="shared" si="49"/>
        <v>0</v>
      </c>
      <c r="I272" s="13">
        <f t="shared" si="40"/>
        <v>2829000000</v>
      </c>
      <c r="J272" s="13">
        <f t="shared" si="50"/>
        <v>301981901712.68256</v>
      </c>
      <c r="K272" s="13">
        <f t="shared" si="51"/>
        <v>993863460.83947694</v>
      </c>
      <c r="L272" s="11">
        <f t="shared" si="41"/>
        <v>0.62676293183374954</v>
      </c>
      <c r="M272" s="16">
        <f t="shared" si="42"/>
        <v>1.1743169535005355E-2</v>
      </c>
      <c r="N272" s="10">
        <f t="shared" si="43"/>
        <v>20000000</v>
      </c>
      <c r="O272" s="18">
        <f t="shared" si="44"/>
        <v>481812000000</v>
      </c>
      <c r="P272">
        <v>0</v>
      </c>
      <c r="Q272">
        <f t="shared" si="45"/>
        <v>0</v>
      </c>
    </row>
    <row r="273" spans="1:17" x14ac:dyDescent="0.25">
      <c r="A273" s="8">
        <v>241</v>
      </c>
      <c r="B273" s="9">
        <v>1</v>
      </c>
      <c r="C273" s="10">
        <f>MAX(0,MIN(INT(($D$10+SUM($N$33:N272)+SUM($P$33:P272))/$D$5*B273)-D272,IF($D$11&gt;G272,INT(($D$11-G272)/$D$5),0)-D272))</f>
        <v>10000</v>
      </c>
      <c r="D273" s="10">
        <f t="shared" si="46"/>
        <v>1424500</v>
      </c>
      <c r="E273" s="10">
        <f t="shared" si="39"/>
        <v>2000</v>
      </c>
      <c r="F273" s="10">
        <f t="shared" si="47"/>
        <v>2849000000</v>
      </c>
      <c r="G273" s="10">
        <f t="shared" si="48"/>
        <v>243755000000</v>
      </c>
      <c r="H273" s="13">
        <f t="shared" si="49"/>
        <v>0</v>
      </c>
      <c r="I273" s="13">
        <f t="shared" si="40"/>
        <v>2849000000</v>
      </c>
      <c r="J273" s="13">
        <f t="shared" si="50"/>
        <v>305837508051.72485</v>
      </c>
      <c r="K273" s="13">
        <f t="shared" si="51"/>
        <v>1006606339.0422753</v>
      </c>
      <c r="L273" s="11">
        <f t="shared" si="41"/>
        <v>0.62734612223692821</v>
      </c>
      <c r="M273" s="16">
        <f t="shared" si="42"/>
        <v>1.1687965375069229E-2</v>
      </c>
      <c r="N273" s="10">
        <f t="shared" si="43"/>
        <v>20000000</v>
      </c>
      <c r="O273" s="18">
        <f t="shared" si="44"/>
        <v>487510000000</v>
      </c>
      <c r="P273">
        <v>0</v>
      </c>
      <c r="Q273">
        <f t="shared" si="45"/>
        <v>0</v>
      </c>
    </row>
    <row r="274" spans="1:17" x14ac:dyDescent="0.25">
      <c r="A274" s="8">
        <v>242</v>
      </c>
      <c r="B274" s="9">
        <v>1</v>
      </c>
      <c r="C274" s="10">
        <f>MAX(0,MIN(INT(($D$10+SUM($N$33:N273)+SUM($P$33:P273))/$D$5*B274)-D273,IF($D$11&gt;G273,INT(($D$11-G273)/$D$5),0)-D273))</f>
        <v>10000</v>
      </c>
      <c r="D274" s="10">
        <f t="shared" si="46"/>
        <v>1434500</v>
      </c>
      <c r="E274" s="10">
        <f t="shared" si="39"/>
        <v>2000</v>
      </c>
      <c r="F274" s="10">
        <f t="shared" si="47"/>
        <v>2869000000</v>
      </c>
      <c r="G274" s="10">
        <f t="shared" si="48"/>
        <v>246624000000</v>
      </c>
      <c r="H274" s="13">
        <f t="shared" si="49"/>
        <v>0</v>
      </c>
      <c r="I274" s="13">
        <f t="shared" si="40"/>
        <v>2869000000</v>
      </c>
      <c r="J274" s="13">
        <f t="shared" si="50"/>
        <v>309725966411.89728</v>
      </c>
      <c r="K274" s="13">
        <f t="shared" si="51"/>
        <v>1019458360.1724162</v>
      </c>
      <c r="L274" s="11">
        <f t="shared" si="41"/>
        <v>0.62793152007083108</v>
      </c>
      <c r="M274" s="16">
        <f t="shared" si="42"/>
        <v>1.1633093291812637E-2</v>
      </c>
      <c r="N274" s="10">
        <f t="shared" si="43"/>
        <v>20000000</v>
      </c>
      <c r="O274" s="18">
        <f t="shared" si="44"/>
        <v>493248000000</v>
      </c>
      <c r="P274">
        <v>0</v>
      </c>
      <c r="Q274">
        <f t="shared" si="45"/>
        <v>0</v>
      </c>
    </row>
    <row r="275" spans="1:17" x14ac:dyDescent="0.25">
      <c r="A275" s="8">
        <v>243</v>
      </c>
      <c r="B275" s="9">
        <v>1</v>
      </c>
      <c r="C275" s="10">
        <f>MAX(0,MIN(INT(($D$10+SUM($N$33:N274)+SUM($P$33:P274))/$D$5*B275)-D274,IF($D$11&gt;G274,INT(($D$11-G274)/$D$5),0)-D274))</f>
        <v>10000</v>
      </c>
      <c r="D275" s="10">
        <f t="shared" si="46"/>
        <v>1444500</v>
      </c>
      <c r="E275" s="10">
        <f t="shared" si="39"/>
        <v>2000</v>
      </c>
      <c r="F275" s="10">
        <f t="shared" si="47"/>
        <v>2889000000</v>
      </c>
      <c r="G275" s="10">
        <f t="shared" si="48"/>
        <v>249513000000</v>
      </c>
      <c r="H275" s="13">
        <f t="shared" si="49"/>
        <v>0</v>
      </c>
      <c r="I275" s="13">
        <f t="shared" si="40"/>
        <v>2889000000</v>
      </c>
      <c r="J275" s="13">
        <f t="shared" si="50"/>
        <v>313647386299.93695</v>
      </c>
      <c r="K275" s="13">
        <f t="shared" si="51"/>
        <v>1032419888.0396577</v>
      </c>
      <c r="L275" s="11">
        <f t="shared" si="41"/>
        <v>0.62851912786094699</v>
      </c>
      <c r="M275" s="16">
        <f t="shared" si="42"/>
        <v>1.1578555025189069E-2</v>
      </c>
      <c r="N275" s="10">
        <f t="shared" si="43"/>
        <v>20000000</v>
      </c>
      <c r="O275" s="18">
        <f t="shared" si="44"/>
        <v>499026000000</v>
      </c>
      <c r="P275">
        <v>0</v>
      </c>
      <c r="Q275">
        <f t="shared" si="45"/>
        <v>0</v>
      </c>
    </row>
    <row r="276" spans="1:17" x14ac:dyDescent="0.25">
      <c r="A276" s="8">
        <v>244</v>
      </c>
      <c r="B276" s="9">
        <v>1</v>
      </c>
      <c r="C276" s="10">
        <f>MAX(0,MIN(INT(($D$10+SUM($N$33:N275)+SUM($P$33:P275))/$D$5*B276)-D275,IF($D$11&gt;G275,INT(($D$11-G275)/$D$5),0)-D275))</f>
        <v>10000</v>
      </c>
      <c r="D276" s="10">
        <f t="shared" si="46"/>
        <v>1454500</v>
      </c>
      <c r="E276" s="10">
        <f t="shared" si="39"/>
        <v>2000</v>
      </c>
      <c r="F276" s="10">
        <f t="shared" si="47"/>
        <v>2909000000</v>
      </c>
      <c r="G276" s="10">
        <f t="shared" si="48"/>
        <v>252422000000</v>
      </c>
      <c r="H276" s="13">
        <f t="shared" si="49"/>
        <v>0</v>
      </c>
      <c r="I276" s="13">
        <f t="shared" si="40"/>
        <v>2909000000</v>
      </c>
      <c r="J276" s="13">
        <f t="shared" si="50"/>
        <v>317601877587.60339</v>
      </c>
      <c r="K276" s="13">
        <f t="shared" si="51"/>
        <v>1045491287.6664566</v>
      </c>
      <c r="L276" s="11">
        <f t="shared" si="41"/>
        <v>0.62910894768998615</v>
      </c>
      <c r="M276" s="16">
        <f t="shared" si="42"/>
        <v>1.1524352077077275E-2</v>
      </c>
      <c r="N276" s="10">
        <f t="shared" si="43"/>
        <v>20000000</v>
      </c>
      <c r="O276" s="18">
        <f t="shared" si="44"/>
        <v>504844000000</v>
      </c>
      <c r="P276">
        <v>0</v>
      </c>
      <c r="Q276">
        <f t="shared" si="45"/>
        <v>0</v>
      </c>
    </row>
    <row r="277" spans="1:17" x14ac:dyDescent="0.25">
      <c r="A277" s="8">
        <v>245</v>
      </c>
      <c r="B277" s="9">
        <v>1</v>
      </c>
      <c r="C277" s="10">
        <f>MAX(0,MIN(INT(($D$10+SUM($N$33:N276)+SUM($P$33:P276))/$D$5*B277)-D276,IF($D$11&gt;G276,INT(($D$11-G276)/$D$5),0)-D276))</f>
        <v>10000</v>
      </c>
      <c r="D277" s="10">
        <f t="shared" si="46"/>
        <v>1464500</v>
      </c>
      <c r="E277" s="10">
        <f t="shared" si="39"/>
        <v>2000</v>
      </c>
      <c r="F277" s="10">
        <f t="shared" si="47"/>
        <v>2929000000</v>
      </c>
      <c r="G277" s="10">
        <f t="shared" si="48"/>
        <v>255351000000</v>
      </c>
      <c r="H277" s="13">
        <f t="shared" si="49"/>
        <v>0</v>
      </c>
      <c r="I277" s="13">
        <f t="shared" si="40"/>
        <v>2929000000</v>
      </c>
      <c r="J277" s="13">
        <f t="shared" si="50"/>
        <v>321589550512.89539</v>
      </c>
      <c r="K277" s="13">
        <f t="shared" si="51"/>
        <v>1058672925.2920114</v>
      </c>
      <c r="L277" s="11">
        <f t="shared" si="41"/>
        <v>0.62970098122367912</v>
      </c>
      <c r="M277" s="16">
        <f t="shared" si="42"/>
        <v>1.147048572357265E-2</v>
      </c>
      <c r="N277" s="10">
        <f t="shared" si="43"/>
        <v>20000000</v>
      </c>
      <c r="O277" s="18">
        <f t="shared" si="44"/>
        <v>510702000000</v>
      </c>
      <c r="P277">
        <v>0</v>
      </c>
      <c r="Q277">
        <f t="shared" si="45"/>
        <v>0</v>
      </c>
    </row>
    <row r="278" spans="1:17" x14ac:dyDescent="0.25">
      <c r="A278" s="8">
        <v>246</v>
      </c>
      <c r="B278" s="9">
        <v>1</v>
      </c>
      <c r="C278" s="10">
        <f>MAX(0,MIN(INT(($D$10+SUM($N$33:N277)+SUM($P$33:P277))/$D$5*B278)-D277,IF($D$11&gt;G277,INT(($D$11-G277)/$D$5),0)-D277))</f>
        <v>10000</v>
      </c>
      <c r="D278" s="10">
        <f t="shared" si="46"/>
        <v>1474500</v>
      </c>
      <c r="E278" s="10">
        <f t="shared" si="39"/>
        <v>2000</v>
      </c>
      <c r="F278" s="10">
        <f t="shared" si="47"/>
        <v>2949000000</v>
      </c>
      <c r="G278" s="10">
        <f t="shared" si="48"/>
        <v>258300000000</v>
      </c>
      <c r="H278" s="13">
        <f t="shared" si="49"/>
        <v>0</v>
      </c>
      <c r="I278" s="13">
        <f t="shared" si="40"/>
        <v>2949000000</v>
      </c>
      <c r="J278" s="13">
        <f t="shared" si="50"/>
        <v>325610515681.27173</v>
      </c>
      <c r="K278" s="13">
        <f t="shared" si="51"/>
        <v>1071965168.376318</v>
      </c>
      <c r="L278" s="11">
        <f t="shared" si="41"/>
        <v>0.63029522973533048</v>
      </c>
      <c r="M278" s="16">
        <f t="shared" si="42"/>
        <v>1.1416957026713125E-2</v>
      </c>
      <c r="N278" s="10">
        <f t="shared" si="43"/>
        <v>20000000</v>
      </c>
      <c r="O278" s="18">
        <f t="shared" si="44"/>
        <v>516600000000</v>
      </c>
      <c r="P278">
        <v>0</v>
      </c>
      <c r="Q278">
        <f t="shared" si="45"/>
        <v>0</v>
      </c>
    </row>
    <row r="279" spans="1:17" x14ac:dyDescent="0.25">
      <c r="A279" s="8">
        <v>247</v>
      </c>
      <c r="B279" s="9">
        <v>1</v>
      </c>
      <c r="C279" s="10">
        <f>MAX(0,MIN(INT(($D$10+SUM($N$33:N278)+SUM($P$33:P278))/$D$5*B279)-D278,IF($D$11&gt;G278,INT(($D$11-G278)/$D$5),0)-D278))</f>
        <v>10000</v>
      </c>
      <c r="D279" s="10">
        <f t="shared" si="46"/>
        <v>1484500</v>
      </c>
      <c r="E279" s="10">
        <f t="shared" si="39"/>
        <v>2000</v>
      </c>
      <c r="F279" s="10">
        <f t="shared" si="47"/>
        <v>2969000000</v>
      </c>
      <c r="G279" s="10">
        <f t="shared" si="48"/>
        <v>261269000000</v>
      </c>
      <c r="H279" s="13">
        <f t="shared" si="49"/>
        <v>0</v>
      </c>
      <c r="I279" s="13">
        <f t="shared" si="40"/>
        <v>2969000000</v>
      </c>
      <c r="J279" s="13">
        <f t="shared" si="50"/>
        <v>329664884066.87598</v>
      </c>
      <c r="K279" s="13">
        <f t="shared" si="51"/>
        <v>1085368385.6042392</v>
      </c>
      <c r="L279" s="11">
        <f t="shared" si="41"/>
        <v>0.63089169412918478</v>
      </c>
      <c r="M279" s="16">
        <f t="shared" si="42"/>
        <v>1.1363766845664813E-2</v>
      </c>
      <c r="N279" s="10">
        <f t="shared" si="43"/>
        <v>20000000</v>
      </c>
      <c r="O279" s="18">
        <f t="shared" si="44"/>
        <v>522538000000</v>
      </c>
      <c r="P279">
        <v>0</v>
      </c>
      <c r="Q279">
        <f t="shared" si="45"/>
        <v>0</v>
      </c>
    </row>
    <row r="280" spans="1:17" x14ac:dyDescent="0.25">
      <c r="A280" s="8">
        <v>248</v>
      </c>
      <c r="B280" s="9">
        <v>1</v>
      </c>
      <c r="C280" s="10">
        <f>MAX(0,MIN(INT(($D$10+SUM($N$33:N279)+SUM($P$33:P279))/$D$5*B280)-D279,IF($D$11&gt;G279,INT(($D$11-G279)/$D$5),0)-D279))</f>
        <v>10000</v>
      </c>
      <c r="D280" s="10">
        <f t="shared" si="46"/>
        <v>1494500</v>
      </c>
      <c r="E280" s="10">
        <f t="shared" si="39"/>
        <v>2000</v>
      </c>
      <c r="F280" s="10">
        <f t="shared" si="47"/>
        <v>2989000000</v>
      </c>
      <c r="G280" s="10">
        <f t="shared" si="48"/>
        <v>264258000000</v>
      </c>
      <c r="H280" s="13">
        <f t="shared" si="49"/>
        <v>0</v>
      </c>
      <c r="I280" s="13">
        <f t="shared" si="40"/>
        <v>2989000000</v>
      </c>
      <c r="J280" s="13">
        <f t="shared" si="50"/>
        <v>333752767013.76556</v>
      </c>
      <c r="K280" s="13">
        <f t="shared" si="51"/>
        <v>1098882946.8895867</v>
      </c>
      <c r="L280" s="11">
        <f t="shared" si="41"/>
        <v>0.63149037496266069</v>
      </c>
      <c r="M280" s="16">
        <f t="shared" si="42"/>
        <v>1.1310915847391564E-2</v>
      </c>
      <c r="N280" s="10">
        <f t="shared" si="43"/>
        <v>20000000</v>
      </c>
      <c r="O280" s="18">
        <f t="shared" si="44"/>
        <v>528516000000</v>
      </c>
      <c r="P280">
        <v>0</v>
      </c>
      <c r="Q280">
        <f t="shared" si="45"/>
        <v>0</v>
      </c>
    </row>
    <row r="281" spans="1:17" x14ac:dyDescent="0.25">
      <c r="A281" s="8">
        <v>249</v>
      </c>
      <c r="B281" s="9">
        <v>1</v>
      </c>
      <c r="C281" s="10">
        <f>MAX(0,MIN(INT(($D$10+SUM($N$33:N280)+SUM($P$33:P280))/$D$5*B281)-D280,IF($D$11&gt;G280,INT(($D$11-G280)/$D$5),0)-D280))</f>
        <v>10000</v>
      </c>
      <c r="D281" s="10">
        <f t="shared" si="46"/>
        <v>1504500</v>
      </c>
      <c r="E281" s="10">
        <f t="shared" si="39"/>
        <v>2000</v>
      </c>
      <c r="F281" s="10">
        <f t="shared" si="47"/>
        <v>3009000000</v>
      </c>
      <c r="G281" s="10">
        <f t="shared" si="48"/>
        <v>267267000000</v>
      </c>
      <c r="H281" s="13">
        <f t="shared" si="49"/>
        <v>0</v>
      </c>
      <c r="I281" s="13">
        <f t="shared" si="40"/>
        <v>3009000000</v>
      </c>
      <c r="J281" s="13">
        <f t="shared" si="50"/>
        <v>337874276237.14478</v>
      </c>
      <c r="K281" s="13">
        <f t="shared" si="51"/>
        <v>1112509223.3792186</v>
      </c>
      <c r="L281" s="11">
        <f t="shared" si="41"/>
        <v>0.63209127246750396</v>
      </c>
      <c r="M281" s="16">
        <f t="shared" si="42"/>
        <v>1.1258404516831483E-2</v>
      </c>
      <c r="N281" s="10">
        <f t="shared" si="43"/>
        <v>20000000</v>
      </c>
      <c r="O281" s="18">
        <f t="shared" si="44"/>
        <v>534534000000</v>
      </c>
      <c r="P281">
        <v>0</v>
      </c>
      <c r="Q281">
        <f t="shared" si="45"/>
        <v>0</v>
      </c>
    </row>
    <row r="282" spans="1:17" x14ac:dyDescent="0.25">
      <c r="A282" s="8">
        <v>250</v>
      </c>
      <c r="B282" s="9">
        <v>1</v>
      </c>
      <c r="C282" s="10">
        <f>MAX(0,MIN(INT(($D$10+SUM($N$33:N281)+SUM($P$33:P281))/$D$5*B282)-D281,IF($D$11&gt;G281,INT(($D$11-G281)/$D$5),0)-D281))</f>
        <v>10000</v>
      </c>
      <c r="D282" s="10">
        <f t="shared" si="46"/>
        <v>1514500</v>
      </c>
      <c r="E282" s="10">
        <f t="shared" si="39"/>
        <v>2000</v>
      </c>
      <c r="F282" s="10">
        <f t="shared" si="47"/>
        <v>3029000000</v>
      </c>
      <c r="G282" s="10">
        <f t="shared" si="48"/>
        <v>270296000000</v>
      </c>
      <c r="H282" s="13">
        <f t="shared" si="49"/>
        <v>0</v>
      </c>
      <c r="I282" s="13">
        <f t="shared" si="40"/>
        <v>3029000000</v>
      </c>
      <c r="J282" s="13">
        <f t="shared" si="50"/>
        <v>342029523824.60193</v>
      </c>
      <c r="K282" s="13">
        <f t="shared" si="51"/>
        <v>1126247587.4571493</v>
      </c>
      <c r="L282" s="11">
        <f t="shared" si="41"/>
        <v>0.63269438656991206</v>
      </c>
      <c r="M282" s="16">
        <f t="shared" si="42"/>
        <v>1.120623316660254E-2</v>
      </c>
      <c r="N282" s="10">
        <f t="shared" si="43"/>
        <v>20000000</v>
      </c>
      <c r="O282" s="18">
        <f t="shared" si="44"/>
        <v>540592000000</v>
      </c>
      <c r="P282">
        <v>0</v>
      </c>
      <c r="Q282">
        <f t="shared" si="45"/>
        <v>0</v>
      </c>
    </row>
    <row r="283" spans="1:17" x14ac:dyDescent="0.25">
      <c r="A283" s="8">
        <v>251</v>
      </c>
      <c r="B283" s="9">
        <v>1</v>
      </c>
      <c r="C283" s="10">
        <f>MAX(0,MIN(INT(($D$10+SUM($N$33:N282)+SUM($P$33:P282))/$D$5*B283)-D282,IF($D$11&gt;G282,INT(($D$11-G282)/$D$5),0)-D282))</f>
        <v>10000</v>
      </c>
      <c r="D283" s="10">
        <f t="shared" si="46"/>
        <v>1524500</v>
      </c>
      <c r="E283" s="10">
        <f t="shared" si="39"/>
        <v>2000</v>
      </c>
      <c r="F283" s="10">
        <f t="shared" si="47"/>
        <v>3049000000</v>
      </c>
      <c r="G283" s="10">
        <f t="shared" si="48"/>
        <v>273345000000</v>
      </c>
      <c r="H283" s="13">
        <f t="shared" si="49"/>
        <v>0</v>
      </c>
      <c r="I283" s="13">
        <f t="shared" si="40"/>
        <v>3049000000</v>
      </c>
      <c r="J283" s="13">
        <f t="shared" si="50"/>
        <v>346218622237.35059</v>
      </c>
      <c r="K283" s="13">
        <f t="shared" si="51"/>
        <v>1140098412.7486732</v>
      </c>
      <c r="L283" s="11">
        <f t="shared" si="41"/>
        <v>0.63329971690967568</v>
      </c>
      <c r="M283" s="16">
        <f t="shared" si="42"/>
        <v>1.1154401946258391E-2</v>
      </c>
      <c r="N283" s="10">
        <f t="shared" si="43"/>
        <v>20000000</v>
      </c>
      <c r="O283" s="18">
        <f t="shared" si="44"/>
        <v>546690000000</v>
      </c>
      <c r="P283">
        <v>0</v>
      </c>
      <c r="Q283">
        <f t="shared" si="45"/>
        <v>0</v>
      </c>
    </row>
    <row r="284" spans="1:17" x14ac:dyDescent="0.25">
      <c r="A284" s="8">
        <v>252</v>
      </c>
      <c r="B284" s="9">
        <v>1</v>
      </c>
      <c r="C284" s="10">
        <f>MAX(0,MIN(INT(($D$10+SUM($N$33:N283)+SUM($P$33:P283))/$D$5*B284)-D283,IF($D$11&gt;G283,INT(($D$11-G283)/$D$5),0)-D283))</f>
        <v>10000</v>
      </c>
      <c r="D284" s="10">
        <f t="shared" si="46"/>
        <v>1534500</v>
      </c>
      <c r="E284" s="10">
        <f t="shared" si="39"/>
        <v>2000</v>
      </c>
      <c r="F284" s="10">
        <f t="shared" si="47"/>
        <v>3069000000</v>
      </c>
      <c r="G284" s="10">
        <f t="shared" si="48"/>
        <v>276414000000</v>
      </c>
      <c r="H284" s="13">
        <f t="shared" si="49"/>
        <v>0</v>
      </c>
      <c r="I284" s="13">
        <f t="shared" si="40"/>
        <v>3069000000</v>
      </c>
      <c r="J284" s="13">
        <f t="shared" si="50"/>
        <v>350441684311.4751</v>
      </c>
      <c r="K284" s="13">
        <f t="shared" si="51"/>
        <v>1154062074.1245019</v>
      </c>
      <c r="L284" s="11">
        <f t="shared" si="41"/>
        <v>0.63390726285838472</v>
      </c>
      <c r="M284" s="16">
        <f t="shared" si="42"/>
        <v>1.1102910851114632E-2</v>
      </c>
      <c r="N284" s="10">
        <f t="shared" si="43"/>
        <v>20000000</v>
      </c>
      <c r="O284" s="18">
        <f t="shared" si="44"/>
        <v>552828000000</v>
      </c>
      <c r="P284">
        <v>0</v>
      </c>
      <c r="Q284">
        <f t="shared" si="45"/>
        <v>0</v>
      </c>
    </row>
    <row r="285" spans="1:17" x14ac:dyDescent="0.25">
      <c r="A285" s="8">
        <v>253</v>
      </c>
      <c r="B285" s="9">
        <v>1</v>
      </c>
      <c r="C285" s="10">
        <f>MAX(0,MIN(INT(($D$10+SUM($N$33:N284)+SUM($P$33:P284))/$D$5*B285)-D284,IF($D$11&gt;G284,INT(($D$11-G284)/$D$5),0)-D284))</f>
        <v>10000</v>
      </c>
      <c r="D285" s="10">
        <f t="shared" si="46"/>
        <v>1544500</v>
      </c>
      <c r="E285" s="10">
        <f t="shared" si="39"/>
        <v>2000</v>
      </c>
      <c r="F285" s="10">
        <f t="shared" si="47"/>
        <v>3089000000</v>
      </c>
      <c r="G285" s="10">
        <f t="shared" si="48"/>
        <v>279503000000</v>
      </c>
      <c r="H285" s="13">
        <f t="shared" si="49"/>
        <v>0</v>
      </c>
      <c r="I285" s="13">
        <f t="shared" si="40"/>
        <v>3089000000</v>
      </c>
      <c r="J285" s="13">
        <f t="shared" si="50"/>
        <v>354698823259.17999</v>
      </c>
      <c r="K285" s="13">
        <f t="shared" si="51"/>
        <v>1168138947.704917</v>
      </c>
      <c r="L285" s="11">
        <f t="shared" si="41"/>
        <v>0.634517023536742</v>
      </c>
      <c r="M285" s="16">
        <f t="shared" si="42"/>
        <v>1.1051759730664787E-2</v>
      </c>
      <c r="N285" s="10">
        <f t="shared" si="43"/>
        <v>20000000</v>
      </c>
      <c r="O285" s="18">
        <f t="shared" si="44"/>
        <v>559006000000</v>
      </c>
      <c r="P285">
        <v>0</v>
      </c>
      <c r="Q285">
        <f t="shared" si="45"/>
        <v>0</v>
      </c>
    </row>
    <row r="286" spans="1:17" x14ac:dyDescent="0.25">
      <c r="A286" s="8">
        <v>254</v>
      </c>
      <c r="B286" s="9">
        <v>1</v>
      </c>
      <c r="C286" s="10">
        <f>MAX(0,MIN(INT(($D$10+SUM($N$33:N285)+SUM($P$33:P285))/$D$5*B286)-D285,IF($D$11&gt;G285,INT(($D$11-G285)/$D$5),0)-D285))</f>
        <v>10000</v>
      </c>
      <c r="D286" s="10">
        <f t="shared" si="46"/>
        <v>1554500</v>
      </c>
      <c r="E286" s="10">
        <f t="shared" si="39"/>
        <v>2000</v>
      </c>
      <c r="F286" s="10">
        <f t="shared" si="47"/>
        <v>3109000000</v>
      </c>
      <c r="G286" s="10">
        <f t="shared" si="48"/>
        <v>282612000000</v>
      </c>
      <c r="H286" s="13">
        <f t="shared" si="49"/>
        <v>0</v>
      </c>
      <c r="I286" s="13">
        <f t="shared" si="40"/>
        <v>3109000000</v>
      </c>
      <c r="J286" s="13">
        <f t="shared" si="50"/>
        <v>358990152670.04395</v>
      </c>
      <c r="K286" s="13">
        <f t="shared" si="51"/>
        <v>1182329410.8639333</v>
      </c>
      <c r="L286" s="11">
        <f t="shared" si="41"/>
        <v>0.63512899783102617</v>
      </c>
      <c r="M286" s="16">
        <f t="shared" si="42"/>
        <v>1.1000948296604533E-2</v>
      </c>
      <c r="N286" s="10">
        <f t="shared" si="43"/>
        <v>20000000</v>
      </c>
      <c r="O286" s="18">
        <f t="shared" si="44"/>
        <v>565224000000</v>
      </c>
      <c r="P286">
        <v>0</v>
      </c>
      <c r="Q286">
        <f t="shared" si="45"/>
        <v>0</v>
      </c>
    </row>
    <row r="287" spans="1:17" x14ac:dyDescent="0.25">
      <c r="A287" s="8">
        <v>255</v>
      </c>
      <c r="B287" s="9">
        <v>1</v>
      </c>
      <c r="C287" s="10">
        <f>MAX(0,MIN(INT(($D$10+SUM($N$33:N286)+SUM($P$33:P286))/$D$5*B287)-D286,IF($D$11&gt;G286,INT(($D$11-G286)/$D$5),0)-D286))</f>
        <v>10000</v>
      </c>
      <c r="D287" s="10">
        <f t="shared" si="46"/>
        <v>1564500</v>
      </c>
      <c r="E287" s="10">
        <f t="shared" si="39"/>
        <v>2000</v>
      </c>
      <c r="F287" s="10">
        <f t="shared" si="47"/>
        <v>3129000000</v>
      </c>
      <c r="G287" s="10">
        <f t="shared" si="48"/>
        <v>285741000000</v>
      </c>
      <c r="H287" s="13">
        <f t="shared" si="49"/>
        <v>0</v>
      </c>
      <c r="I287" s="13">
        <f t="shared" si="40"/>
        <v>3129000000</v>
      </c>
      <c r="J287" s="13">
        <f t="shared" si="50"/>
        <v>363315786512.2774</v>
      </c>
      <c r="K287" s="13">
        <f t="shared" si="51"/>
        <v>1196633842.23348</v>
      </c>
      <c r="L287" s="11">
        <f t="shared" si="41"/>
        <v>0.63574318440874322</v>
      </c>
      <c r="M287" s="16">
        <f t="shared" si="42"/>
        <v>1.09504761304818E-2</v>
      </c>
      <c r="N287" s="10">
        <f t="shared" si="43"/>
        <v>20000000</v>
      </c>
      <c r="O287" s="18">
        <f t="shared" si="44"/>
        <v>571482000000</v>
      </c>
      <c r="P287">
        <v>0</v>
      </c>
      <c r="Q287">
        <f t="shared" si="45"/>
        <v>0</v>
      </c>
    </row>
    <row r="288" spans="1:17" x14ac:dyDescent="0.25">
      <c r="A288" s="8">
        <v>256</v>
      </c>
      <c r="B288" s="9">
        <v>1</v>
      </c>
      <c r="C288" s="10">
        <f>MAX(0,MIN(INT(($D$10+SUM($N$33:N287)+SUM($P$33:P287))/$D$5*B288)-D287,IF($D$11&gt;G287,INT(($D$11-G287)/$D$5),0)-D287))</f>
        <v>10000</v>
      </c>
      <c r="D288" s="10">
        <f t="shared" si="46"/>
        <v>1574500</v>
      </c>
      <c r="E288" s="10">
        <f t="shared" si="39"/>
        <v>2000</v>
      </c>
      <c r="F288" s="10">
        <f t="shared" si="47"/>
        <v>3149000000</v>
      </c>
      <c r="G288" s="10">
        <f t="shared" si="48"/>
        <v>288890000000</v>
      </c>
      <c r="H288" s="13">
        <f t="shared" si="49"/>
        <v>0</v>
      </c>
      <c r="I288" s="13">
        <f t="shared" si="40"/>
        <v>3149000000</v>
      </c>
      <c r="J288" s="13">
        <f t="shared" si="50"/>
        <v>367675839133.98499</v>
      </c>
      <c r="K288" s="13">
        <f t="shared" si="51"/>
        <v>1211052621.7075915</v>
      </c>
      <c r="L288" s="11">
        <f t="shared" si="41"/>
        <v>0.63635958173350582</v>
      </c>
      <c r="M288" s="16">
        <f t="shared" si="42"/>
        <v>1.090034269098965E-2</v>
      </c>
      <c r="N288" s="10">
        <f t="shared" si="43"/>
        <v>20000000</v>
      </c>
      <c r="O288" s="18">
        <f t="shared" si="44"/>
        <v>577780000000</v>
      </c>
      <c r="P288">
        <v>0</v>
      </c>
      <c r="Q288">
        <f t="shared" si="45"/>
        <v>0</v>
      </c>
    </row>
    <row r="289" spans="1:17" x14ac:dyDescent="0.25">
      <c r="A289" s="8">
        <v>257</v>
      </c>
      <c r="B289" s="9">
        <v>1</v>
      </c>
      <c r="C289" s="10">
        <f>MAX(0,MIN(INT(($D$10+SUM($N$33:N288)+SUM($P$33:P288))/$D$5*B289)-D288,IF($D$11&gt;G288,INT(($D$11-G288)/$D$5),0)-D288))</f>
        <v>10000</v>
      </c>
      <c r="D289" s="10">
        <f t="shared" si="46"/>
        <v>1584500</v>
      </c>
      <c r="E289" s="10">
        <f t="shared" ref="E289:E332" si="52">$D$5</f>
        <v>2000</v>
      </c>
      <c r="F289" s="10">
        <f t="shared" si="47"/>
        <v>3169000000</v>
      </c>
      <c r="G289" s="10">
        <f t="shared" si="48"/>
        <v>292059000000</v>
      </c>
      <c r="H289" s="13">
        <f t="shared" si="49"/>
        <v>0</v>
      </c>
      <c r="I289" s="13">
        <f t="shared" ref="I289:I332" si="53">$D$7*F289+Q289</f>
        <v>3169000000</v>
      </c>
      <c r="J289" s="13">
        <f t="shared" si="50"/>
        <v>372070425264.43158</v>
      </c>
      <c r="K289" s="13">
        <f t="shared" si="51"/>
        <v>1225586130.4466166</v>
      </c>
      <c r="L289" s="11">
        <f t="shared" ref="L289:L332" si="54">IF(G289=0,0,(J289/G289)/2)</f>
        <v>0.63697818807917506</v>
      </c>
      <c r="M289" s="16">
        <f t="shared" ref="M289:M332" si="55">I289/G289</f>
        <v>1.0850547320918034E-2</v>
      </c>
      <c r="N289" s="10">
        <f t="shared" ref="N289:N332" si="56">INDEX($G$6:$G$30,MIN(INT((A289-1)/12)+1,25))</f>
        <v>20000000</v>
      </c>
      <c r="O289" s="18">
        <f t="shared" ref="O289:O332" si="57">G289*2</f>
        <v>584118000000</v>
      </c>
      <c r="P289">
        <v>0</v>
      </c>
      <c r="Q289">
        <f t="shared" ref="Q289:Q332" si="58">MAX(0,0.01*G289-$D$7*F289)</f>
        <v>0</v>
      </c>
    </row>
    <row r="290" spans="1:17" x14ac:dyDescent="0.25">
      <c r="A290" s="8">
        <v>258</v>
      </c>
      <c r="B290" s="9">
        <v>1</v>
      </c>
      <c r="C290" s="10">
        <f>MAX(0,MIN(INT(($D$10+SUM($N$33:N289)+SUM($P$33:P289))/$D$5*B290)-D289,IF($D$11&gt;G289,INT(($D$11-G289)/$D$5),0)-D289))</f>
        <v>10000</v>
      </c>
      <c r="D290" s="10">
        <f t="shared" ref="D290:D332" si="59">D289+C290</f>
        <v>1594500</v>
      </c>
      <c r="E290" s="10">
        <f t="shared" si="52"/>
        <v>2000</v>
      </c>
      <c r="F290" s="10">
        <f t="shared" ref="F290:F332" si="60">IF(G289&gt;=$D$11,0,MIN(D290*E290,$D$11-G289))</f>
        <v>3189000000</v>
      </c>
      <c r="G290" s="10">
        <f t="shared" ref="G290:G332" si="61">G289+F290-P290</f>
        <v>295248000000</v>
      </c>
      <c r="H290" s="13">
        <f t="shared" ref="H290:H332" si="62">H289+$D$6*F290</f>
        <v>0</v>
      </c>
      <c r="I290" s="13">
        <f t="shared" si="53"/>
        <v>3189000000</v>
      </c>
      <c r="J290" s="13">
        <f t="shared" ref="J290:J332" si="63">J289+$D$8*F290+K290-P290*2-Q290</f>
        <v>376499660015.31299</v>
      </c>
      <c r="K290" s="13">
        <f t="shared" ref="K290:K332" si="64">($D$9/12)*J289</f>
        <v>1240234750.8814387</v>
      </c>
      <c r="L290" s="11">
        <f t="shared" si="54"/>
        <v>0.63759900154330085</v>
      </c>
      <c r="M290" s="16">
        <f t="shared" si="55"/>
        <v>1.0801089253779874E-2</v>
      </c>
      <c r="N290" s="10">
        <f t="shared" si="56"/>
        <v>20000000</v>
      </c>
      <c r="O290" s="18">
        <f t="shared" si="57"/>
        <v>590496000000</v>
      </c>
      <c r="P290">
        <v>0</v>
      </c>
      <c r="Q290">
        <f t="shared" si="58"/>
        <v>0</v>
      </c>
    </row>
    <row r="291" spans="1:17" x14ac:dyDescent="0.25">
      <c r="A291" s="8">
        <v>259</v>
      </c>
      <c r="B291" s="9">
        <v>1</v>
      </c>
      <c r="C291" s="10">
        <f>MAX(0,MIN(INT(($D$10+SUM($N$33:N290)+SUM($P$33:P290))/$D$5*B291)-D290,IF($D$11&gt;G290,INT(($D$11-G290)/$D$5),0)-D290))</f>
        <v>10000</v>
      </c>
      <c r="D291" s="10">
        <f t="shared" si="59"/>
        <v>1604500</v>
      </c>
      <c r="E291" s="10">
        <f t="shared" si="52"/>
        <v>2000</v>
      </c>
      <c r="F291" s="10">
        <f t="shared" si="60"/>
        <v>3209000000</v>
      </c>
      <c r="G291" s="10">
        <f t="shared" si="61"/>
        <v>298457000000</v>
      </c>
      <c r="H291" s="13">
        <f t="shared" si="62"/>
        <v>0</v>
      </c>
      <c r="I291" s="13">
        <f t="shared" si="53"/>
        <v>3209000000</v>
      </c>
      <c r="J291" s="13">
        <f t="shared" si="63"/>
        <v>380963658882.0307</v>
      </c>
      <c r="K291" s="13">
        <f t="shared" si="64"/>
        <v>1254998866.71771</v>
      </c>
      <c r="L291" s="11">
        <f t="shared" si="54"/>
        <v>0.63822202005989259</v>
      </c>
      <c r="M291" s="16">
        <f t="shared" si="55"/>
        <v>1.0751967620126182E-2</v>
      </c>
      <c r="N291" s="10">
        <f t="shared" si="56"/>
        <v>20000000</v>
      </c>
      <c r="O291" s="18">
        <f t="shared" si="57"/>
        <v>596914000000</v>
      </c>
      <c r="P291">
        <v>0</v>
      </c>
      <c r="Q291">
        <f t="shared" si="58"/>
        <v>0</v>
      </c>
    </row>
    <row r="292" spans="1:17" x14ac:dyDescent="0.25">
      <c r="A292" s="8">
        <v>260</v>
      </c>
      <c r="B292" s="9">
        <v>1</v>
      </c>
      <c r="C292" s="10">
        <f>MAX(0,MIN(INT(($D$10+SUM($N$33:N291)+SUM($P$33:P291))/$D$5*B292)-D291,IF($D$11&gt;G291,INT(($D$11-G291)/$D$5),0)-D291))</f>
        <v>10000</v>
      </c>
      <c r="D292" s="10">
        <f t="shared" si="59"/>
        <v>1614500</v>
      </c>
      <c r="E292" s="10">
        <f t="shared" si="52"/>
        <v>2000</v>
      </c>
      <c r="F292" s="10">
        <f t="shared" si="60"/>
        <v>3229000000</v>
      </c>
      <c r="G292" s="10">
        <f t="shared" si="61"/>
        <v>301686000000</v>
      </c>
      <c r="H292" s="13">
        <f t="shared" si="62"/>
        <v>0</v>
      </c>
      <c r="I292" s="13">
        <f t="shared" si="53"/>
        <v>3229000000</v>
      </c>
      <c r="J292" s="13">
        <f t="shared" si="63"/>
        <v>385462537744.97083</v>
      </c>
      <c r="K292" s="13">
        <f t="shared" si="64"/>
        <v>1269878862.9401023</v>
      </c>
      <c r="L292" s="11">
        <f t="shared" si="54"/>
        <v>0.6388472414115518</v>
      </c>
      <c r="M292" s="16">
        <f t="shared" si="55"/>
        <v>1.0703181453564302E-2</v>
      </c>
      <c r="N292" s="10">
        <f t="shared" si="56"/>
        <v>20000000</v>
      </c>
      <c r="O292" s="18">
        <f t="shared" si="57"/>
        <v>603372000000</v>
      </c>
      <c r="P292">
        <v>0</v>
      </c>
      <c r="Q292">
        <f t="shared" si="58"/>
        <v>0</v>
      </c>
    </row>
    <row r="293" spans="1:17" x14ac:dyDescent="0.25">
      <c r="A293" s="8">
        <v>261</v>
      </c>
      <c r="B293" s="9">
        <v>1</v>
      </c>
      <c r="C293" s="10">
        <f>MAX(0,MIN(INT(($D$10+SUM($N$33:N292)+SUM($P$33:P292))/$D$5*B293)-D292,IF($D$11&gt;G292,INT(($D$11-G292)/$D$5),0)-D292))</f>
        <v>10000</v>
      </c>
      <c r="D293" s="10">
        <f t="shared" si="59"/>
        <v>1624500</v>
      </c>
      <c r="E293" s="10">
        <f t="shared" si="52"/>
        <v>2000</v>
      </c>
      <c r="F293" s="10">
        <f t="shared" si="60"/>
        <v>3249000000</v>
      </c>
      <c r="G293" s="10">
        <f t="shared" si="61"/>
        <v>304935000000</v>
      </c>
      <c r="H293" s="13">
        <f t="shared" si="62"/>
        <v>0</v>
      </c>
      <c r="I293" s="13">
        <f t="shared" si="53"/>
        <v>3249000000</v>
      </c>
      <c r="J293" s="13">
        <f t="shared" si="63"/>
        <v>389996412870.78741</v>
      </c>
      <c r="K293" s="13">
        <f t="shared" si="64"/>
        <v>1284875125.8165696</v>
      </c>
      <c r="L293" s="11">
        <f t="shared" si="54"/>
        <v>0.63947466324099789</v>
      </c>
      <c r="M293" s="16">
        <f t="shared" si="55"/>
        <v>1.0654729696492695E-2</v>
      </c>
      <c r="N293" s="10">
        <f t="shared" si="56"/>
        <v>20000000</v>
      </c>
      <c r="O293" s="18">
        <f t="shared" si="57"/>
        <v>609870000000</v>
      </c>
      <c r="P293">
        <v>0</v>
      </c>
      <c r="Q293">
        <f t="shared" si="58"/>
        <v>0</v>
      </c>
    </row>
    <row r="294" spans="1:17" x14ac:dyDescent="0.25">
      <c r="A294" s="8">
        <v>262</v>
      </c>
      <c r="B294" s="9">
        <v>1</v>
      </c>
      <c r="C294" s="10">
        <f>MAX(0,MIN(INT(($D$10+SUM($N$33:N293)+SUM($P$33:P293))/$D$5*B294)-D293,IF($D$11&gt;G293,INT(($D$11-G293)/$D$5),0)-D293))</f>
        <v>10000</v>
      </c>
      <c r="D294" s="10">
        <f t="shared" si="59"/>
        <v>1634500</v>
      </c>
      <c r="E294" s="10">
        <f t="shared" si="52"/>
        <v>2000</v>
      </c>
      <c r="F294" s="10">
        <f t="shared" si="60"/>
        <v>3269000000</v>
      </c>
      <c r="G294" s="10">
        <f t="shared" si="61"/>
        <v>308204000000</v>
      </c>
      <c r="H294" s="13">
        <f t="shared" si="62"/>
        <v>0</v>
      </c>
      <c r="I294" s="13">
        <f t="shared" si="53"/>
        <v>3269000000</v>
      </c>
      <c r="J294" s="13">
        <f t="shared" si="63"/>
        <v>394565400913.69006</v>
      </c>
      <c r="K294" s="13">
        <f t="shared" si="64"/>
        <v>1299988042.9026248</v>
      </c>
      <c r="L294" s="11">
        <f t="shared" si="54"/>
        <v>0.64010428306201428</v>
      </c>
      <c r="M294" s="16">
        <f t="shared" si="55"/>
        <v>1.0606611205565145E-2</v>
      </c>
      <c r="N294" s="10">
        <f t="shared" si="56"/>
        <v>20000000</v>
      </c>
      <c r="O294" s="18">
        <f t="shared" si="57"/>
        <v>616408000000</v>
      </c>
      <c r="P294">
        <v>0</v>
      </c>
      <c r="Q294">
        <f t="shared" si="58"/>
        <v>0</v>
      </c>
    </row>
    <row r="295" spans="1:17" x14ac:dyDescent="0.25">
      <c r="A295" s="8">
        <v>263</v>
      </c>
      <c r="B295" s="9">
        <v>1</v>
      </c>
      <c r="C295" s="10">
        <f>MAX(0,MIN(INT(($D$10+SUM($N$33:N294)+SUM($P$33:P294))/$D$5*B295)-D294,IF($D$11&gt;G294,INT(($D$11-G294)/$D$5),0)-D294))</f>
        <v>10000</v>
      </c>
      <c r="D295" s="10">
        <f t="shared" si="59"/>
        <v>1644500</v>
      </c>
      <c r="E295" s="10">
        <f t="shared" si="52"/>
        <v>2000</v>
      </c>
      <c r="F295" s="10">
        <f t="shared" si="60"/>
        <v>3289000000</v>
      </c>
      <c r="G295" s="10">
        <f t="shared" si="61"/>
        <v>311493000000</v>
      </c>
      <c r="H295" s="13">
        <f t="shared" si="62"/>
        <v>0</v>
      </c>
      <c r="I295" s="13">
        <f t="shared" si="53"/>
        <v>3289000000</v>
      </c>
      <c r="J295" s="13">
        <f t="shared" si="63"/>
        <v>399169618916.73572</v>
      </c>
      <c r="K295" s="13">
        <f t="shared" si="64"/>
        <v>1315218003.0456336</v>
      </c>
      <c r="L295" s="11">
        <f t="shared" si="54"/>
        <v>0.6407360982698419</v>
      </c>
      <c r="M295" s="16">
        <f t="shared" si="55"/>
        <v>1.0558824756896623E-2</v>
      </c>
      <c r="N295" s="10">
        <f t="shared" si="56"/>
        <v>20000000</v>
      </c>
      <c r="O295" s="18">
        <f t="shared" si="57"/>
        <v>622986000000</v>
      </c>
      <c r="P295">
        <v>0</v>
      </c>
      <c r="Q295">
        <f t="shared" si="58"/>
        <v>0</v>
      </c>
    </row>
    <row r="296" spans="1:17" x14ac:dyDescent="0.25">
      <c r="A296" s="8">
        <v>264</v>
      </c>
      <c r="B296" s="9">
        <v>1</v>
      </c>
      <c r="C296" s="10">
        <f>MAX(0,MIN(INT(($D$10+SUM($N$33:N295)+SUM($P$33:P295))/$D$5*B296)-D295,IF($D$11&gt;G295,INT(($D$11-G295)/$D$5),0)-D295))</f>
        <v>10000</v>
      </c>
      <c r="D296" s="10">
        <f t="shared" si="59"/>
        <v>1654500</v>
      </c>
      <c r="E296" s="10">
        <f t="shared" si="52"/>
        <v>2000</v>
      </c>
      <c r="F296" s="10">
        <f t="shared" si="60"/>
        <v>3309000000</v>
      </c>
      <c r="G296" s="10">
        <f t="shared" si="61"/>
        <v>314802000000</v>
      </c>
      <c r="H296" s="13">
        <f t="shared" si="62"/>
        <v>0</v>
      </c>
      <c r="I296" s="13">
        <f t="shared" si="53"/>
        <v>3309000000</v>
      </c>
      <c r="J296" s="13">
        <f t="shared" si="63"/>
        <v>403809184313.12482</v>
      </c>
      <c r="K296" s="13">
        <f t="shared" si="64"/>
        <v>1330565396.3891191</v>
      </c>
      <c r="L296" s="11">
        <f t="shared" si="54"/>
        <v>0.64137010615104861</v>
      </c>
      <c r="M296" s="16">
        <f t="shared" si="55"/>
        <v>1.0511369051022547E-2</v>
      </c>
      <c r="N296" s="10">
        <f t="shared" si="56"/>
        <v>20000000</v>
      </c>
      <c r="O296" s="18">
        <f t="shared" si="57"/>
        <v>629604000000</v>
      </c>
      <c r="P296">
        <v>0</v>
      </c>
      <c r="Q296">
        <f t="shared" si="58"/>
        <v>0</v>
      </c>
    </row>
    <row r="297" spans="1:17" x14ac:dyDescent="0.25">
      <c r="A297" s="8">
        <v>265</v>
      </c>
      <c r="B297" s="9">
        <v>1</v>
      </c>
      <c r="C297" s="10">
        <f>MAX(0,MIN(INT(($D$10+SUM($N$33:N296)+SUM($P$33:P296))/$D$5*B297)-D296,IF($D$11&gt;G296,INT(($D$11-G296)/$D$5),0)-D296))</f>
        <v>10000</v>
      </c>
      <c r="D297" s="10">
        <f t="shared" si="59"/>
        <v>1664500</v>
      </c>
      <c r="E297" s="10">
        <f t="shared" si="52"/>
        <v>2000</v>
      </c>
      <c r="F297" s="10">
        <f t="shared" si="60"/>
        <v>3329000000</v>
      </c>
      <c r="G297" s="10">
        <f t="shared" si="61"/>
        <v>318131000000</v>
      </c>
      <c r="H297" s="13">
        <f t="shared" si="62"/>
        <v>0</v>
      </c>
      <c r="I297" s="13">
        <f t="shared" si="53"/>
        <v>3329000000</v>
      </c>
      <c r="J297" s="13">
        <f t="shared" si="63"/>
        <v>408484214927.50189</v>
      </c>
      <c r="K297" s="13">
        <f t="shared" si="64"/>
        <v>1346030614.3770828</v>
      </c>
      <c r="L297" s="11">
        <f t="shared" si="54"/>
        <v>0.64200630389289615</v>
      </c>
      <c r="M297" s="16">
        <f t="shared" si="55"/>
        <v>1.0464242717622614E-2</v>
      </c>
      <c r="N297" s="10">
        <f t="shared" si="56"/>
        <v>20000000</v>
      </c>
      <c r="O297" s="18">
        <f t="shared" si="57"/>
        <v>636262000000</v>
      </c>
      <c r="P297">
        <v>0</v>
      </c>
      <c r="Q297">
        <f t="shared" si="58"/>
        <v>0</v>
      </c>
    </row>
    <row r="298" spans="1:17" x14ac:dyDescent="0.25">
      <c r="A298" s="8">
        <v>266</v>
      </c>
      <c r="B298" s="9">
        <v>1</v>
      </c>
      <c r="C298" s="10">
        <f>MAX(0,MIN(INT(($D$10+SUM($N$33:N297)+SUM($P$33:P297))/$D$5*B298)-D297,IF($D$11&gt;G297,INT(($D$11-G297)/$D$5),0)-D297))</f>
        <v>10000</v>
      </c>
      <c r="D298" s="10">
        <f t="shared" si="59"/>
        <v>1674500</v>
      </c>
      <c r="E298" s="10">
        <f t="shared" si="52"/>
        <v>2000</v>
      </c>
      <c r="F298" s="10">
        <f t="shared" si="60"/>
        <v>3349000000</v>
      </c>
      <c r="G298" s="10">
        <f t="shared" si="61"/>
        <v>321480000000</v>
      </c>
      <c r="H298" s="13">
        <f t="shared" si="62"/>
        <v>0</v>
      </c>
      <c r="I298" s="13">
        <f t="shared" si="53"/>
        <v>3349000000</v>
      </c>
      <c r="J298" s="13">
        <f t="shared" si="63"/>
        <v>413194828977.26025</v>
      </c>
      <c r="K298" s="13">
        <f t="shared" si="64"/>
        <v>1361614049.7583396</v>
      </c>
      <c r="L298" s="11">
        <f t="shared" si="54"/>
        <v>0.64264468859223012</v>
      </c>
      <c r="M298" s="16">
        <f t="shared" si="55"/>
        <v>1.0417444320019908E-2</v>
      </c>
      <c r="N298" s="10">
        <f t="shared" si="56"/>
        <v>20000000</v>
      </c>
      <c r="O298" s="18">
        <f t="shared" si="57"/>
        <v>642960000000</v>
      </c>
      <c r="P298">
        <v>0</v>
      </c>
      <c r="Q298">
        <f t="shared" si="58"/>
        <v>0</v>
      </c>
    </row>
    <row r="299" spans="1:17" x14ac:dyDescent="0.25">
      <c r="A299" s="8">
        <v>267</v>
      </c>
      <c r="B299" s="9">
        <v>1</v>
      </c>
      <c r="C299" s="10">
        <f>MAX(0,MIN(INT(($D$10+SUM($N$33:N298)+SUM($P$33:P298))/$D$5*B299)-D298,IF($D$11&gt;G298,INT(($D$11-G298)/$D$5),0)-D298))</f>
        <v>10000</v>
      </c>
      <c r="D299" s="10">
        <f t="shared" si="59"/>
        <v>1684500</v>
      </c>
      <c r="E299" s="10">
        <f t="shared" si="52"/>
        <v>2000</v>
      </c>
      <c r="F299" s="10">
        <f t="shared" si="60"/>
        <v>3369000000</v>
      </c>
      <c r="G299" s="10">
        <f t="shared" si="61"/>
        <v>324849000000</v>
      </c>
      <c r="H299" s="13">
        <f t="shared" si="62"/>
        <v>0</v>
      </c>
      <c r="I299" s="13">
        <f t="shared" si="53"/>
        <v>3369000000</v>
      </c>
      <c r="J299" s="13">
        <f t="shared" si="63"/>
        <v>417941145073.85114</v>
      </c>
      <c r="K299" s="13">
        <f t="shared" si="64"/>
        <v>1377316096.5908675</v>
      </c>
      <c r="L299" s="11">
        <f t="shared" si="54"/>
        <v>0.64328525726391517</v>
      </c>
      <c r="M299" s="16">
        <f t="shared" si="55"/>
        <v>1.0370972359465474E-2</v>
      </c>
      <c r="N299" s="10">
        <f t="shared" si="56"/>
        <v>20000000</v>
      </c>
      <c r="O299" s="18">
        <f t="shared" si="57"/>
        <v>649698000000</v>
      </c>
      <c r="P299">
        <v>0</v>
      </c>
      <c r="Q299">
        <f t="shared" si="58"/>
        <v>0</v>
      </c>
    </row>
    <row r="300" spans="1:17" x14ac:dyDescent="0.25">
      <c r="A300" s="8">
        <v>268</v>
      </c>
      <c r="B300" s="9">
        <v>1</v>
      </c>
      <c r="C300" s="10">
        <f>MAX(0,MIN(INT(($D$10+SUM($N$33:N299)+SUM($P$33:P299))/$D$5*B300)-D299,IF($D$11&gt;G299,INT(($D$11-G299)/$D$5),0)-D299))</f>
        <v>10000</v>
      </c>
      <c r="D300" s="10">
        <f t="shared" si="59"/>
        <v>1694500</v>
      </c>
      <c r="E300" s="10">
        <f t="shared" si="52"/>
        <v>2000</v>
      </c>
      <c r="F300" s="10">
        <f t="shared" si="60"/>
        <v>3389000000</v>
      </c>
      <c r="G300" s="10">
        <f t="shared" si="61"/>
        <v>328238000000</v>
      </c>
      <c r="H300" s="13">
        <f t="shared" si="62"/>
        <v>0</v>
      </c>
      <c r="I300" s="13">
        <f t="shared" si="53"/>
        <v>3389000000</v>
      </c>
      <c r="J300" s="13">
        <f t="shared" si="63"/>
        <v>422723282224.09729</v>
      </c>
      <c r="K300" s="13">
        <f t="shared" si="64"/>
        <v>1393137150.2461705</v>
      </c>
      <c r="L300" s="11">
        <f t="shared" si="54"/>
        <v>0.64392800684883722</v>
      </c>
      <c r="M300" s="16">
        <f t="shared" si="55"/>
        <v>1.0324825279218129E-2</v>
      </c>
      <c r="N300" s="10">
        <f t="shared" si="56"/>
        <v>20000000</v>
      </c>
      <c r="O300" s="18">
        <f t="shared" si="57"/>
        <v>656476000000</v>
      </c>
      <c r="P300">
        <v>0</v>
      </c>
      <c r="Q300">
        <f t="shared" si="58"/>
        <v>0</v>
      </c>
    </row>
    <row r="301" spans="1:17" x14ac:dyDescent="0.25">
      <c r="A301" s="8">
        <v>269</v>
      </c>
      <c r="B301" s="9">
        <v>1</v>
      </c>
      <c r="C301" s="10">
        <f>MAX(0,MIN(INT(($D$10+SUM($N$33:N300)+SUM($P$33:P300))/$D$5*B301)-D300,IF($D$11&gt;G300,INT(($D$11-G300)/$D$5),0)-D300))</f>
        <v>10000</v>
      </c>
      <c r="D301" s="10">
        <f t="shared" si="59"/>
        <v>1704500</v>
      </c>
      <c r="E301" s="10">
        <f t="shared" si="52"/>
        <v>2000</v>
      </c>
      <c r="F301" s="10">
        <f t="shared" si="60"/>
        <v>3409000000</v>
      </c>
      <c r="G301" s="10">
        <f t="shared" si="61"/>
        <v>331647000000</v>
      </c>
      <c r="H301" s="13">
        <f t="shared" si="62"/>
        <v>0</v>
      </c>
      <c r="I301" s="13">
        <f t="shared" si="53"/>
        <v>3409000000</v>
      </c>
      <c r="J301" s="13">
        <f t="shared" si="63"/>
        <v>427541359831.51093</v>
      </c>
      <c r="K301" s="13">
        <f t="shared" si="64"/>
        <v>1409077607.4136577</v>
      </c>
      <c r="L301" s="11">
        <f t="shared" si="54"/>
        <v>0.64457293422149287</v>
      </c>
      <c r="M301" s="16">
        <f t="shared" si="55"/>
        <v>1.0279001468428781E-2</v>
      </c>
      <c r="N301" s="10">
        <f t="shared" si="56"/>
        <v>20000000</v>
      </c>
      <c r="O301" s="18">
        <f t="shared" si="57"/>
        <v>663294000000</v>
      </c>
      <c r="P301">
        <v>0</v>
      </c>
      <c r="Q301">
        <f t="shared" si="58"/>
        <v>0</v>
      </c>
    </row>
    <row r="302" spans="1:17" x14ac:dyDescent="0.25">
      <c r="A302" s="8">
        <v>270</v>
      </c>
      <c r="B302" s="9">
        <v>1</v>
      </c>
      <c r="C302" s="10">
        <f>MAX(0,MIN(INT(($D$10+SUM($N$33:N301)+SUM($P$33:P301))/$D$5*B302)-D301,IF($D$11&gt;G301,INT(($D$11-G301)/$D$5),0)-D301))</f>
        <v>10000</v>
      </c>
      <c r="D302" s="10">
        <f t="shared" si="59"/>
        <v>1714500</v>
      </c>
      <c r="E302" s="10">
        <f t="shared" si="52"/>
        <v>2000</v>
      </c>
      <c r="F302" s="10">
        <f t="shared" si="60"/>
        <v>3429000000</v>
      </c>
      <c r="G302" s="10">
        <f t="shared" si="61"/>
        <v>335076000000</v>
      </c>
      <c r="H302" s="13">
        <f t="shared" si="62"/>
        <v>0</v>
      </c>
      <c r="I302" s="13">
        <f t="shared" si="53"/>
        <v>3429000000</v>
      </c>
      <c r="J302" s="13">
        <f t="shared" si="63"/>
        <v>432395497697.61597</v>
      </c>
      <c r="K302" s="13">
        <f t="shared" si="64"/>
        <v>1425137866.1050365</v>
      </c>
      <c r="L302" s="11">
        <f t="shared" si="54"/>
        <v>0.64522003619718504</v>
      </c>
      <c r="M302" s="16">
        <f t="shared" si="55"/>
        <v>1.0233499265838199E-2</v>
      </c>
      <c r="N302" s="10">
        <f t="shared" si="56"/>
        <v>20000000</v>
      </c>
      <c r="O302" s="18">
        <f t="shared" si="57"/>
        <v>670152000000</v>
      </c>
      <c r="P302">
        <v>0</v>
      </c>
      <c r="Q302">
        <f t="shared" si="58"/>
        <v>0</v>
      </c>
    </row>
    <row r="303" spans="1:17" x14ac:dyDescent="0.25">
      <c r="A303" s="8">
        <v>271</v>
      </c>
      <c r="B303" s="9">
        <v>1</v>
      </c>
      <c r="C303" s="10">
        <f>MAX(0,MIN(INT(($D$10+SUM($N$33:N302)+SUM($P$33:P302))/$D$5*B303)-D302,IF($D$11&gt;G302,INT(($D$11-G302)/$D$5),0)-D302))</f>
        <v>10000</v>
      </c>
      <c r="D303" s="10">
        <f t="shared" si="59"/>
        <v>1724500</v>
      </c>
      <c r="E303" s="10">
        <f t="shared" si="52"/>
        <v>2000</v>
      </c>
      <c r="F303" s="10">
        <f t="shared" si="60"/>
        <v>3449000000</v>
      </c>
      <c r="G303" s="10">
        <f t="shared" si="61"/>
        <v>338525000000</v>
      </c>
      <c r="H303" s="13">
        <f t="shared" si="62"/>
        <v>0</v>
      </c>
      <c r="I303" s="13">
        <f t="shared" si="53"/>
        <v>3449000000</v>
      </c>
      <c r="J303" s="13">
        <f t="shared" si="63"/>
        <v>437285816023.27466</v>
      </c>
      <c r="K303" s="13">
        <f t="shared" si="64"/>
        <v>1441318325.65872</v>
      </c>
      <c r="L303" s="11">
        <f t="shared" si="54"/>
        <v>0.64586930953884447</v>
      </c>
      <c r="M303" s="16">
        <f t="shared" si="55"/>
        <v>1.0188316963296655E-2</v>
      </c>
      <c r="N303" s="10">
        <f t="shared" si="56"/>
        <v>20000000</v>
      </c>
      <c r="O303" s="18">
        <f t="shared" si="57"/>
        <v>677050000000</v>
      </c>
      <c r="P303">
        <v>0</v>
      </c>
      <c r="Q303">
        <f t="shared" si="58"/>
        <v>0</v>
      </c>
    </row>
    <row r="304" spans="1:17" x14ac:dyDescent="0.25">
      <c r="A304" s="8">
        <v>272</v>
      </c>
      <c r="B304" s="9">
        <v>1</v>
      </c>
      <c r="C304" s="10">
        <f>MAX(0,MIN(INT(($D$10+SUM($N$33:N303)+SUM($P$33:P303))/$D$5*B304)-D303,IF($D$11&gt;G303,INT(($D$11-G303)/$D$5),0)-D303))</f>
        <v>10000</v>
      </c>
      <c r="D304" s="10">
        <f t="shared" si="59"/>
        <v>1734500</v>
      </c>
      <c r="E304" s="10">
        <f t="shared" si="52"/>
        <v>2000</v>
      </c>
      <c r="F304" s="10">
        <f t="shared" si="60"/>
        <v>3469000000</v>
      </c>
      <c r="G304" s="10">
        <f t="shared" si="61"/>
        <v>341994000000</v>
      </c>
      <c r="H304" s="13">
        <f t="shared" si="62"/>
        <v>0</v>
      </c>
      <c r="I304" s="13">
        <f t="shared" si="53"/>
        <v>3469000000</v>
      </c>
      <c r="J304" s="13">
        <f t="shared" si="63"/>
        <v>442212435410.01892</v>
      </c>
      <c r="K304" s="13">
        <f t="shared" si="64"/>
        <v>1457619386.7442489</v>
      </c>
      <c r="L304" s="11">
        <f t="shared" si="54"/>
        <v>0.64652075096349482</v>
      </c>
      <c r="M304" s="16">
        <f t="shared" si="55"/>
        <v>1.014345280911361E-2</v>
      </c>
      <c r="N304" s="10">
        <f t="shared" si="56"/>
        <v>20000000</v>
      </c>
      <c r="O304" s="18">
        <f t="shared" si="57"/>
        <v>683988000000</v>
      </c>
      <c r="P304">
        <v>0</v>
      </c>
      <c r="Q304">
        <f t="shared" si="58"/>
        <v>0</v>
      </c>
    </row>
    <row r="305" spans="1:17" x14ac:dyDescent="0.25">
      <c r="A305" s="8">
        <v>273</v>
      </c>
      <c r="B305" s="9">
        <v>1</v>
      </c>
      <c r="C305" s="10">
        <f>MAX(0,MIN(INT(($D$10+SUM($N$33:N304)+SUM($P$33:P304))/$D$5*B305)-D304,IF($D$11&gt;G304,INT(($D$11-G304)/$D$5),0)-D304))</f>
        <v>10000</v>
      </c>
      <c r="D305" s="10">
        <f t="shared" si="59"/>
        <v>1744500</v>
      </c>
      <c r="E305" s="10">
        <f t="shared" si="52"/>
        <v>2000</v>
      </c>
      <c r="F305" s="10">
        <f t="shared" si="60"/>
        <v>3489000000</v>
      </c>
      <c r="G305" s="10">
        <f t="shared" si="61"/>
        <v>345483000000</v>
      </c>
      <c r="H305" s="13">
        <f t="shared" si="62"/>
        <v>0</v>
      </c>
      <c r="I305" s="13">
        <f t="shared" si="53"/>
        <v>3489000000</v>
      </c>
      <c r="J305" s="13">
        <f t="shared" si="63"/>
        <v>447175476861.38562</v>
      </c>
      <c r="K305" s="13">
        <f t="shared" si="64"/>
        <v>1474041451.3667297</v>
      </c>
      <c r="L305" s="11">
        <f t="shared" si="54"/>
        <v>0.64717435714837723</v>
      </c>
      <c r="M305" s="16">
        <f t="shared" si="55"/>
        <v>1.0098905011245126E-2</v>
      </c>
      <c r="N305" s="10">
        <f t="shared" si="56"/>
        <v>20000000</v>
      </c>
      <c r="O305" s="18">
        <f t="shared" si="57"/>
        <v>690966000000</v>
      </c>
      <c r="P305">
        <v>0</v>
      </c>
      <c r="Q305">
        <f t="shared" si="58"/>
        <v>0</v>
      </c>
    </row>
    <row r="306" spans="1:17" x14ac:dyDescent="0.25">
      <c r="A306" s="8">
        <v>274</v>
      </c>
      <c r="B306" s="9">
        <v>1</v>
      </c>
      <c r="C306" s="10">
        <f>MAX(0,MIN(INT(($D$10+SUM($N$33:N305)+SUM($P$33:P305))/$D$5*B306)-D305,IF($D$11&gt;G305,INT(($D$11-G305)/$D$5),0)-D305))</f>
        <v>10000</v>
      </c>
      <c r="D306" s="10">
        <f t="shared" si="59"/>
        <v>1754500</v>
      </c>
      <c r="E306" s="10">
        <f t="shared" si="52"/>
        <v>2000</v>
      </c>
      <c r="F306" s="10">
        <f t="shared" si="60"/>
        <v>3509000000</v>
      </c>
      <c r="G306" s="10">
        <f t="shared" si="61"/>
        <v>348992000000</v>
      </c>
      <c r="H306" s="13">
        <f t="shared" si="62"/>
        <v>0</v>
      </c>
      <c r="I306" s="13">
        <f t="shared" si="53"/>
        <v>3509000000</v>
      </c>
      <c r="J306" s="13">
        <f t="shared" si="63"/>
        <v>452175061784.2569</v>
      </c>
      <c r="K306" s="13">
        <f t="shared" si="64"/>
        <v>1490584922.8712854</v>
      </c>
      <c r="L306" s="11">
        <f t="shared" si="54"/>
        <v>0.64783012473675172</v>
      </c>
      <c r="M306" s="16">
        <f t="shared" si="55"/>
        <v>1.0054671740326426E-2</v>
      </c>
      <c r="N306" s="10">
        <f t="shared" si="56"/>
        <v>20000000</v>
      </c>
      <c r="O306" s="18">
        <f t="shared" si="57"/>
        <v>697984000000</v>
      </c>
      <c r="P306">
        <v>0</v>
      </c>
      <c r="Q306">
        <f t="shared" si="58"/>
        <v>0</v>
      </c>
    </row>
    <row r="307" spans="1:17" x14ac:dyDescent="0.25">
      <c r="A307" s="8">
        <v>275</v>
      </c>
      <c r="B307" s="9">
        <v>1</v>
      </c>
      <c r="C307" s="10">
        <f>MAX(0,MIN(INT(($D$10+SUM($N$33:N306)+SUM($P$33:P306))/$D$5*B307)-D306,IF($D$11&gt;G306,INT(($D$11-G306)/$D$5),0)-D306))</f>
        <v>10000</v>
      </c>
      <c r="D307" s="10">
        <f t="shared" si="59"/>
        <v>1764500</v>
      </c>
      <c r="E307" s="10">
        <f t="shared" si="52"/>
        <v>2000</v>
      </c>
      <c r="F307" s="10">
        <f t="shared" si="60"/>
        <v>3529000000</v>
      </c>
      <c r="G307" s="10">
        <f t="shared" si="61"/>
        <v>352521000000</v>
      </c>
      <c r="H307" s="13">
        <f t="shared" si="62"/>
        <v>0</v>
      </c>
      <c r="I307" s="13">
        <f t="shared" si="53"/>
        <v>3529000000</v>
      </c>
      <c r="J307" s="13">
        <f t="shared" si="63"/>
        <v>457211311990.20441</v>
      </c>
      <c r="K307" s="13">
        <f t="shared" si="64"/>
        <v>1507250205.9475231</v>
      </c>
      <c r="L307" s="11">
        <f t="shared" si="54"/>
        <v>0.64848805034339008</v>
      </c>
      <c r="M307" s="16">
        <f t="shared" si="55"/>
        <v>1.0010751132556643E-2</v>
      </c>
      <c r="N307" s="10">
        <f t="shared" si="56"/>
        <v>20000000</v>
      </c>
      <c r="O307" s="18">
        <f t="shared" si="57"/>
        <v>705042000000</v>
      </c>
      <c r="P307">
        <v>0</v>
      </c>
      <c r="Q307">
        <f t="shared" si="58"/>
        <v>0</v>
      </c>
    </row>
    <row r="308" spans="1:17" x14ac:dyDescent="0.25">
      <c r="A308" s="8">
        <v>276</v>
      </c>
      <c r="B308" s="9">
        <v>1</v>
      </c>
      <c r="C308" s="10">
        <f>MAX(0,MIN(INT(($D$10+SUM($N$33:N307)+SUM($P$33:P307))/$D$5*B308)-D307,IF($D$11&gt;G307,INT(($D$11-G307)/$D$5),0)-D307))</f>
        <v>10000</v>
      </c>
      <c r="D308" s="10">
        <f t="shared" si="59"/>
        <v>1774500</v>
      </c>
      <c r="E308" s="10">
        <f t="shared" si="52"/>
        <v>2000</v>
      </c>
      <c r="F308" s="10">
        <f t="shared" si="60"/>
        <v>3549000000</v>
      </c>
      <c r="G308" s="10">
        <f t="shared" si="61"/>
        <v>356070000000</v>
      </c>
      <c r="H308" s="13">
        <f t="shared" si="62"/>
        <v>0</v>
      </c>
      <c r="I308" s="13">
        <f t="shared" si="53"/>
        <v>3560700000</v>
      </c>
      <c r="J308" s="13">
        <f t="shared" si="63"/>
        <v>462272649696.83844</v>
      </c>
      <c r="K308" s="13">
        <f t="shared" si="64"/>
        <v>1524037706.6340148</v>
      </c>
      <c r="L308" s="11">
        <f t="shared" si="54"/>
        <v>0.64913170120599661</v>
      </c>
      <c r="M308" s="16">
        <f t="shared" si="55"/>
        <v>0.01</v>
      </c>
      <c r="N308" s="10">
        <f t="shared" si="56"/>
        <v>20000000</v>
      </c>
      <c r="O308" s="18">
        <f t="shared" si="57"/>
        <v>712140000000</v>
      </c>
      <c r="P308">
        <v>0</v>
      </c>
      <c r="Q308">
        <f t="shared" si="58"/>
        <v>11700000</v>
      </c>
    </row>
    <row r="309" spans="1:17" x14ac:dyDescent="0.25">
      <c r="A309" s="8">
        <v>277</v>
      </c>
      <c r="B309" s="9">
        <v>1</v>
      </c>
      <c r="C309" s="10">
        <f>MAX(0,MIN(INT(($D$10+SUM($N$33:N308)+SUM($P$33:P308))/$D$5*B309)-D308,IF($D$11&gt;G308,INT(($D$11-G308)/$D$5),0)-D308))</f>
        <v>10000</v>
      </c>
      <c r="D309" s="10">
        <f t="shared" si="59"/>
        <v>1784500</v>
      </c>
      <c r="E309" s="10">
        <f t="shared" si="52"/>
        <v>2000</v>
      </c>
      <c r="F309" s="10">
        <f t="shared" si="60"/>
        <v>3569000000</v>
      </c>
      <c r="G309" s="10">
        <f t="shared" si="61"/>
        <v>359639000000</v>
      </c>
      <c r="H309" s="13">
        <f t="shared" si="62"/>
        <v>0</v>
      </c>
      <c r="I309" s="13">
        <f t="shared" si="53"/>
        <v>3596390000</v>
      </c>
      <c r="J309" s="13">
        <f t="shared" si="63"/>
        <v>467355168529.16125</v>
      </c>
      <c r="K309" s="13">
        <f t="shared" si="64"/>
        <v>1540908832.3227949</v>
      </c>
      <c r="L309" s="11">
        <f t="shared" si="54"/>
        <v>0.64975596157419147</v>
      </c>
      <c r="M309" s="16">
        <f t="shared" si="55"/>
        <v>0.01</v>
      </c>
      <c r="N309" s="10">
        <f t="shared" si="56"/>
        <v>20000000</v>
      </c>
      <c r="O309" s="18">
        <f t="shared" si="57"/>
        <v>719278000000</v>
      </c>
      <c r="P309">
        <v>0</v>
      </c>
      <c r="Q309">
        <f t="shared" si="58"/>
        <v>27390000</v>
      </c>
    </row>
    <row r="310" spans="1:17" x14ac:dyDescent="0.25">
      <c r="A310" s="8">
        <v>278</v>
      </c>
      <c r="B310" s="9">
        <v>1</v>
      </c>
      <c r="C310" s="10">
        <f>MAX(0,MIN(INT(($D$10+SUM($N$33:N309)+SUM($P$33:P309))/$D$5*B310)-D309,IF($D$11&gt;G309,INT(($D$11-G309)/$D$5),0)-D309))</f>
        <v>10000</v>
      </c>
      <c r="D310" s="10">
        <f t="shared" si="59"/>
        <v>1794500</v>
      </c>
      <c r="E310" s="10">
        <f t="shared" si="52"/>
        <v>2000</v>
      </c>
      <c r="F310" s="10">
        <f t="shared" si="60"/>
        <v>3589000000</v>
      </c>
      <c r="G310" s="10">
        <f t="shared" si="61"/>
        <v>363228000000</v>
      </c>
      <c r="H310" s="13">
        <f t="shared" si="62"/>
        <v>0</v>
      </c>
      <c r="I310" s="13">
        <f t="shared" si="53"/>
        <v>3632280000</v>
      </c>
      <c r="J310" s="13">
        <f t="shared" si="63"/>
        <v>472458739090.92511</v>
      </c>
      <c r="K310" s="13">
        <f t="shared" si="64"/>
        <v>1557850561.763871</v>
      </c>
      <c r="L310" s="11">
        <f t="shared" si="54"/>
        <v>0.650361121789792</v>
      </c>
      <c r="M310" s="16">
        <f t="shared" si="55"/>
        <v>0.01</v>
      </c>
      <c r="N310" s="10">
        <f t="shared" si="56"/>
        <v>20000000</v>
      </c>
      <c r="O310" s="18">
        <f t="shared" si="57"/>
        <v>726456000000</v>
      </c>
      <c r="P310">
        <v>0</v>
      </c>
      <c r="Q310">
        <f t="shared" si="58"/>
        <v>43280000</v>
      </c>
    </row>
    <row r="311" spans="1:17" x14ac:dyDescent="0.25">
      <c r="A311" s="8">
        <v>279</v>
      </c>
      <c r="B311" s="9">
        <v>1</v>
      </c>
      <c r="C311" s="10">
        <f>MAX(0,MIN(INT(($D$10+SUM($N$33:N310)+SUM($P$33:P310))/$D$5*B311)-D310,IF($D$11&gt;G310,INT(($D$11-G310)/$D$5),0)-D310))</f>
        <v>10000</v>
      </c>
      <c r="D311" s="10">
        <f t="shared" si="59"/>
        <v>1804500</v>
      </c>
      <c r="E311" s="10">
        <f t="shared" si="52"/>
        <v>2000</v>
      </c>
      <c r="F311" s="10">
        <f t="shared" si="60"/>
        <v>3609000000</v>
      </c>
      <c r="G311" s="10">
        <f t="shared" si="61"/>
        <v>366837000000</v>
      </c>
      <c r="H311" s="13">
        <f t="shared" si="62"/>
        <v>0</v>
      </c>
      <c r="I311" s="13">
        <f t="shared" si="53"/>
        <v>3668370000</v>
      </c>
      <c r="J311" s="13">
        <f t="shared" si="63"/>
        <v>477583231554.56152</v>
      </c>
      <c r="K311" s="13">
        <f t="shared" si="64"/>
        <v>1574862463.6364172</v>
      </c>
      <c r="L311" s="11">
        <f t="shared" si="54"/>
        <v>0.65094746652404412</v>
      </c>
      <c r="M311" s="16">
        <f t="shared" si="55"/>
        <v>0.01</v>
      </c>
      <c r="N311" s="10">
        <f t="shared" si="56"/>
        <v>20000000</v>
      </c>
      <c r="O311" s="18">
        <f t="shared" si="57"/>
        <v>733674000000</v>
      </c>
      <c r="P311">
        <v>0</v>
      </c>
      <c r="Q311">
        <f t="shared" si="58"/>
        <v>59370000</v>
      </c>
    </row>
    <row r="312" spans="1:17" x14ac:dyDescent="0.25">
      <c r="A312" s="8">
        <v>280</v>
      </c>
      <c r="B312" s="9">
        <v>1</v>
      </c>
      <c r="C312" s="10">
        <f>MAX(0,MIN(INT(($D$10+SUM($N$33:N311)+SUM($P$33:P311))/$D$5*B312)-D311,IF($D$11&gt;G311,INT(($D$11-G311)/$D$5),0)-D311))</f>
        <v>10000</v>
      </c>
      <c r="D312" s="10">
        <f t="shared" si="59"/>
        <v>1814500</v>
      </c>
      <c r="E312" s="10">
        <f t="shared" si="52"/>
        <v>2000</v>
      </c>
      <c r="F312" s="10">
        <f t="shared" si="60"/>
        <v>3629000000</v>
      </c>
      <c r="G312" s="10">
        <f t="shared" si="61"/>
        <v>370466000000</v>
      </c>
      <c r="H312" s="13">
        <f t="shared" si="62"/>
        <v>0</v>
      </c>
      <c r="I312" s="13">
        <f t="shared" si="53"/>
        <v>3704660000</v>
      </c>
      <c r="J312" s="13">
        <f t="shared" si="63"/>
        <v>482728515659.74341</v>
      </c>
      <c r="K312" s="13">
        <f t="shared" si="64"/>
        <v>1591944105.1818719</v>
      </c>
      <c r="L312" s="11">
        <f t="shared" si="54"/>
        <v>0.65151527489667527</v>
      </c>
      <c r="M312" s="16">
        <f t="shared" si="55"/>
        <v>0.01</v>
      </c>
      <c r="N312" s="10">
        <f t="shared" si="56"/>
        <v>20000000</v>
      </c>
      <c r="O312" s="18">
        <f t="shared" si="57"/>
        <v>740932000000</v>
      </c>
      <c r="P312">
        <v>0</v>
      </c>
      <c r="Q312">
        <f t="shared" si="58"/>
        <v>75660000</v>
      </c>
    </row>
    <row r="313" spans="1:17" x14ac:dyDescent="0.25">
      <c r="A313" s="8">
        <v>281</v>
      </c>
      <c r="B313" s="9">
        <v>1</v>
      </c>
      <c r="C313" s="10">
        <f>MAX(0,MIN(INT(($D$10+SUM($N$33:N312)+SUM($P$33:P312))/$D$5*B313)-D312,IF($D$11&gt;G312,INT(($D$11-G312)/$D$5),0)-D312))</f>
        <v>10000</v>
      </c>
      <c r="D313" s="10">
        <f t="shared" si="59"/>
        <v>1824500</v>
      </c>
      <c r="E313" s="10">
        <f t="shared" si="52"/>
        <v>2000</v>
      </c>
      <c r="F313" s="10">
        <f t="shared" si="60"/>
        <v>3649000000</v>
      </c>
      <c r="G313" s="10">
        <f t="shared" si="61"/>
        <v>374115000000</v>
      </c>
      <c r="H313" s="13">
        <f t="shared" si="62"/>
        <v>0</v>
      </c>
      <c r="I313" s="13">
        <f t="shared" si="53"/>
        <v>3741150000</v>
      </c>
      <c r="J313" s="13">
        <f t="shared" si="63"/>
        <v>487894460711.94257</v>
      </c>
      <c r="K313" s="13">
        <f t="shared" si="64"/>
        <v>1609095052.1991448</v>
      </c>
      <c r="L313" s="11">
        <f t="shared" si="54"/>
        <v>0.6520648205925218</v>
      </c>
      <c r="M313" s="16">
        <f t="shared" si="55"/>
        <v>0.01</v>
      </c>
      <c r="N313" s="10">
        <f t="shared" si="56"/>
        <v>20000000</v>
      </c>
      <c r="O313" s="18">
        <f t="shared" si="57"/>
        <v>748230000000</v>
      </c>
      <c r="P313">
        <v>0</v>
      </c>
      <c r="Q313">
        <f t="shared" si="58"/>
        <v>92150000</v>
      </c>
    </row>
    <row r="314" spans="1:17" x14ac:dyDescent="0.25">
      <c r="A314" s="8">
        <v>282</v>
      </c>
      <c r="B314" s="9">
        <v>1</v>
      </c>
      <c r="C314" s="10">
        <f>MAX(0,MIN(INT(($D$10+SUM($N$33:N313)+SUM($P$33:P313))/$D$5*B314)-D313,IF($D$11&gt;G313,INT(($D$11-G313)/$D$5),0)-D313))</f>
        <v>10000</v>
      </c>
      <c r="D314" s="10">
        <f t="shared" si="59"/>
        <v>1834500</v>
      </c>
      <c r="E314" s="10">
        <f t="shared" si="52"/>
        <v>2000</v>
      </c>
      <c r="F314" s="10">
        <f t="shared" si="60"/>
        <v>3669000000</v>
      </c>
      <c r="G314" s="10">
        <f t="shared" si="61"/>
        <v>377784000000</v>
      </c>
      <c r="H314" s="13">
        <f t="shared" si="62"/>
        <v>0</v>
      </c>
      <c r="I314" s="13">
        <f t="shared" si="53"/>
        <v>3777840000</v>
      </c>
      <c r="J314" s="13">
        <f t="shared" si="63"/>
        <v>493080935580.98236</v>
      </c>
      <c r="K314" s="13">
        <f t="shared" si="64"/>
        <v>1626314869.0398088</v>
      </c>
      <c r="L314" s="11">
        <f t="shared" si="54"/>
        <v>0.65259637197576181</v>
      </c>
      <c r="M314" s="16">
        <f t="shared" si="55"/>
        <v>0.01</v>
      </c>
      <c r="N314" s="10">
        <f t="shared" si="56"/>
        <v>20000000</v>
      </c>
      <c r="O314" s="18">
        <f t="shared" si="57"/>
        <v>755568000000</v>
      </c>
      <c r="P314">
        <v>0</v>
      </c>
      <c r="Q314">
        <f t="shared" si="58"/>
        <v>108840000</v>
      </c>
    </row>
    <row r="315" spans="1:17" x14ac:dyDescent="0.25">
      <c r="A315" s="8">
        <v>283</v>
      </c>
      <c r="B315" s="9">
        <v>1</v>
      </c>
      <c r="C315" s="10">
        <f>MAX(0,MIN(INT(($D$10+SUM($N$33:N314)+SUM($P$33:P314))/$D$5*B315)-D314,IF($D$11&gt;G314,INT(($D$11-G314)/$D$5),0)-D314))</f>
        <v>10000</v>
      </c>
      <c r="D315" s="10">
        <f t="shared" si="59"/>
        <v>1844500</v>
      </c>
      <c r="E315" s="10">
        <f t="shared" si="52"/>
        <v>2000</v>
      </c>
      <c r="F315" s="10">
        <f t="shared" si="60"/>
        <v>3689000000</v>
      </c>
      <c r="G315" s="10">
        <f t="shared" si="61"/>
        <v>381473000000</v>
      </c>
      <c r="H315" s="13">
        <f t="shared" si="62"/>
        <v>0</v>
      </c>
      <c r="I315" s="13">
        <f t="shared" si="53"/>
        <v>3814730000</v>
      </c>
      <c r="J315" s="13">
        <f t="shared" si="63"/>
        <v>498287808699.58563</v>
      </c>
      <c r="K315" s="13">
        <f t="shared" si="64"/>
        <v>1643603118.6032746</v>
      </c>
      <c r="L315" s="11">
        <f t="shared" si="54"/>
        <v>0.65311019220178834</v>
      </c>
      <c r="M315" s="16">
        <f t="shared" si="55"/>
        <v>0.01</v>
      </c>
      <c r="N315" s="10">
        <f t="shared" si="56"/>
        <v>20000000</v>
      </c>
      <c r="O315" s="18">
        <f t="shared" si="57"/>
        <v>762946000000</v>
      </c>
      <c r="P315">
        <v>0</v>
      </c>
      <c r="Q315">
        <f t="shared" si="58"/>
        <v>125730000</v>
      </c>
    </row>
    <row r="316" spans="1:17" x14ac:dyDescent="0.25">
      <c r="A316" s="8">
        <v>284</v>
      </c>
      <c r="B316" s="9">
        <v>1</v>
      </c>
      <c r="C316" s="10">
        <f>MAX(0,MIN(INT(($D$10+SUM($N$33:N315)+SUM($P$33:P315))/$D$5*B316)-D315,IF($D$11&gt;G315,INT(($D$11-G315)/$D$5),0)-D315))</f>
        <v>10000</v>
      </c>
      <c r="D316" s="10">
        <f t="shared" si="59"/>
        <v>1854500</v>
      </c>
      <c r="E316" s="10">
        <f t="shared" si="52"/>
        <v>2000</v>
      </c>
      <c r="F316" s="10">
        <f t="shared" si="60"/>
        <v>3709000000</v>
      </c>
      <c r="G316" s="10">
        <f t="shared" si="61"/>
        <v>385182000000</v>
      </c>
      <c r="H316" s="13">
        <f t="shared" si="62"/>
        <v>0</v>
      </c>
      <c r="I316" s="13">
        <f t="shared" si="53"/>
        <v>3851820000</v>
      </c>
      <c r="J316" s="13">
        <f t="shared" si="63"/>
        <v>503514948061.9176</v>
      </c>
      <c r="K316" s="13">
        <f t="shared" si="64"/>
        <v>1660959362.3319523</v>
      </c>
      <c r="L316" s="11">
        <f t="shared" si="54"/>
        <v>0.65360653932675672</v>
      </c>
      <c r="M316" s="16">
        <f t="shared" si="55"/>
        <v>0.01</v>
      </c>
      <c r="N316" s="10">
        <f t="shared" si="56"/>
        <v>20000000</v>
      </c>
      <c r="O316" s="18">
        <f t="shared" si="57"/>
        <v>770364000000</v>
      </c>
      <c r="P316">
        <v>0</v>
      </c>
      <c r="Q316">
        <f t="shared" si="58"/>
        <v>142820000</v>
      </c>
    </row>
    <row r="317" spans="1:17" x14ac:dyDescent="0.25">
      <c r="A317" s="8">
        <v>285</v>
      </c>
      <c r="B317" s="9">
        <v>1</v>
      </c>
      <c r="C317" s="10">
        <f>MAX(0,MIN(INT(($D$10+SUM($N$33:N316)+SUM($P$33:P316))/$D$5*B317)-D316,IF($D$11&gt;G316,INT(($D$11-G316)/$D$5),0)-D316))</f>
        <v>10000</v>
      </c>
      <c r="D317" s="10">
        <f t="shared" si="59"/>
        <v>1864500</v>
      </c>
      <c r="E317" s="10">
        <f t="shared" si="52"/>
        <v>2000</v>
      </c>
      <c r="F317" s="10">
        <f t="shared" si="60"/>
        <v>3729000000</v>
      </c>
      <c r="G317" s="10">
        <f t="shared" si="61"/>
        <v>388911000000</v>
      </c>
      <c r="H317" s="13">
        <f t="shared" si="62"/>
        <v>0</v>
      </c>
      <c r="I317" s="13">
        <f t="shared" si="53"/>
        <v>3889110000</v>
      </c>
      <c r="J317" s="13">
        <f t="shared" si="63"/>
        <v>508762221222.12402</v>
      </c>
      <c r="K317" s="13">
        <f t="shared" si="64"/>
        <v>1678383160.206392</v>
      </c>
      <c r="L317" s="11">
        <f t="shared" si="54"/>
        <v>0.65408566641484045</v>
      </c>
      <c r="M317" s="16">
        <f t="shared" si="55"/>
        <v>0.01</v>
      </c>
      <c r="N317" s="10">
        <f t="shared" si="56"/>
        <v>20000000</v>
      </c>
      <c r="O317" s="18">
        <f t="shared" si="57"/>
        <v>777822000000</v>
      </c>
      <c r="P317">
        <v>0</v>
      </c>
      <c r="Q317">
        <f t="shared" si="58"/>
        <v>160110000</v>
      </c>
    </row>
    <row r="318" spans="1:17" x14ac:dyDescent="0.25">
      <c r="A318" s="8">
        <v>286</v>
      </c>
      <c r="B318" s="9">
        <v>1</v>
      </c>
      <c r="C318" s="10">
        <f>MAX(0,MIN(INT(($D$10+SUM($N$33:N317)+SUM($P$33:P317))/$D$5*B318)-D317,IF($D$11&gt;G317,INT(($D$11-G317)/$D$5),0)-D317))</f>
        <v>10000</v>
      </c>
      <c r="D318" s="10">
        <f t="shared" si="59"/>
        <v>1874500</v>
      </c>
      <c r="E318" s="10">
        <f t="shared" si="52"/>
        <v>2000</v>
      </c>
      <c r="F318" s="10">
        <f t="shared" si="60"/>
        <v>3749000000</v>
      </c>
      <c r="G318" s="10">
        <f t="shared" si="61"/>
        <v>392660000000</v>
      </c>
      <c r="H318" s="13">
        <f t="shared" si="62"/>
        <v>0</v>
      </c>
      <c r="I318" s="13">
        <f t="shared" si="53"/>
        <v>3926600000</v>
      </c>
      <c r="J318" s="13">
        <f t="shared" si="63"/>
        <v>514029495292.86444</v>
      </c>
      <c r="K318" s="13">
        <f t="shared" si="64"/>
        <v>1695874070.7404134</v>
      </c>
      <c r="L318" s="11">
        <f t="shared" si="54"/>
        <v>0.65454782164323388</v>
      </c>
      <c r="M318" s="16">
        <f t="shared" si="55"/>
        <v>0.01</v>
      </c>
      <c r="N318" s="10">
        <f t="shared" si="56"/>
        <v>20000000</v>
      </c>
      <c r="O318" s="18">
        <f t="shared" si="57"/>
        <v>785320000000</v>
      </c>
      <c r="P318">
        <v>0</v>
      </c>
      <c r="Q318">
        <f t="shared" si="58"/>
        <v>177600000</v>
      </c>
    </row>
    <row r="319" spans="1:17" x14ac:dyDescent="0.25">
      <c r="A319" s="8">
        <v>287</v>
      </c>
      <c r="B319" s="9">
        <v>1</v>
      </c>
      <c r="C319" s="10">
        <f>MAX(0,MIN(INT(($D$10+SUM($N$33:N318)+SUM($P$33:P318))/$D$5*B319)-D318,IF($D$11&gt;G318,INT(($D$11-G318)/$D$5),0)-D318))</f>
        <v>10000</v>
      </c>
      <c r="D319" s="10">
        <f t="shared" si="59"/>
        <v>1884500</v>
      </c>
      <c r="E319" s="10">
        <f t="shared" si="52"/>
        <v>2000</v>
      </c>
      <c r="F319" s="10">
        <f t="shared" si="60"/>
        <v>3769000000</v>
      </c>
      <c r="G319" s="10">
        <f t="shared" si="61"/>
        <v>396429000000</v>
      </c>
      <c r="H319" s="13">
        <f t="shared" si="62"/>
        <v>0</v>
      </c>
      <c r="I319" s="13">
        <f t="shared" si="53"/>
        <v>3964290000</v>
      </c>
      <c r="J319" s="13">
        <f t="shared" si="63"/>
        <v>519316636943.84064</v>
      </c>
      <c r="K319" s="13">
        <f t="shared" si="64"/>
        <v>1713431650.9762149</v>
      </c>
      <c r="L319" s="11">
        <f t="shared" si="54"/>
        <v>0.65499324840493589</v>
      </c>
      <c r="M319" s="16">
        <f t="shared" si="55"/>
        <v>0.01</v>
      </c>
      <c r="N319" s="10">
        <f t="shared" si="56"/>
        <v>20000000</v>
      </c>
      <c r="O319" s="18">
        <f t="shared" si="57"/>
        <v>792858000000</v>
      </c>
      <c r="P319">
        <v>0</v>
      </c>
      <c r="Q319">
        <f t="shared" si="58"/>
        <v>195290000</v>
      </c>
    </row>
    <row r="320" spans="1:17" x14ac:dyDescent="0.25">
      <c r="A320" s="8">
        <v>288</v>
      </c>
      <c r="B320" s="9">
        <v>1</v>
      </c>
      <c r="C320" s="10">
        <f>MAX(0,MIN(INT(($D$10+SUM($N$33:N319)+SUM($P$33:P319))/$D$5*B320)-D319,IF($D$11&gt;G319,INT(($D$11-G319)/$D$5),0)-D319))</f>
        <v>10000</v>
      </c>
      <c r="D320" s="10">
        <f t="shared" si="59"/>
        <v>1894500</v>
      </c>
      <c r="E320" s="10">
        <f t="shared" si="52"/>
        <v>2000</v>
      </c>
      <c r="F320" s="10">
        <f t="shared" si="60"/>
        <v>3789000000</v>
      </c>
      <c r="G320" s="10">
        <f t="shared" si="61"/>
        <v>400218000000</v>
      </c>
      <c r="H320" s="13">
        <f t="shared" si="62"/>
        <v>0</v>
      </c>
      <c r="I320" s="13">
        <f t="shared" si="53"/>
        <v>4002180000</v>
      </c>
      <c r="J320" s="13">
        <f t="shared" si="63"/>
        <v>524623512400.32013</v>
      </c>
      <c r="K320" s="13">
        <f t="shared" si="64"/>
        <v>1731055456.4794688</v>
      </c>
      <c r="L320" s="11">
        <f t="shared" si="54"/>
        <v>0.65542218540935204</v>
      </c>
      <c r="M320" s="16">
        <f t="shared" si="55"/>
        <v>0.01</v>
      </c>
      <c r="N320" s="10">
        <f t="shared" si="56"/>
        <v>20000000</v>
      </c>
      <c r="O320" s="18">
        <f t="shared" si="57"/>
        <v>800436000000</v>
      </c>
      <c r="P320">
        <v>0</v>
      </c>
      <c r="Q320">
        <f t="shared" si="58"/>
        <v>213180000</v>
      </c>
    </row>
    <row r="321" spans="1:17" x14ac:dyDescent="0.25">
      <c r="A321" s="8">
        <v>289</v>
      </c>
      <c r="B321" s="9">
        <v>1</v>
      </c>
      <c r="C321" s="10">
        <f>MAX(0,MIN(INT(($D$10+SUM($N$33:N320)+SUM($P$33:P320))/$D$5*B321)-D320,IF($D$11&gt;G320,INT(($D$11-G320)/$D$5),0)-D320))</f>
        <v>10000</v>
      </c>
      <c r="D321" s="10">
        <f t="shared" si="59"/>
        <v>1904500</v>
      </c>
      <c r="E321" s="10">
        <f t="shared" si="52"/>
        <v>2000</v>
      </c>
      <c r="F321" s="10">
        <f t="shared" si="60"/>
        <v>3809000000</v>
      </c>
      <c r="G321" s="10">
        <f t="shared" si="61"/>
        <v>404027000000</v>
      </c>
      <c r="H321" s="13">
        <f t="shared" si="62"/>
        <v>0</v>
      </c>
      <c r="I321" s="13">
        <f t="shared" si="53"/>
        <v>4040270000</v>
      </c>
      <c r="J321" s="13">
        <f t="shared" si="63"/>
        <v>529949987441.65454</v>
      </c>
      <c r="K321" s="13">
        <f t="shared" si="64"/>
        <v>1748745041.3344007</v>
      </c>
      <c r="L321" s="11">
        <f t="shared" si="54"/>
        <v>0.65583486678075298</v>
      </c>
      <c r="M321" s="16">
        <f t="shared" si="55"/>
        <v>0.01</v>
      </c>
      <c r="N321" s="10">
        <f t="shared" si="56"/>
        <v>20000000</v>
      </c>
      <c r="O321" s="18">
        <f t="shared" si="57"/>
        <v>808054000000</v>
      </c>
      <c r="P321">
        <v>0</v>
      </c>
      <c r="Q321">
        <f t="shared" si="58"/>
        <v>231270000</v>
      </c>
    </row>
    <row r="322" spans="1:17" x14ac:dyDescent="0.25">
      <c r="A322" s="8">
        <v>290</v>
      </c>
      <c r="B322" s="9">
        <v>1</v>
      </c>
      <c r="C322" s="10">
        <f>MAX(0,MIN(INT(($D$10+SUM($N$33:N321)+SUM($P$33:P321))/$D$5*B322)-D321,IF($D$11&gt;G321,INT(($D$11-G321)/$D$5),0)-D321))</f>
        <v>10000</v>
      </c>
      <c r="D322" s="10">
        <f t="shared" si="59"/>
        <v>1914500</v>
      </c>
      <c r="E322" s="10">
        <f t="shared" si="52"/>
        <v>2000</v>
      </c>
      <c r="F322" s="10">
        <f t="shared" si="60"/>
        <v>3829000000</v>
      </c>
      <c r="G322" s="10">
        <f t="shared" si="61"/>
        <v>407856000000</v>
      </c>
      <c r="H322" s="13">
        <f t="shared" si="62"/>
        <v>0</v>
      </c>
      <c r="I322" s="13">
        <f t="shared" si="53"/>
        <v>4078560000</v>
      </c>
      <c r="J322" s="13">
        <f t="shared" si="63"/>
        <v>535295927399.7934</v>
      </c>
      <c r="K322" s="13">
        <f t="shared" si="64"/>
        <v>1766499958.1388485</v>
      </c>
      <c r="L322" s="11">
        <f t="shared" si="54"/>
        <v>0.65623152215462488</v>
      </c>
      <c r="M322" s="16">
        <f t="shared" si="55"/>
        <v>0.01</v>
      </c>
      <c r="N322" s="10">
        <f t="shared" si="56"/>
        <v>20000000</v>
      </c>
      <c r="O322" s="18">
        <f t="shared" si="57"/>
        <v>815712000000</v>
      </c>
      <c r="P322">
        <v>0</v>
      </c>
      <c r="Q322">
        <f t="shared" si="58"/>
        <v>249560000</v>
      </c>
    </row>
    <row r="323" spans="1:17" x14ac:dyDescent="0.25">
      <c r="A323" s="8">
        <v>291</v>
      </c>
      <c r="B323" s="9">
        <v>1</v>
      </c>
      <c r="C323" s="10">
        <f>MAX(0,MIN(INT(($D$10+SUM($N$33:N322)+SUM($P$33:P322))/$D$5*B323)-D322,IF($D$11&gt;G322,INT(($D$11-G322)/$D$5),0)-D322))</f>
        <v>10000</v>
      </c>
      <c r="D323" s="10">
        <f t="shared" si="59"/>
        <v>1924500</v>
      </c>
      <c r="E323" s="10">
        <f t="shared" si="52"/>
        <v>2000</v>
      </c>
      <c r="F323" s="10">
        <f t="shared" si="60"/>
        <v>3849000000</v>
      </c>
      <c r="G323" s="10">
        <f t="shared" si="61"/>
        <v>411705000000</v>
      </c>
      <c r="H323" s="13">
        <f t="shared" si="62"/>
        <v>0</v>
      </c>
      <c r="I323" s="13">
        <f t="shared" si="53"/>
        <v>4117050000</v>
      </c>
      <c r="J323" s="13">
        <f t="shared" si="63"/>
        <v>540661197157.79272</v>
      </c>
      <c r="K323" s="13">
        <f t="shared" si="64"/>
        <v>1784319757.9993114</v>
      </c>
      <c r="L323" s="11">
        <f t="shared" si="54"/>
        <v>0.65661237677195172</v>
      </c>
      <c r="M323" s="16">
        <f t="shared" si="55"/>
        <v>0.01</v>
      </c>
      <c r="N323" s="10">
        <f t="shared" si="56"/>
        <v>20000000</v>
      </c>
      <c r="O323" s="18">
        <f t="shared" si="57"/>
        <v>823410000000</v>
      </c>
      <c r="P323">
        <v>0</v>
      </c>
      <c r="Q323">
        <f t="shared" si="58"/>
        <v>268050000</v>
      </c>
    </row>
    <row r="324" spans="1:17" x14ac:dyDescent="0.25">
      <c r="A324" s="8">
        <v>292</v>
      </c>
      <c r="B324" s="9">
        <v>1</v>
      </c>
      <c r="C324" s="10">
        <f>MAX(0,MIN(INT(($D$10+SUM($N$33:N323)+SUM($P$33:P323))/$D$5*B324)-D323,IF($D$11&gt;G323,INT(($D$11-G323)/$D$5),0)-D323))</f>
        <v>10000</v>
      </c>
      <c r="D324" s="10">
        <f t="shared" si="59"/>
        <v>1934500</v>
      </c>
      <c r="E324" s="10">
        <f t="shared" si="52"/>
        <v>2000</v>
      </c>
      <c r="F324" s="10">
        <f t="shared" si="60"/>
        <v>3869000000</v>
      </c>
      <c r="G324" s="10">
        <f t="shared" si="61"/>
        <v>415574000000</v>
      </c>
      <c r="H324" s="13">
        <f t="shared" si="62"/>
        <v>0</v>
      </c>
      <c r="I324" s="13">
        <f t="shared" si="53"/>
        <v>4155740000</v>
      </c>
      <c r="J324" s="13">
        <f t="shared" si="63"/>
        <v>546045661148.31873</v>
      </c>
      <c r="K324" s="13">
        <f t="shared" si="64"/>
        <v>1802203990.5259759</v>
      </c>
      <c r="L324" s="11">
        <f t="shared" si="54"/>
        <v>0.65697765157146348</v>
      </c>
      <c r="M324" s="16">
        <f t="shared" si="55"/>
        <v>0.01</v>
      </c>
      <c r="N324" s="10">
        <f t="shared" si="56"/>
        <v>20000000</v>
      </c>
      <c r="O324" s="18">
        <f t="shared" si="57"/>
        <v>831148000000</v>
      </c>
      <c r="P324">
        <v>0</v>
      </c>
      <c r="Q324">
        <f t="shared" si="58"/>
        <v>286740000</v>
      </c>
    </row>
    <row r="325" spans="1:17" x14ac:dyDescent="0.25">
      <c r="A325" s="8">
        <v>293</v>
      </c>
      <c r="B325" s="9">
        <v>1</v>
      </c>
      <c r="C325" s="10">
        <f>MAX(0,MIN(INT(($D$10+SUM($N$33:N324)+SUM($P$33:P324))/$D$5*B325)-D324,IF($D$11&gt;G324,INT(($D$11-G324)/$D$5),0)-D324))</f>
        <v>10000</v>
      </c>
      <c r="D325" s="10">
        <f t="shared" si="59"/>
        <v>1944500</v>
      </c>
      <c r="E325" s="10">
        <f t="shared" si="52"/>
        <v>2000</v>
      </c>
      <c r="F325" s="10">
        <f t="shared" si="60"/>
        <v>3889000000</v>
      </c>
      <c r="G325" s="10">
        <f t="shared" si="61"/>
        <v>419463000000</v>
      </c>
      <c r="H325" s="13">
        <f t="shared" si="62"/>
        <v>0</v>
      </c>
      <c r="I325" s="13">
        <f t="shared" si="53"/>
        <v>4194630000</v>
      </c>
      <c r="J325" s="13">
        <f t="shared" si="63"/>
        <v>551449183352.14648</v>
      </c>
      <c r="K325" s="13">
        <f t="shared" si="64"/>
        <v>1820152203.8277292</v>
      </c>
      <c r="L325" s="11">
        <f t="shared" si="54"/>
        <v>0.65732756327989172</v>
      </c>
      <c r="M325" s="16">
        <f t="shared" si="55"/>
        <v>0.01</v>
      </c>
      <c r="N325" s="10">
        <f t="shared" si="56"/>
        <v>20000000</v>
      </c>
      <c r="O325" s="18">
        <f t="shared" si="57"/>
        <v>838926000000</v>
      </c>
      <c r="P325">
        <v>0</v>
      </c>
      <c r="Q325">
        <f t="shared" si="58"/>
        <v>305630000</v>
      </c>
    </row>
    <row r="326" spans="1:17" x14ac:dyDescent="0.25">
      <c r="A326" s="8">
        <v>294</v>
      </c>
      <c r="B326" s="9">
        <v>1</v>
      </c>
      <c r="C326" s="10">
        <f>MAX(0,MIN(INT(($D$10+SUM($N$33:N325)+SUM($P$33:P325))/$D$5*B326)-D325,IF($D$11&gt;G325,INT(($D$11-G325)/$D$5),0)-D325))</f>
        <v>10000</v>
      </c>
      <c r="D326" s="10">
        <f t="shared" si="59"/>
        <v>1954500</v>
      </c>
      <c r="E326" s="10">
        <f t="shared" si="52"/>
        <v>2000</v>
      </c>
      <c r="F326" s="10">
        <f t="shared" si="60"/>
        <v>3909000000</v>
      </c>
      <c r="G326" s="10">
        <f t="shared" si="61"/>
        <v>423372000000</v>
      </c>
      <c r="H326" s="13">
        <f t="shared" si="62"/>
        <v>0</v>
      </c>
      <c r="I326" s="13">
        <f t="shared" si="53"/>
        <v>4233720000</v>
      </c>
      <c r="J326" s="13">
        <f t="shared" si="63"/>
        <v>556871627296.65369</v>
      </c>
      <c r="K326" s="13">
        <f t="shared" si="64"/>
        <v>1838163944.5071552</v>
      </c>
      <c r="L326" s="11">
        <f t="shared" si="54"/>
        <v>0.65766232450026652</v>
      </c>
      <c r="M326" s="16">
        <f t="shared" si="55"/>
        <v>0.01</v>
      </c>
      <c r="N326" s="10">
        <f t="shared" si="56"/>
        <v>20000000</v>
      </c>
      <c r="O326" s="18">
        <f t="shared" si="57"/>
        <v>846744000000</v>
      </c>
      <c r="P326">
        <v>0</v>
      </c>
      <c r="Q326">
        <f t="shared" si="58"/>
        <v>324720000</v>
      </c>
    </row>
    <row r="327" spans="1:17" x14ac:dyDescent="0.25">
      <c r="A327" s="8">
        <v>295</v>
      </c>
      <c r="B327" s="9">
        <v>1</v>
      </c>
      <c r="C327" s="10">
        <f>MAX(0,MIN(INT(($D$10+SUM($N$33:N326)+SUM($P$33:P326))/$D$5*B327)-D326,IF($D$11&gt;G326,INT(($D$11-G326)/$D$5),0)-D326))</f>
        <v>10000</v>
      </c>
      <c r="D327" s="10">
        <f t="shared" si="59"/>
        <v>1964500</v>
      </c>
      <c r="E327" s="10">
        <f t="shared" si="52"/>
        <v>2000</v>
      </c>
      <c r="F327" s="10">
        <f t="shared" si="60"/>
        <v>3929000000</v>
      </c>
      <c r="G327" s="10">
        <f t="shared" si="61"/>
        <v>427301000000</v>
      </c>
      <c r="H327" s="13">
        <f t="shared" si="62"/>
        <v>0</v>
      </c>
      <c r="I327" s="13">
        <f t="shared" si="53"/>
        <v>4273010000</v>
      </c>
      <c r="J327" s="13">
        <f t="shared" si="63"/>
        <v>562312856054.3092</v>
      </c>
      <c r="K327" s="13">
        <f t="shared" si="64"/>
        <v>1856238757.6555123</v>
      </c>
      <c r="L327" s="11">
        <f t="shared" si="54"/>
        <v>0.65798214379829345</v>
      </c>
      <c r="M327" s="16">
        <f t="shared" si="55"/>
        <v>0.01</v>
      </c>
      <c r="N327" s="10">
        <f t="shared" si="56"/>
        <v>20000000</v>
      </c>
      <c r="O327" s="18">
        <f t="shared" si="57"/>
        <v>854602000000</v>
      </c>
      <c r="P327">
        <v>0</v>
      </c>
      <c r="Q327">
        <f t="shared" si="58"/>
        <v>344010000</v>
      </c>
    </row>
    <row r="328" spans="1:17" x14ac:dyDescent="0.25">
      <c r="A328" s="8">
        <v>296</v>
      </c>
      <c r="B328" s="9">
        <v>1</v>
      </c>
      <c r="C328" s="10">
        <f>MAX(0,MIN(INT(($D$10+SUM($N$33:N327)+SUM($P$33:P327))/$D$5*B328)-D327,IF($D$11&gt;G327,INT(($D$11-G327)/$D$5),0)-D327))</f>
        <v>10000</v>
      </c>
      <c r="D328" s="10">
        <f t="shared" si="59"/>
        <v>1974500</v>
      </c>
      <c r="E328" s="10">
        <f t="shared" si="52"/>
        <v>2000</v>
      </c>
      <c r="F328" s="10">
        <f t="shared" si="60"/>
        <v>3949000000</v>
      </c>
      <c r="G328" s="10">
        <f t="shared" si="61"/>
        <v>431250000000</v>
      </c>
      <c r="H328" s="13">
        <f t="shared" si="62"/>
        <v>0</v>
      </c>
      <c r="I328" s="13">
        <f t="shared" si="53"/>
        <v>4312500000</v>
      </c>
      <c r="J328" s="13">
        <f t="shared" si="63"/>
        <v>567772732241.15686</v>
      </c>
      <c r="K328" s="13">
        <f t="shared" si="64"/>
        <v>1874376186.8476975</v>
      </c>
      <c r="L328" s="11">
        <f t="shared" si="54"/>
        <v>0.65828722578684851</v>
      </c>
      <c r="M328" s="16">
        <f t="shared" si="55"/>
        <v>0.01</v>
      </c>
      <c r="N328" s="10">
        <f t="shared" si="56"/>
        <v>20000000</v>
      </c>
      <c r="O328" s="18">
        <f t="shared" si="57"/>
        <v>862500000000</v>
      </c>
      <c r="P328">
        <v>0</v>
      </c>
      <c r="Q328">
        <f t="shared" si="58"/>
        <v>363500000</v>
      </c>
    </row>
    <row r="329" spans="1:17" x14ac:dyDescent="0.25">
      <c r="A329" s="8">
        <v>297</v>
      </c>
      <c r="B329" s="9">
        <v>1</v>
      </c>
      <c r="C329" s="10">
        <f>MAX(0,MIN(INT(($D$10+SUM($N$33:N328)+SUM($P$33:P328))/$D$5*B329)-D328,IF($D$11&gt;G328,INT(($D$11-G328)/$D$5),0)-D328))</f>
        <v>10000</v>
      </c>
      <c r="D329" s="10">
        <f t="shared" si="59"/>
        <v>1984500</v>
      </c>
      <c r="E329" s="10">
        <f t="shared" si="52"/>
        <v>2000</v>
      </c>
      <c r="F329" s="10">
        <f t="shared" si="60"/>
        <v>3969000000</v>
      </c>
      <c r="G329" s="10">
        <f t="shared" si="61"/>
        <v>435219000000</v>
      </c>
      <c r="H329" s="13">
        <f t="shared" si="62"/>
        <v>0</v>
      </c>
      <c r="I329" s="13">
        <f t="shared" si="53"/>
        <v>4352190000</v>
      </c>
      <c r="J329" s="13">
        <f t="shared" si="63"/>
        <v>573251118015.29407</v>
      </c>
      <c r="K329" s="13">
        <f t="shared" si="64"/>
        <v>1892575774.1371896</v>
      </c>
      <c r="L329" s="11">
        <f t="shared" si="54"/>
        <v>0.65857777120862604</v>
      </c>
      <c r="M329" s="16">
        <f t="shared" si="55"/>
        <v>0.01</v>
      </c>
      <c r="N329" s="10">
        <f t="shared" si="56"/>
        <v>20000000</v>
      </c>
      <c r="O329" s="18">
        <f t="shared" si="57"/>
        <v>870438000000</v>
      </c>
      <c r="P329">
        <v>0</v>
      </c>
      <c r="Q329">
        <f t="shared" si="58"/>
        <v>383190000</v>
      </c>
    </row>
    <row r="330" spans="1:17" x14ac:dyDescent="0.25">
      <c r="A330" s="8">
        <v>298</v>
      </c>
      <c r="B330" s="9">
        <v>1</v>
      </c>
      <c r="C330" s="10">
        <f>MAX(0,MIN(INT(($D$10+SUM($N$33:N329)+SUM($P$33:P329))/$D$5*B330)-D329,IF($D$11&gt;G329,INT(($D$11-G329)/$D$5),0)-D329))</f>
        <v>10000</v>
      </c>
      <c r="D330" s="10">
        <f t="shared" si="59"/>
        <v>1994500</v>
      </c>
      <c r="E330" s="10">
        <f t="shared" si="52"/>
        <v>2000</v>
      </c>
      <c r="F330" s="10">
        <f t="shared" si="60"/>
        <v>3989000000</v>
      </c>
      <c r="G330" s="10">
        <f t="shared" si="61"/>
        <v>439208000000</v>
      </c>
      <c r="H330" s="13">
        <f t="shared" si="62"/>
        <v>0</v>
      </c>
      <c r="I330" s="13">
        <f t="shared" si="53"/>
        <v>4392080000</v>
      </c>
      <c r="J330" s="13">
        <f t="shared" si="63"/>
        <v>578747875075.34509</v>
      </c>
      <c r="K330" s="13">
        <f t="shared" si="64"/>
        <v>1910837060.0509803</v>
      </c>
      <c r="L330" s="11">
        <f t="shared" si="54"/>
        <v>0.65885397701697723</v>
      </c>
      <c r="M330" s="16">
        <f t="shared" si="55"/>
        <v>0.01</v>
      </c>
      <c r="N330" s="10">
        <f t="shared" si="56"/>
        <v>20000000</v>
      </c>
      <c r="O330" s="18">
        <f t="shared" si="57"/>
        <v>878416000000</v>
      </c>
      <c r="P330">
        <v>0</v>
      </c>
      <c r="Q330">
        <f t="shared" si="58"/>
        <v>403080000</v>
      </c>
    </row>
    <row r="331" spans="1:17" x14ac:dyDescent="0.25">
      <c r="A331" s="8">
        <v>299</v>
      </c>
      <c r="B331" s="9">
        <v>1</v>
      </c>
      <c r="C331" s="10">
        <f>MAX(0,MIN(INT(($D$10+SUM($N$33:N330)+SUM($P$33:P330))/$D$5*B331)-D330,IF($D$11&gt;G330,INT(($D$11-G330)/$D$5),0)-D330))</f>
        <v>10000</v>
      </c>
      <c r="D331" s="10">
        <f t="shared" si="59"/>
        <v>2004500</v>
      </c>
      <c r="E331" s="10">
        <f t="shared" si="52"/>
        <v>2000</v>
      </c>
      <c r="F331" s="10">
        <f t="shared" si="60"/>
        <v>4009000000</v>
      </c>
      <c r="G331" s="10">
        <f t="shared" si="61"/>
        <v>443217000000</v>
      </c>
      <c r="H331" s="13">
        <f t="shared" si="62"/>
        <v>0</v>
      </c>
      <c r="I331" s="13">
        <f t="shared" si="53"/>
        <v>4432170000</v>
      </c>
      <c r="J331" s="13">
        <f t="shared" si="63"/>
        <v>584262864658.92957</v>
      </c>
      <c r="K331" s="13">
        <f t="shared" si="64"/>
        <v>1929159583.5844839</v>
      </c>
      <c r="L331" s="11">
        <f t="shared" si="54"/>
        <v>0.6591160364549753</v>
      </c>
      <c r="M331" s="16">
        <f t="shared" si="55"/>
        <v>0.01</v>
      </c>
      <c r="N331" s="10">
        <f t="shared" si="56"/>
        <v>20000000</v>
      </c>
      <c r="O331" s="18">
        <f t="shared" si="57"/>
        <v>886434000000</v>
      </c>
      <c r="P331">
        <v>0</v>
      </c>
      <c r="Q331">
        <f t="shared" si="58"/>
        <v>423170000</v>
      </c>
    </row>
    <row r="332" spans="1:17" x14ac:dyDescent="0.25">
      <c r="A332" s="8">
        <v>300</v>
      </c>
      <c r="B332" s="9">
        <v>1</v>
      </c>
      <c r="C332" s="10">
        <f>MAX(0,MIN(INT(($D$10+SUM($N$33:N331)+SUM($P$33:P331))/$D$5*B332)-D331,IF($D$11&gt;G331,INT(($D$11-G331)/$D$5),0)-D331))</f>
        <v>10000</v>
      </c>
      <c r="D332" s="10">
        <f t="shared" si="59"/>
        <v>2014500</v>
      </c>
      <c r="E332" s="10">
        <f t="shared" si="52"/>
        <v>2000</v>
      </c>
      <c r="F332" s="10">
        <f t="shared" si="60"/>
        <v>4029000000</v>
      </c>
      <c r="G332" s="10">
        <f t="shared" si="61"/>
        <v>447246000000</v>
      </c>
      <c r="H332" s="13">
        <f t="shared" si="62"/>
        <v>0</v>
      </c>
      <c r="I332" s="13">
        <f t="shared" si="53"/>
        <v>4472460000</v>
      </c>
      <c r="J332" s="13">
        <f t="shared" si="63"/>
        <v>589795947541.12598</v>
      </c>
      <c r="K332" s="13">
        <f t="shared" si="64"/>
        <v>1947542882.1964321</v>
      </c>
      <c r="L332" s="11">
        <f t="shared" si="54"/>
        <v>0.6593641391327435</v>
      </c>
      <c r="M332" s="16">
        <f t="shared" si="55"/>
        <v>0.01</v>
      </c>
      <c r="N332" s="10">
        <f t="shared" si="56"/>
        <v>20000000</v>
      </c>
      <c r="O332" s="18">
        <f t="shared" si="57"/>
        <v>894492000000</v>
      </c>
      <c r="P332">
        <v>0</v>
      </c>
      <c r="Q332">
        <f t="shared" si="58"/>
        <v>443460000</v>
      </c>
    </row>
  </sheetData>
  <mergeCells count="9">
    <mergeCell ref="A2:M2"/>
    <mergeCell ref="A10:C10"/>
    <mergeCell ref="F4:G4"/>
    <mergeCell ref="A11:C11"/>
    <mergeCell ref="A5:C5"/>
    <mergeCell ref="A8:C8"/>
    <mergeCell ref="A6:C6"/>
    <mergeCell ref="A9:C9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/>
  </sheetViews>
  <sheetFormatPr defaultRowHeight="15" x14ac:dyDescent="0.25"/>
  <cols>
    <col min="1" max="1" width="28" customWidth="1"/>
    <col min="2" max="3" width="18" customWidth="1"/>
    <col min="4" max="8" width="16" customWidth="1"/>
  </cols>
  <sheetData>
    <row r="1" spans="1:8" ht="18.75" x14ac:dyDescent="0.3">
      <c r="A1" s="109" t="s">
        <v>54</v>
      </c>
      <c r="B1" s="102"/>
      <c r="C1" s="102"/>
      <c r="D1" s="102"/>
      <c r="E1" s="102"/>
      <c r="F1" s="102"/>
      <c r="G1" s="102"/>
      <c r="H1" s="102"/>
    </row>
    <row r="2" spans="1:8" x14ac:dyDescent="0.25">
      <c r="A2" s="108" t="s">
        <v>55</v>
      </c>
      <c r="B2" s="102"/>
      <c r="C2" s="102"/>
      <c r="D2" s="102"/>
      <c r="E2" s="102"/>
      <c r="F2" s="102"/>
      <c r="G2" s="102"/>
      <c r="H2" s="102"/>
    </row>
    <row r="4" spans="1:8" x14ac:dyDescent="0.25">
      <c r="A4" s="21" t="s">
        <v>56</v>
      </c>
    </row>
    <row r="5" spans="1:8" x14ac:dyDescent="0.25">
      <c r="A5" s="22" t="s">
        <v>57</v>
      </c>
      <c r="B5" s="22" t="s">
        <v>58</v>
      </c>
    </row>
    <row r="6" spans="1:8" x14ac:dyDescent="0.25">
      <c r="A6" s="23" t="s">
        <v>59</v>
      </c>
      <c r="B6" s="10">
        <v>301</v>
      </c>
    </row>
    <row r="7" spans="1:8" x14ac:dyDescent="0.25">
      <c r="A7" s="23" t="s">
        <v>60</v>
      </c>
      <c r="B7" s="24">
        <v>451295000000</v>
      </c>
    </row>
    <row r="8" spans="1:8" x14ac:dyDescent="0.25">
      <c r="A8" s="23" t="s">
        <v>61</v>
      </c>
      <c r="B8" s="24">
        <v>144962454916.51801</v>
      </c>
    </row>
    <row r="9" spans="1:8" x14ac:dyDescent="0.25">
      <c r="A9" s="23" t="s">
        <v>62</v>
      </c>
      <c r="B9" s="25">
        <v>0.16060720251334279</v>
      </c>
    </row>
    <row r="10" spans="1:8" x14ac:dyDescent="0.25">
      <c r="A10" s="23" t="s">
        <v>63</v>
      </c>
      <c r="B10" s="24">
        <v>483208183.05506009</v>
      </c>
    </row>
    <row r="12" spans="1:8" x14ac:dyDescent="0.25">
      <c r="A12" s="21" t="s">
        <v>64</v>
      </c>
    </row>
    <row r="13" spans="1:8" ht="26.25" x14ac:dyDescent="0.25">
      <c r="A13" s="22" t="s">
        <v>65</v>
      </c>
      <c r="B13" s="22" t="s">
        <v>66</v>
      </c>
      <c r="C13" s="22" t="s">
        <v>67</v>
      </c>
      <c r="D13" s="22" t="s">
        <v>68</v>
      </c>
      <c r="E13" s="22" t="s">
        <v>69</v>
      </c>
      <c r="F13" s="22" t="s">
        <v>70</v>
      </c>
      <c r="G13" s="22" t="s">
        <v>71</v>
      </c>
      <c r="H13" s="22" t="s">
        <v>72</v>
      </c>
    </row>
    <row r="14" spans="1:8" x14ac:dyDescent="0.25">
      <c r="A14" s="26" t="s">
        <v>73</v>
      </c>
      <c r="B14" s="27">
        <v>0.9063462346100909</v>
      </c>
      <c r="C14" s="26" t="s">
        <v>74</v>
      </c>
      <c r="D14" s="26" t="s">
        <v>75</v>
      </c>
      <c r="E14" s="28">
        <v>818051771933.85413</v>
      </c>
      <c r="F14" s="27">
        <v>0.90633817340526057</v>
      </c>
      <c r="G14" s="26" t="s">
        <v>76</v>
      </c>
      <c r="H14" s="29">
        <v>15043166666.66667</v>
      </c>
    </row>
    <row r="15" spans="1:8" x14ac:dyDescent="0.25">
      <c r="A15" s="30" t="s">
        <v>77</v>
      </c>
      <c r="B15" s="31">
        <v>0.87220092337240895</v>
      </c>
      <c r="C15" s="30" t="s">
        <v>78</v>
      </c>
      <c r="D15" s="30" t="s">
        <v>79</v>
      </c>
      <c r="E15" s="32">
        <v>786027787109.19678</v>
      </c>
      <c r="F15" s="31">
        <v>0.87085807189221776</v>
      </c>
      <c r="G15" s="30" t="s">
        <v>80</v>
      </c>
      <c r="H15" s="33">
        <v>10745119047.619049</v>
      </c>
    </row>
    <row r="16" spans="1:8" x14ac:dyDescent="0.25">
      <c r="A16" s="34" t="s">
        <v>81</v>
      </c>
      <c r="B16" s="35">
        <v>0.82419988491090168</v>
      </c>
      <c r="C16" s="34" t="s">
        <v>82</v>
      </c>
      <c r="D16" s="34" t="s">
        <v>83</v>
      </c>
      <c r="E16" s="36">
        <v>742794713738.89954</v>
      </c>
      <c r="F16" s="35">
        <v>0.82295916610963948</v>
      </c>
      <c r="G16" s="34" t="s">
        <v>84</v>
      </c>
      <c r="H16" s="37">
        <v>7521583333.333333</v>
      </c>
    </row>
    <row r="17" spans="1:8" x14ac:dyDescent="0.25">
      <c r="A17" s="38" t="s">
        <v>85</v>
      </c>
      <c r="B17" s="39">
        <v>0.79420126707053984</v>
      </c>
      <c r="C17" s="38" t="s">
        <v>86</v>
      </c>
      <c r="D17" s="38" t="s">
        <v>87</v>
      </c>
      <c r="E17" s="40">
        <v>716095846454.99915</v>
      </c>
      <c r="F17" s="39">
        <v>0.79337888349638164</v>
      </c>
      <c r="G17" s="38" t="s">
        <v>88</v>
      </c>
      <c r="H17" s="41">
        <v>6267986111.1111107</v>
      </c>
    </row>
    <row r="18" spans="1:8" x14ac:dyDescent="0.25">
      <c r="A18" s="42" t="s">
        <v>89</v>
      </c>
      <c r="B18" s="43">
        <v>0.75198060650995591</v>
      </c>
      <c r="C18" s="42" t="s">
        <v>90</v>
      </c>
      <c r="D18" s="42" t="s">
        <v>91</v>
      </c>
      <c r="E18" s="44">
        <v>678964864508.79858</v>
      </c>
      <c r="F18" s="43">
        <v>0.75224062365946731</v>
      </c>
      <c r="G18" s="42" t="s">
        <v>92</v>
      </c>
      <c r="H18" s="45">
        <v>5014388888.8888893</v>
      </c>
    </row>
    <row r="20" spans="1:8" x14ac:dyDescent="0.25">
      <c r="A20" s="23" t="s">
        <v>93</v>
      </c>
    </row>
    <row r="21" spans="1:8" x14ac:dyDescent="0.25">
      <c r="A21" s="46" t="s">
        <v>94</v>
      </c>
    </row>
    <row r="22" spans="1:8" x14ac:dyDescent="0.25">
      <c r="A22" s="46" t="s">
        <v>95</v>
      </c>
    </row>
    <row r="23" spans="1:8" x14ac:dyDescent="0.25">
      <c r="A23" s="46" t="s">
        <v>96</v>
      </c>
    </row>
    <row r="24" spans="1:8" x14ac:dyDescent="0.25">
      <c r="A24" s="46" t="s">
        <v>97</v>
      </c>
    </row>
    <row r="25" spans="1:8" x14ac:dyDescent="0.25">
      <c r="A25" s="46" t="s">
        <v>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16" customWidth="1"/>
    <col min="11" max="11" width="14" customWidth="1"/>
    <col min="12" max="12" width="16" customWidth="1"/>
    <col min="13" max="13" width="14" customWidth="1"/>
  </cols>
  <sheetData>
    <row r="1" spans="1:13" ht="17.25" x14ac:dyDescent="0.3">
      <c r="A1" s="111" t="s">
        <v>99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 x14ac:dyDescent="0.25">
      <c r="A2" s="110" t="s">
        <v>100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26.25" x14ac:dyDescent="0.25">
      <c r="A3" s="22" t="s">
        <v>101</v>
      </c>
      <c r="B3" s="22" t="s">
        <v>102</v>
      </c>
      <c r="C3" s="22" t="s">
        <v>103</v>
      </c>
      <c r="D3" s="47" t="s">
        <v>104</v>
      </c>
      <c r="E3" s="47" t="s">
        <v>105</v>
      </c>
      <c r="F3" s="47" t="s">
        <v>106</v>
      </c>
      <c r="G3" s="47" t="s">
        <v>105</v>
      </c>
      <c r="H3" s="47" t="s">
        <v>107</v>
      </c>
      <c r="I3" s="47" t="s">
        <v>105</v>
      </c>
      <c r="J3" s="47" t="s">
        <v>108</v>
      </c>
      <c r="K3" s="47" t="s">
        <v>105</v>
      </c>
      <c r="L3" s="47" t="s">
        <v>109</v>
      </c>
      <c r="M3" s="47" t="s">
        <v>105</v>
      </c>
    </row>
    <row r="4" spans="1:13" x14ac:dyDescent="0.25">
      <c r="A4">
        <v>0</v>
      </c>
      <c r="B4" s="24">
        <v>144962454916.51801</v>
      </c>
      <c r="C4" s="24">
        <v>451295000000</v>
      </c>
      <c r="D4" s="25">
        <v>0.16060720251334279</v>
      </c>
      <c r="E4" t="s">
        <v>110</v>
      </c>
      <c r="F4" s="25">
        <v>0.16060720251334279</v>
      </c>
      <c r="G4" t="s">
        <v>110</v>
      </c>
      <c r="H4" s="25">
        <v>0.16060720251334279</v>
      </c>
      <c r="I4" t="s">
        <v>110</v>
      </c>
      <c r="J4" s="25">
        <v>0.16060720251334279</v>
      </c>
      <c r="K4" t="s">
        <v>110</v>
      </c>
      <c r="L4" s="25">
        <v>0.16060720251334279</v>
      </c>
      <c r="M4" t="s">
        <v>110</v>
      </c>
    </row>
    <row r="5" spans="1:13" x14ac:dyDescent="0.25">
      <c r="A5" s="8">
        <v>1</v>
      </c>
      <c r="B5" s="24">
        <v>145445663099.57309</v>
      </c>
      <c r="C5" s="24">
        <v>451295000000</v>
      </c>
      <c r="D5" s="25">
        <v>0.16114255985505391</v>
      </c>
      <c r="E5" t="s">
        <v>111</v>
      </c>
      <c r="F5" s="25">
        <v>0.16114255985505391</v>
      </c>
      <c r="G5" t="s">
        <v>111</v>
      </c>
      <c r="H5" s="25">
        <v>0.16114255985505391</v>
      </c>
      <c r="I5" t="s">
        <v>111</v>
      </c>
      <c r="J5" s="25">
        <v>0.16114255985505391</v>
      </c>
      <c r="K5" t="s">
        <v>111</v>
      </c>
      <c r="L5" s="25">
        <v>0.16114255985505391</v>
      </c>
      <c r="M5" t="s">
        <v>111</v>
      </c>
    </row>
    <row r="6" spans="1:13" x14ac:dyDescent="0.25">
      <c r="A6" s="48">
        <v>2</v>
      </c>
      <c r="B6" s="49">
        <v>145930481976.57169</v>
      </c>
      <c r="C6" s="49">
        <v>451295000000</v>
      </c>
      <c r="D6" s="50">
        <v>0.1616797017212375</v>
      </c>
      <c r="E6" s="51" t="s">
        <v>111</v>
      </c>
      <c r="F6" s="50">
        <v>0.1616797017212375</v>
      </c>
      <c r="G6" s="51" t="s">
        <v>111</v>
      </c>
      <c r="H6" s="50">
        <v>0.1616797017212375</v>
      </c>
      <c r="I6" s="51" t="s">
        <v>111</v>
      </c>
      <c r="J6" s="50">
        <v>0.1616797017212375</v>
      </c>
      <c r="K6" s="51" t="s">
        <v>111</v>
      </c>
      <c r="L6" s="50">
        <v>0.1616797017212375</v>
      </c>
      <c r="M6" s="51" t="s">
        <v>111</v>
      </c>
    </row>
    <row r="7" spans="1:13" x14ac:dyDescent="0.25">
      <c r="A7" s="8">
        <v>3</v>
      </c>
      <c r="B7" s="24">
        <v>146416916916.49359</v>
      </c>
      <c r="C7" s="24">
        <v>451295000000</v>
      </c>
      <c r="D7" s="25">
        <v>0.1622186340603082</v>
      </c>
      <c r="E7" t="s">
        <v>111</v>
      </c>
      <c r="F7" s="25">
        <v>0.1622186340603082</v>
      </c>
      <c r="G7" t="s">
        <v>111</v>
      </c>
      <c r="H7" s="25">
        <v>0.1622186340603082</v>
      </c>
      <c r="I7" t="s">
        <v>111</v>
      </c>
      <c r="J7" s="25">
        <v>0.1622186340603082</v>
      </c>
      <c r="K7" t="s">
        <v>111</v>
      </c>
      <c r="L7" s="25">
        <v>0.1622186340603082</v>
      </c>
      <c r="M7" t="s">
        <v>111</v>
      </c>
    </row>
    <row r="8" spans="1:13" x14ac:dyDescent="0.25">
      <c r="A8" s="48">
        <v>4</v>
      </c>
      <c r="B8" s="49">
        <v>146904973306.2153</v>
      </c>
      <c r="C8" s="49">
        <v>451295000000</v>
      </c>
      <c r="D8" s="50">
        <v>0.16275936284050929</v>
      </c>
      <c r="E8" s="51" t="s">
        <v>111</v>
      </c>
      <c r="F8" s="50">
        <v>0.16275936284050929</v>
      </c>
      <c r="G8" s="51" t="s">
        <v>111</v>
      </c>
      <c r="H8" s="50">
        <v>0.16275936284050929</v>
      </c>
      <c r="I8" s="51" t="s">
        <v>111</v>
      </c>
      <c r="J8" s="50">
        <v>0.16275936284050929</v>
      </c>
      <c r="K8" s="51" t="s">
        <v>111</v>
      </c>
      <c r="L8" s="50">
        <v>0.16275936284050929</v>
      </c>
      <c r="M8" s="51" t="s">
        <v>111</v>
      </c>
    </row>
    <row r="9" spans="1:13" x14ac:dyDescent="0.25">
      <c r="A9" s="8">
        <v>5</v>
      </c>
      <c r="B9" s="24">
        <v>147394656550.56931</v>
      </c>
      <c r="C9" s="24">
        <v>451295000000</v>
      </c>
      <c r="D9" s="25">
        <v>0.16330189404997769</v>
      </c>
      <c r="E9" t="s">
        <v>111</v>
      </c>
      <c r="F9" s="25">
        <v>0.16330189404997769</v>
      </c>
      <c r="G9" t="s">
        <v>111</v>
      </c>
      <c r="H9" s="25">
        <v>0.16330189404997769</v>
      </c>
      <c r="I9" t="s">
        <v>111</v>
      </c>
      <c r="J9" s="25">
        <v>0.16330189404997769</v>
      </c>
      <c r="K9" t="s">
        <v>111</v>
      </c>
      <c r="L9" s="25">
        <v>0.16330189404997769</v>
      </c>
      <c r="M9" t="s">
        <v>111</v>
      </c>
    </row>
    <row r="10" spans="1:13" x14ac:dyDescent="0.25">
      <c r="A10" s="48">
        <v>6</v>
      </c>
      <c r="B10" s="49">
        <v>147885972072.4046</v>
      </c>
      <c r="C10" s="49">
        <v>451295000000</v>
      </c>
      <c r="D10" s="50">
        <v>0.16384623369681101</v>
      </c>
      <c r="E10" s="51" t="s">
        <v>111</v>
      </c>
      <c r="F10" s="50">
        <v>0.16384623369681101</v>
      </c>
      <c r="G10" s="51" t="s">
        <v>111</v>
      </c>
      <c r="H10" s="50">
        <v>0.16384623369681101</v>
      </c>
      <c r="I10" s="51" t="s">
        <v>111</v>
      </c>
      <c r="J10" s="50">
        <v>0.16384623369681101</v>
      </c>
      <c r="K10" s="51" t="s">
        <v>111</v>
      </c>
      <c r="L10" s="50">
        <v>0.16384623369681101</v>
      </c>
      <c r="M10" s="51" t="s">
        <v>111</v>
      </c>
    </row>
    <row r="11" spans="1:13" x14ac:dyDescent="0.25">
      <c r="A11" s="8">
        <v>7</v>
      </c>
      <c r="B11" s="24">
        <v>148378925312.6459</v>
      </c>
      <c r="C11" s="24">
        <v>451295000000</v>
      </c>
      <c r="D11" s="25">
        <v>0.16439238780913359</v>
      </c>
      <c r="E11" t="s">
        <v>111</v>
      </c>
      <c r="F11" s="25">
        <v>0.16439238780913359</v>
      </c>
      <c r="G11" t="s">
        <v>111</v>
      </c>
      <c r="H11" s="25">
        <v>0.16439238780913359</v>
      </c>
      <c r="I11" t="s">
        <v>111</v>
      </c>
      <c r="J11" s="25">
        <v>0.16439238780913359</v>
      </c>
      <c r="K11" t="s">
        <v>111</v>
      </c>
      <c r="L11" s="25">
        <v>0.16439238780913359</v>
      </c>
      <c r="M11" t="s">
        <v>111</v>
      </c>
    </row>
    <row r="12" spans="1:13" x14ac:dyDescent="0.25">
      <c r="A12" s="48">
        <v>8</v>
      </c>
      <c r="B12" s="49">
        <v>148873521730.3548</v>
      </c>
      <c r="C12" s="49">
        <v>451295000000</v>
      </c>
      <c r="D12" s="50">
        <v>0.16494036243516411</v>
      </c>
      <c r="E12" s="51" t="s">
        <v>111</v>
      </c>
      <c r="F12" s="50">
        <v>0.16494036243516411</v>
      </c>
      <c r="G12" s="51" t="s">
        <v>111</v>
      </c>
      <c r="H12" s="50">
        <v>0.16494036243516411</v>
      </c>
      <c r="I12" s="51" t="s">
        <v>111</v>
      </c>
      <c r="J12" s="50">
        <v>0.16494036243516411</v>
      </c>
      <c r="K12" s="51" t="s">
        <v>111</v>
      </c>
      <c r="L12" s="50">
        <v>0.16494036243516411</v>
      </c>
      <c r="M12" s="51" t="s">
        <v>111</v>
      </c>
    </row>
    <row r="13" spans="1:13" x14ac:dyDescent="0.25">
      <c r="A13" s="8">
        <v>9</v>
      </c>
      <c r="B13" s="24">
        <v>149369766802.78931</v>
      </c>
      <c r="C13" s="24">
        <v>451295000000</v>
      </c>
      <c r="D13" s="25">
        <v>0.16549016364328131</v>
      </c>
      <c r="E13" t="s">
        <v>111</v>
      </c>
      <c r="F13" s="25">
        <v>0.16549016364328131</v>
      </c>
      <c r="G13" t="s">
        <v>111</v>
      </c>
      <c r="H13" s="25">
        <v>0.16549016364328131</v>
      </c>
      <c r="I13" t="s">
        <v>111</v>
      </c>
      <c r="J13" s="25">
        <v>0.16549016364328131</v>
      </c>
      <c r="K13" t="s">
        <v>111</v>
      </c>
      <c r="L13" s="25">
        <v>0.16549016364328131</v>
      </c>
      <c r="M13" t="s">
        <v>111</v>
      </c>
    </row>
    <row r="14" spans="1:13" x14ac:dyDescent="0.25">
      <c r="A14" s="48">
        <v>10</v>
      </c>
      <c r="B14" s="49">
        <v>149867666025.4653</v>
      </c>
      <c r="C14" s="49">
        <v>451295000000</v>
      </c>
      <c r="D14" s="50">
        <v>0.1660417975220923</v>
      </c>
      <c r="E14" s="51" t="s">
        <v>111</v>
      </c>
      <c r="F14" s="50">
        <v>0.1660417975220923</v>
      </c>
      <c r="G14" s="51" t="s">
        <v>111</v>
      </c>
      <c r="H14" s="50">
        <v>0.1660417975220923</v>
      </c>
      <c r="I14" s="51" t="s">
        <v>111</v>
      </c>
      <c r="J14" s="50">
        <v>0.1660417975220923</v>
      </c>
      <c r="K14" s="51" t="s">
        <v>111</v>
      </c>
      <c r="L14" s="50">
        <v>0.1660417975220923</v>
      </c>
      <c r="M14" s="51" t="s">
        <v>111</v>
      </c>
    </row>
    <row r="15" spans="1:13" x14ac:dyDescent="0.25">
      <c r="A15" s="8">
        <v>11</v>
      </c>
      <c r="B15" s="24">
        <v>150367224912.21689</v>
      </c>
      <c r="C15" s="24">
        <v>451295000000</v>
      </c>
      <c r="D15" s="25">
        <v>0.1665952701804993</v>
      </c>
      <c r="E15" t="s">
        <v>111</v>
      </c>
      <c r="F15" s="25">
        <v>0.1665952701804993</v>
      </c>
      <c r="G15" t="s">
        <v>111</v>
      </c>
      <c r="H15" s="25">
        <v>0.1665952701804993</v>
      </c>
      <c r="I15" t="s">
        <v>111</v>
      </c>
      <c r="J15" s="25">
        <v>0.1665952701804993</v>
      </c>
      <c r="K15" t="s">
        <v>111</v>
      </c>
      <c r="L15" s="25">
        <v>0.1665952701804993</v>
      </c>
      <c r="M15" t="s">
        <v>111</v>
      </c>
    </row>
    <row r="16" spans="1:13" x14ac:dyDescent="0.25">
      <c r="A16" s="48">
        <v>12</v>
      </c>
      <c r="B16" s="49">
        <v>150868448995.2576</v>
      </c>
      <c r="C16" s="49">
        <v>451295000000</v>
      </c>
      <c r="D16" s="50">
        <v>0.16715058774776759</v>
      </c>
      <c r="E16" s="51" t="s">
        <v>111</v>
      </c>
      <c r="F16" s="50">
        <v>0.16715058774776759</v>
      </c>
      <c r="G16" s="51" t="s">
        <v>111</v>
      </c>
      <c r="H16" s="50">
        <v>0.16715058774776759</v>
      </c>
      <c r="I16" s="51" t="s">
        <v>111</v>
      </c>
      <c r="J16" s="50">
        <v>0.16715058774776759</v>
      </c>
      <c r="K16" s="51" t="s">
        <v>111</v>
      </c>
      <c r="L16" s="50">
        <v>0.16715058774776759</v>
      </c>
      <c r="M16" s="51" t="s">
        <v>111</v>
      </c>
    </row>
    <row r="17" spans="1:13" x14ac:dyDescent="0.25">
      <c r="A17" s="8">
        <v>13</v>
      </c>
      <c r="B17" s="24">
        <v>151371343825.24179</v>
      </c>
      <c r="C17" s="24">
        <v>451295000000</v>
      </c>
      <c r="D17" s="25">
        <v>0.1677077563735935</v>
      </c>
      <c r="E17" t="s">
        <v>111</v>
      </c>
      <c r="F17" s="25">
        <v>0.1677077563735935</v>
      </c>
      <c r="G17" t="s">
        <v>111</v>
      </c>
      <c r="H17" s="25">
        <v>0.1677077563735935</v>
      </c>
      <c r="I17" t="s">
        <v>111</v>
      </c>
      <c r="J17" s="25">
        <v>0.1677077563735935</v>
      </c>
      <c r="K17" t="s">
        <v>111</v>
      </c>
      <c r="L17" s="25">
        <v>0.1677077563735935</v>
      </c>
      <c r="M17" t="s">
        <v>111</v>
      </c>
    </row>
    <row r="18" spans="1:13" x14ac:dyDescent="0.25">
      <c r="A18" s="48">
        <v>14</v>
      </c>
      <c r="B18" s="49">
        <v>151875914971.3259</v>
      </c>
      <c r="C18" s="49">
        <v>451295000000</v>
      </c>
      <c r="D18" s="50">
        <v>0.16826678222817221</v>
      </c>
      <c r="E18" s="51" t="s">
        <v>111</v>
      </c>
      <c r="F18" s="50">
        <v>0.16826678222817221</v>
      </c>
      <c r="G18" s="51" t="s">
        <v>111</v>
      </c>
      <c r="H18" s="50">
        <v>0.16826678222817221</v>
      </c>
      <c r="I18" s="51" t="s">
        <v>111</v>
      </c>
      <c r="J18" s="50">
        <v>0.16826678222817221</v>
      </c>
      <c r="K18" s="51" t="s">
        <v>111</v>
      </c>
      <c r="L18" s="50">
        <v>0.16826678222817221</v>
      </c>
      <c r="M18" s="51" t="s">
        <v>111</v>
      </c>
    </row>
    <row r="19" spans="1:13" x14ac:dyDescent="0.25">
      <c r="A19" s="8">
        <v>15</v>
      </c>
      <c r="B19" s="24">
        <v>152382168021.23029</v>
      </c>
      <c r="C19" s="24">
        <v>451295000000</v>
      </c>
      <c r="D19" s="25">
        <v>0.1688276715022661</v>
      </c>
      <c r="E19" t="s">
        <v>111</v>
      </c>
      <c r="F19" s="25">
        <v>0.1688276715022661</v>
      </c>
      <c r="G19" t="s">
        <v>111</v>
      </c>
      <c r="H19" s="25">
        <v>0.1688276715022661</v>
      </c>
      <c r="I19" t="s">
        <v>111</v>
      </c>
      <c r="J19" s="25">
        <v>0.1688276715022661</v>
      </c>
      <c r="K19" t="s">
        <v>111</v>
      </c>
      <c r="L19" s="25">
        <v>0.1688276715022661</v>
      </c>
      <c r="M19" t="s">
        <v>111</v>
      </c>
    </row>
    <row r="20" spans="1:13" x14ac:dyDescent="0.25">
      <c r="A20" s="48">
        <v>16</v>
      </c>
      <c r="B20" s="49">
        <v>152890108581.30109</v>
      </c>
      <c r="C20" s="49">
        <v>451295000000</v>
      </c>
      <c r="D20" s="50">
        <v>0.16939043040727361</v>
      </c>
      <c r="E20" s="51" t="s">
        <v>111</v>
      </c>
      <c r="F20" s="50">
        <v>0.16939043040727361</v>
      </c>
      <c r="G20" s="51" t="s">
        <v>111</v>
      </c>
      <c r="H20" s="50">
        <v>0.16939043040727361</v>
      </c>
      <c r="I20" s="51" t="s">
        <v>111</v>
      </c>
      <c r="J20" s="50">
        <v>0.16939043040727361</v>
      </c>
      <c r="K20" s="51" t="s">
        <v>111</v>
      </c>
      <c r="L20" s="50">
        <v>0.16939043040727361</v>
      </c>
      <c r="M20" s="51" t="s">
        <v>111</v>
      </c>
    </row>
    <row r="21" spans="1:13" x14ac:dyDescent="0.25">
      <c r="A21" s="8">
        <v>17</v>
      </c>
      <c r="B21" s="24">
        <v>153399742276.5722</v>
      </c>
      <c r="C21" s="24">
        <v>451295000000</v>
      </c>
      <c r="D21" s="25">
        <v>0.16995506517529799</v>
      </c>
      <c r="E21" t="s">
        <v>111</v>
      </c>
      <c r="F21" s="25">
        <v>0.16995506517529799</v>
      </c>
      <c r="G21" t="s">
        <v>111</v>
      </c>
      <c r="H21" s="25">
        <v>0.16995506517529799</v>
      </c>
      <c r="I21" t="s">
        <v>111</v>
      </c>
      <c r="J21" s="25">
        <v>0.16995506517529799</v>
      </c>
      <c r="K21" t="s">
        <v>111</v>
      </c>
      <c r="L21" s="25">
        <v>0.16995506517529799</v>
      </c>
      <c r="M21" t="s">
        <v>111</v>
      </c>
    </row>
    <row r="22" spans="1:13" x14ac:dyDescent="0.25">
      <c r="A22" s="48">
        <v>18</v>
      </c>
      <c r="B22" s="49">
        <v>153911074750.82739</v>
      </c>
      <c r="C22" s="49">
        <v>451295000000</v>
      </c>
      <c r="D22" s="50">
        <v>0.17052158205921561</v>
      </c>
      <c r="E22" s="51" t="s">
        <v>111</v>
      </c>
      <c r="F22" s="50">
        <v>0.17052158205921561</v>
      </c>
      <c r="G22" s="51" t="s">
        <v>111</v>
      </c>
      <c r="H22" s="50">
        <v>0.17052158205921561</v>
      </c>
      <c r="I22" s="51" t="s">
        <v>111</v>
      </c>
      <c r="J22" s="50">
        <v>0.17052158205921561</v>
      </c>
      <c r="K22" s="51" t="s">
        <v>111</v>
      </c>
      <c r="L22" s="50">
        <v>0.17052158205921561</v>
      </c>
      <c r="M22" s="51" t="s">
        <v>111</v>
      </c>
    </row>
    <row r="23" spans="1:13" x14ac:dyDescent="0.25">
      <c r="A23" s="8">
        <v>19</v>
      </c>
      <c r="B23" s="24">
        <v>154424111666.66351</v>
      </c>
      <c r="C23" s="24">
        <v>451295000000</v>
      </c>
      <c r="D23" s="25">
        <v>0.1710899873327463</v>
      </c>
      <c r="E23" t="s">
        <v>111</v>
      </c>
      <c r="F23" s="25">
        <v>0.1710899873327463</v>
      </c>
      <c r="G23" t="s">
        <v>111</v>
      </c>
      <c r="H23" s="25">
        <v>0.1710899873327463</v>
      </c>
      <c r="I23" t="s">
        <v>111</v>
      </c>
      <c r="J23" s="25">
        <v>0.1710899873327463</v>
      </c>
      <c r="K23" t="s">
        <v>111</v>
      </c>
      <c r="L23" s="25">
        <v>0.1710899873327463</v>
      </c>
      <c r="M23" t="s">
        <v>111</v>
      </c>
    </row>
    <row r="24" spans="1:13" x14ac:dyDescent="0.25">
      <c r="A24" s="48">
        <v>20</v>
      </c>
      <c r="B24" s="49">
        <v>154938858705.5524</v>
      </c>
      <c r="C24" s="49">
        <v>451295000000</v>
      </c>
      <c r="D24" s="50">
        <v>0.1716602872905221</v>
      </c>
      <c r="E24" s="51" t="s">
        <v>111</v>
      </c>
      <c r="F24" s="50">
        <v>0.1716602872905221</v>
      </c>
      <c r="G24" s="51" t="s">
        <v>111</v>
      </c>
      <c r="H24" s="50">
        <v>0.1716602872905221</v>
      </c>
      <c r="I24" s="51" t="s">
        <v>111</v>
      </c>
      <c r="J24" s="50">
        <v>0.1716602872905221</v>
      </c>
      <c r="K24" s="51" t="s">
        <v>111</v>
      </c>
      <c r="L24" s="50">
        <v>0.1716602872905221</v>
      </c>
      <c r="M24" s="51" t="s">
        <v>111</v>
      </c>
    </row>
    <row r="25" spans="1:13" x14ac:dyDescent="0.25">
      <c r="A25" s="8">
        <v>21</v>
      </c>
      <c r="B25" s="24">
        <v>155455321567.90421</v>
      </c>
      <c r="C25" s="24">
        <v>451295000000</v>
      </c>
      <c r="D25" s="25">
        <v>0.17223248824815721</v>
      </c>
      <c r="E25" t="s">
        <v>111</v>
      </c>
      <c r="F25" s="25">
        <v>0.17223248824815721</v>
      </c>
      <c r="G25" t="s">
        <v>111</v>
      </c>
      <c r="H25" s="25">
        <v>0.17223248824815721</v>
      </c>
      <c r="I25" t="s">
        <v>111</v>
      </c>
      <c r="J25" s="25">
        <v>0.17223248824815721</v>
      </c>
      <c r="K25" t="s">
        <v>111</v>
      </c>
      <c r="L25" s="25">
        <v>0.17223248824815721</v>
      </c>
      <c r="M25" t="s">
        <v>111</v>
      </c>
    </row>
    <row r="26" spans="1:13" x14ac:dyDescent="0.25">
      <c r="A26" s="48">
        <v>22</v>
      </c>
      <c r="B26" s="49">
        <v>155973505973.13062</v>
      </c>
      <c r="C26" s="49">
        <v>451295000000</v>
      </c>
      <c r="D26" s="50">
        <v>0.17280659654231781</v>
      </c>
      <c r="E26" s="51" t="s">
        <v>111</v>
      </c>
      <c r="F26" s="50">
        <v>0.17280659654231781</v>
      </c>
      <c r="G26" s="51" t="s">
        <v>111</v>
      </c>
      <c r="H26" s="50">
        <v>0.17280659654231781</v>
      </c>
      <c r="I26" s="51" t="s">
        <v>111</v>
      </c>
      <c r="J26" s="50">
        <v>0.17280659654231781</v>
      </c>
      <c r="K26" s="51" t="s">
        <v>111</v>
      </c>
      <c r="L26" s="50">
        <v>0.17280659654231781</v>
      </c>
      <c r="M26" s="51" t="s">
        <v>111</v>
      </c>
    </row>
    <row r="27" spans="1:13" x14ac:dyDescent="0.25">
      <c r="A27" s="8">
        <v>23</v>
      </c>
      <c r="B27" s="24">
        <v>156493417659.7077</v>
      </c>
      <c r="C27" s="24">
        <v>451295000000</v>
      </c>
      <c r="D27" s="25">
        <v>0.1733826185307922</v>
      </c>
      <c r="E27" t="s">
        <v>111</v>
      </c>
      <c r="F27" s="25">
        <v>0.1733826185307922</v>
      </c>
      <c r="G27" t="s">
        <v>111</v>
      </c>
      <c r="H27" s="25">
        <v>0.1733826185307922</v>
      </c>
      <c r="I27" t="s">
        <v>111</v>
      </c>
      <c r="J27" s="25">
        <v>0.1733826185307922</v>
      </c>
      <c r="K27" t="s">
        <v>111</v>
      </c>
      <c r="L27" s="25">
        <v>0.1733826185307922</v>
      </c>
      <c r="M27" t="s">
        <v>111</v>
      </c>
    </row>
    <row r="28" spans="1:13" x14ac:dyDescent="0.25">
      <c r="A28" s="48">
        <v>24</v>
      </c>
      <c r="B28" s="49">
        <v>157015062385.24011</v>
      </c>
      <c r="C28" s="49">
        <v>451295000000</v>
      </c>
      <c r="D28" s="50">
        <v>0.17396056059256149</v>
      </c>
      <c r="E28" s="51" t="s">
        <v>111</v>
      </c>
      <c r="F28" s="50">
        <v>0.17396056059256149</v>
      </c>
      <c r="G28" s="51" t="s">
        <v>111</v>
      </c>
      <c r="H28" s="50">
        <v>0.17396056059256149</v>
      </c>
      <c r="I28" s="51" t="s">
        <v>111</v>
      </c>
      <c r="J28" s="50">
        <v>0.17396056059256149</v>
      </c>
      <c r="K28" s="51" t="s">
        <v>111</v>
      </c>
      <c r="L28" s="50">
        <v>0.17396056059256149</v>
      </c>
      <c r="M28" s="51" t="s">
        <v>111</v>
      </c>
    </row>
    <row r="29" spans="1:13" x14ac:dyDescent="0.25">
      <c r="A29" s="8">
        <v>25</v>
      </c>
      <c r="B29" s="24">
        <v>157538445926.5242</v>
      </c>
      <c r="C29" s="24">
        <v>451295000000</v>
      </c>
      <c r="D29" s="25">
        <v>0.17454042912786999</v>
      </c>
      <c r="E29" t="s">
        <v>111</v>
      </c>
      <c r="F29" s="25">
        <v>0.17454042912786999</v>
      </c>
      <c r="G29" t="s">
        <v>111</v>
      </c>
      <c r="H29" s="25">
        <v>0.17454042912786999</v>
      </c>
      <c r="I29" t="s">
        <v>111</v>
      </c>
      <c r="J29" s="25">
        <v>0.17454042912786999</v>
      </c>
      <c r="K29" t="s">
        <v>111</v>
      </c>
      <c r="L29" s="25">
        <v>0.17454042912786999</v>
      </c>
      <c r="M29" t="s">
        <v>111</v>
      </c>
    </row>
    <row r="30" spans="1:13" x14ac:dyDescent="0.25">
      <c r="A30" s="48">
        <v>26</v>
      </c>
      <c r="B30" s="49">
        <v>158063574079.6127</v>
      </c>
      <c r="C30" s="49">
        <v>451295000000</v>
      </c>
      <c r="D30" s="50">
        <v>0.17512223055829629</v>
      </c>
      <c r="E30" s="51" t="s">
        <v>111</v>
      </c>
      <c r="F30" s="50">
        <v>0.17512223055829629</v>
      </c>
      <c r="G30" s="51" t="s">
        <v>111</v>
      </c>
      <c r="H30" s="50">
        <v>0.17512223055829629</v>
      </c>
      <c r="I30" s="51" t="s">
        <v>111</v>
      </c>
      <c r="J30" s="50">
        <v>0.17512223055829629</v>
      </c>
      <c r="K30" s="51" t="s">
        <v>111</v>
      </c>
      <c r="L30" s="50">
        <v>0.17512223055829629</v>
      </c>
      <c r="M30" s="51" t="s">
        <v>111</v>
      </c>
    </row>
    <row r="31" spans="1:13" x14ac:dyDescent="0.25">
      <c r="A31" s="8">
        <v>27</v>
      </c>
      <c r="B31" s="24">
        <v>158590452659.87811</v>
      </c>
      <c r="C31" s="24">
        <v>451295000000</v>
      </c>
      <c r="D31" s="25">
        <v>0.175705971326824</v>
      </c>
      <c r="E31" t="s">
        <v>111</v>
      </c>
      <c r="F31" s="25">
        <v>0.175705971326824</v>
      </c>
      <c r="G31" t="s">
        <v>111</v>
      </c>
      <c r="H31" s="25">
        <v>0.175705971326824</v>
      </c>
      <c r="I31" t="s">
        <v>111</v>
      </c>
      <c r="J31" s="25">
        <v>0.175705971326824</v>
      </c>
      <c r="K31" t="s">
        <v>111</v>
      </c>
      <c r="L31" s="25">
        <v>0.175705971326824</v>
      </c>
      <c r="M31" t="s">
        <v>111</v>
      </c>
    </row>
    <row r="32" spans="1:13" x14ac:dyDescent="0.25">
      <c r="A32" s="48">
        <v>28</v>
      </c>
      <c r="B32" s="49">
        <v>159119087502.0777</v>
      </c>
      <c r="C32" s="49">
        <v>451295000000</v>
      </c>
      <c r="D32" s="50">
        <v>0.1762916578979134</v>
      </c>
      <c r="E32" s="51" t="s">
        <v>111</v>
      </c>
      <c r="F32" s="50">
        <v>0.1762916578979134</v>
      </c>
      <c r="G32" s="51" t="s">
        <v>111</v>
      </c>
      <c r="H32" s="50">
        <v>0.1762916578979134</v>
      </c>
      <c r="I32" s="51" t="s">
        <v>111</v>
      </c>
      <c r="J32" s="50">
        <v>0.1762916578979134</v>
      </c>
      <c r="K32" s="51" t="s">
        <v>111</v>
      </c>
      <c r="L32" s="50">
        <v>0.1762916578979134</v>
      </c>
      <c r="M32" s="51" t="s">
        <v>111</v>
      </c>
    </row>
    <row r="33" spans="1:13" x14ac:dyDescent="0.25">
      <c r="A33" s="8">
        <v>29</v>
      </c>
      <c r="B33" s="24">
        <v>159649484460.41791</v>
      </c>
      <c r="C33" s="24">
        <v>451295000000</v>
      </c>
      <c r="D33" s="25">
        <v>0.17687929675757311</v>
      </c>
      <c r="E33" t="s">
        <v>111</v>
      </c>
      <c r="F33" s="25">
        <v>0.17687929675757311</v>
      </c>
      <c r="G33" t="s">
        <v>111</v>
      </c>
      <c r="H33" s="25">
        <v>0.17687929675757311</v>
      </c>
      <c r="I33" t="s">
        <v>111</v>
      </c>
      <c r="J33" s="25">
        <v>0.17687929675757311</v>
      </c>
      <c r="K33" t="s">
        <v>111</v>
      </c>
      <c r="L33" s="25">
        <v>0.17687929675757311</v>
      </c>
      <c r="M33" t="s">
        <v>111</v>
      </c>
    </row>
    <row r="34" spans="1:13" x14ac:dyDescent="0.25">
      <c r="A34" s="48">
        <v>30</v>
      </c>
      <c r="B34" s="49">
        <v>160181649408.61938</v>
      </c>
      <c r="C34" s="49">
        <v>451295000000</v>
      </c>
      <c r="D34" s="50">
        <v>0.17746889441343169</v>
      </c>
      <c r="E34" s="51" t="s">
        <v>111</v>
      </c>
      <c r="F34" s="50">
        <v>0.17746889441343169</v>
      </c>
      <c r="G34" s="51" t="s">
        <v>111</v>
      </c>
      <c r="H34" s="50">
        <v>0.17746889441343169</v>
      </c>
      <c r="I34" s="51" t="s">
        <v>111</v>
      </c>
      <c r="J34" s="50">
        <v>0.17746889441343169</v>
      </c>
      <c r="K34" s="51" t="s">
        <v>111</v>
      </c>
      <c r="L34" s="50">
        <v>0.17746889441343169</v>
      </c>
      <c r="M34" s="51" t="s">
        <v>111</v>
      </c>
    </row>
    <row r="35" spans="1:13" x14ac:dyDescent="0.25">
      <c r="A35" s="8">
        <v>31</v>
      </c>
      <c r="B35" s="24">
        <v>160715588239.98141</v>
      </c>
      <c r="C35" s="24">
        <v>451295000000</v>
      </c>
      <c r="D35" s="25">
        <v>0.1780604573948098</v>
      </c>
      <c r="E35" t="s">
        <v>111</v>
      </c>
      <c r="F35" s="25">
        <v>0.1780604573948098</v>
      </c>
      <c r="G35" t="s">
        <v>111</v>
      </c>
      <c r="H35" s="25">
        <v>0.1780604573948098</v>
      </c>
      <c r="I35" t="s">
        <v>111</v>
      </c>
      <c r="J35" s="25">
        <v>0.1780604573948098</v>
      </c>
      <c r="K35" t="s">
        <v>111</v>
      </c>
      <c r="L35" s="25">
        <v>0.1780604573948098</v>
      </c>
      <c r="M35" t="s">
        <v>111</v>
      </c>
    </row>
    <row r="36" spans="1:13" x14ac:dyDescent="0.25">
      <c r="A36" s="48">
        <v>32</v>
      </c>
      <c r="B36" s="49">
        <v>161251306867.448</v>
      </c>
      <c r="C36" s="49">
        <v>451295000000</v>
      </c>
      <c r="D36" s="50">
        <v>0.17865399225279249</v>
      </c>
      <c r="E36" s="51" t="s">
        <v>111</v>
      </c>
      <c r="F36" s="50">
        <v>0.17865399225279249</v>
      </c>
      <c r="G36" s="51" t="s">
        <v>111</v>
      </c>
      <c r="H36" s="50">
        <v>0.17865399225279249</v>
      </c>
      <c r="I36" s="51" t="s">
        <v>111</v>
      </c>
      <c r="J36" s="50">
        <v>0.17865399225279249</v>
      </c>
      <c r="K36" s="51" t="s">
        <v>111</v>
      </c>
      <c r="L36" s="50">
        <v>0.17865399225279249</v>
      </c>
      <c r="M36" s="51" t="s">
        <v>111</v>
      </c>
    </row>
    <row r="37" spans="1:13" x14ac:dyDescent="0.25">
      <c r="A37" s="8">
        <v>33</v>
      </c>
      <c r="B37" s="24">
        <v>161788811223.67291</v>
      </c>
      <c r="C37" s="24">
        <v>451295000000</v>
      </c>
      <c r="D37" s="25">
        <v>0.17924950556030189</v>
      </c>
      <c r="E37" t="s">
        <v>111</v>
      </c>
      <c r="F37" s="25">
        <v>0.17924950556030189</v>
      </c>
      <c r="G37" t="s">
        <v>111</v>
      </c>
      <c r="H37" s="25">
        <v>0.17924950556030189</v>
      </c>
      <c r="I37" t="s">
        <v>111</v>
      </c>
      <c r="J37" s="25">
        <v>0.17924950556030189</v>
      </c>
      <c r="K37" t="s">
        <v>111</v>
      </c>
      <c r="L37" s="25">
        <v>0.17924950556030189</v>
      </c>
      <c r="M37" t="s">
        <v>111</v>
      </c>
    </row>
    <row r="38" spans="1:13" x14ac:dyDescent="0.25">
      <c r="A38" s="48">
        <v>34</v>
      </c>
      <c r="B38" s="49">
        <v>162328107261.08511</v>
      </c>
      <c r="C38" s="49">
        <v>451295000000</v>
      </c>
      <c r="D38" s="50">
        <v>0.1798470039121696</v>
      </c>
      <c r="E38" s="51" t="s">
        <v>111</v>
      </c>
      <c r="F38" s="50">
        <v>0.1798470039121696</v>
      </c>
      <c r="G38" s="51" t="s">
        <v>111</v>
      </c>
      <c r="H38" s="50">
        <v>0.1798470039121696</v>
      </c>
      <c r="I38" s="51" t="s">
        <v>111</v>
      </c>
      <c r="J38" s="50">
        <v>0.1798470039121696</v>
      </c>
      <c r="K38" s="51" t="s">
        <v>111</v>
      </c>
      <c r="L38" s="50">
        <v>0.1798470039121696</v>
      </c>
      <c r="M38" s="51" t="s">
        <v>111</v>
      </c>
    </row>
    <row r="39" spans="1:13" x14ac:dyDescent="0.25">
      <c r="A39" s="8">
        <v>35</v>
      </c>
      <c r="B39" s="24">
        <v>162869200951.95541</v>
      </c>
      <c r="C39" s="24">
        <v>451295000000</v>
      </c>
      <c r="D39" s="25">
        <v>0.18044649392521009</v>
      </c>
      <c r="E39" t="s">
        <v>111</v>
      </c>
      <c r="F39" s="25">
        <v>0.18044649392521009</v>
      </c>
      <c r="G39" t="s">
        <v>111</v>
      </c>
      <c r="H39" s="25">
        <v>0.18044649392521009</v>
      </c>
      <c r="I39" t="s">
        <v>111</v>
      </c>
      <c r="J39" s="25">
        <v>0.18044649392521009</v>
      </c>
      <c r="K39" t="s">
        <v>111</v>
      </c>
      <c r="L39" s="25">
        <v>0.18044649392521009</v>
      </c>
      <c r="M39" t="s">
        <v>111</v>
      </c>
    </row>
    <row r="40" spans="1:13" x14ac:dyDescent="0.25">
      <c r="A40" s="48">
        <v>36</v>
      </c>
      <c r="B40" s="49">
        <v>163412098288.46191</v>
      </c>
      <c r="C40" s="49">
        <v>451295000000</v>
      </c>
      <c r="D40" s="50">
        <v>0.18104798223829419</v>
      </c>
      <c r="E40" s="51" t="s">
        <v>111</v>
      </c>
      <c r="F40" s="50">
        <v>0.18104798223829419</v>
      </c>
      <c r="G40" s="51" t="s">
        <v>111</v>
      </c>
      <c r="H40" s="50">
        <v>0.18104798223829419</v>
      </c>
      <c r="I40" s="51" t="s">
        <v>111</v>
      </c>
      <c r="J40" s="50">
        <v>0.18104798223829419</v>
      </c>
      <c r="K40" s="51" t="s">
        <v>111</v>
      </c>
      <c r="L40" s="50">
        <v>0.18104798223829419</v>
      </c>
      <c r="M40" s="51" t="s">
        <v>111</v>
      </c>
    </row>
    <row r="41" spans="1:13" x14ac:dyDescent="0.25">
      <c r="A41" s="8">
        <v>37</v>
      </c>
      <c r="B41" s="24">
        <v>163956805282.75681</v>
      </c>
      <c r="C41" s="24">
        <v>451295000000</v>
      </c>
      <c r="D41" s="25">
        <v>0.18165147551242189</v>
      </c>
      <c r="E41" t="s">
        <v>111</v>
      </c>
      <c r="F41" s="25">
        <v>0.18165147551242189</v>
      </c>
      <c r="G41" t="s">
        <v>111</v>
      </c>
      <c r="H41" s="25">
        <v>0.18165147551242189</v>
      </c>
      <c r="I41" t="s">
        <v>111</v>
      </c>
      <c r="J41" s="25">
        <v>0.18165147551242189</v>
      </c>
      <c r="K41" t="s">
        <v>111</v>
      </c>
      <c r="L41" s="25">
        <v>0.18165147551242189</v>
      </c>
      <c r="M41" t="s">
        <v>111</v>
      </c>
    </row>
    <row r="42" spans="1:13" x14ac:dyDescent="0.25">
      <c r="A42" s="48">
        <v>38</v>
      </c>
      <c r="B42" s="49">
        <v>164503327967.03271</v>
      </c>
      <c r="C42" s="49">
        <v>451295000000</v>
      </c>
      <c r="D42" s="50">
        <v>0.18225698043079661</v>
      </c>
      <c r="E42" s="51" t="s">
        <v>111</v>
      </c>
      <c r="F42" s="50">
        <v>0.18225698043079661</v>
      </c>
      <c r="G42" s="51" t="s">
        <v>111</v>
      </c>
      <c r="H42" s="50">
        <v>0.18225698043079661</v>
      </c>
      <c r="I42" s="51" t="s">
        <v>111</v>
      </c>
      <c r="J42" s="50">
        <v>0.18225698043079661</v>
      </c>
      <c r="K42" s="51" t="s">
        <v>111</v>
      </c>
      <c r="L42" s="50">
        <v>0.18225698043079661</v>
      </c>
      <c r="M42" s="51" t="s">
        <v>111</v>
      </c>
    </row>
    <row r="43" spans="1:13" x14ac:dyDescent="0.25">
      <c r="A43" s="8">
        <v>39</v>
      </c>
      <c r="B43" s="24">
        <v>165051672393.58951</v>
      </c>
      <c r="C43" s="24">
        <v>451295000000</v>
      </c>
      <c r="D43" s="25">
        <v>0.18286450369889931</v>
      </c>
      <c r="E43" t="s">
        <v>111</v>
      </c>
      <c r="F43" s="25">
        <v>0.18286450369889931</v>
      </c>
      <c r="G43" t="s">
        <v>111</v>
      </c>
      <c r="H43" s="25">
        <v>0.18286450369889931</v>
      </c>
      <c r="I43" t="s">
        <v>111</v>
      </c>
      <c r="J43" s="25">
        <v>0.18286450369889931</v>
      </c>
      <c r="K43" t="s">
        <v>111</v>
      </c>
      <c r="L43" s="25">
        <v>0.18286450369889931</v>
      </c>
      <c r="M43" t="s">
        <v>111</v>
      </c>
    </row>
    <row r="44" spans="1:13" x14ac:dyDescent="0.25">
      <c r="A44" s="48">
        <v>40</v>
      </c>
      <c r="B44" s="49">
        <v>165601844634.90149</v>
      </c>
      <c r="C44" s="49">
        <v>451295000000</v>
      </c>
      <c r="D44" s="50">
        <v>0.1834740520445623</v>
      </c>
      <c r="E44" s="51" t="s">
        <v>111</v>
      </c>
      <c r="F44" s="50">
        <v>0.1834740520445623</v>
      </c>
      <c r="G44" s="51" t="s">
        <v>111</v>
      </c>
      <c r="H44" s="50">
        <v>0.1834740520445623</v>
      </c>
      <c r="I44" s="51" t="s">
        <v>111</v>
      </c>
      <c r="J44" s="50">
        <v>0.1834740520445623</v>
      </c>
      <c r="K44" s="51" t="s">
        <v>111</v>
      </c>
      <c r="L44" s="50">
        <v>0.1834740520445623</v>
      </c>
      <c r="M44" s="51" t="s">
        <v>111</v>
      </c>
    </row>
    <row r="45" spans="1:13" x14ac:dyDescent="0.25">
      <c r="A45" s="8">
        <v>41</v>
      </c>
      <c r="B45" s="24">
        <v>166153850783.68451</v>
      </c>
      <c r="C45" s="24">
        <v>451295000000</v>
      </c>
      <c r="D45" s="25">
        <v>0.18408563221804419</v>
      </c>
      <c r="E45" t="s">
        <v>111</v>
      </c>
      <c r="F45" s="25">
        <v>0.18408563221804419</v>
      </c>
      <c r="G45" t="s">
        <v>111</v>
      </c>
      <c r="H45" s="25">
        <v>0.18408563221804419</v>
      </c>
      <c r="I45" t="s">
        <v>111</v>
      </c>
      <c r="J45" s="25">
        <v>0.18408563221804419</v>
      </c>
      <c r="K45" t="s">
        <v>111</v>
      </c>
      <c r="L45" s="25">
        <v>0.18408563221804419</v>
      </c>
      <c r="M45" t="s">
        <v>111</v>
      </c>
    </row>
    <row r="46" spans="1:13" x14ac:dyDescent="0.25">
      <c r="A46" s="48">
        <v>42</v>
      </c>
      <c r="B46" s="49">
        <v>166707696952.96341</v>
      </c>
      <c r="C46" s="49">
        <v>451295000000</v>
      </c>
      <c r="D46" s="50">
        <v>0.1846992509921043</v>
      </c>
      <c r="E46" s="51" t="s">
        <v>111</v>
      </c>
      <c r="F46" s="50">
        <v>0.1846992509921043</v>
      </c>
      <c r="G46" s="51" t="s">
        <v>111</v>
      </c>
      <c r="H46" s="50">
        <v>0.1846992509921043</v>
      </c>
      <c r="I46" s="51" t="s">
        <v>111</v>
      </c>
      <c r="J46" s="50">
        <v>0.1846992509921043</v>
      </c>
      <c r="K46" s="51" t="s">
        <v>111</v>
      </c>
      <c r="L46" s="50">
        <v>0.1846992509921043</v>
      </c>
      <c r="M46" s="51" t="s">
        <v>111</v>
      </c>
    </row>
    <row r="47" spans="1:13" x14ac:dyDescent="0.25">
      <c r="A47" s="8">
        <v>43</v>
      </c>
      <c r="B47" s="24">
        <v>167263389276.14001</v>
      </c>
      <c r="C47" s="24">
        <v>451295000000</v>
      </c>
      <c r="D47" s="25">
        <v>0.18531491516207799</v>
      </c>
      <c r="E47" t="s">
        <v>111</v>
      </c>
      <c r="F47" s="25">
        <v>0.18531491516207799</v>
      </c>
      <c r="G47" t="s">
        <v>111</v>
      </c>
      <c r="H47" s="25">
        <v>0.18531491516207799</v>
      </c>
      <c r="I47" t="s">
        <v>111</v>
      </c>
      <c r="J47" s="25">
        <v>0.18531491516207799</v>
      </c>
      <c r="K47" t="s">
        <v>111</v>
      </c>
      <c r="L47" s="25">
        <v>0.18531491516207799</v>
      </c>
      <c r="M47" t="s">
        <v>111</v>
      </c>
    </row>
    <row r="48" spans="1:13" x14ac:dyDescent="0.25">
      <c r="A48" s="48">
        <v>44</v>
      </c>
      <c r="B48" s="49">
        <v>167820933907.06049</v>
      </c>
      <c r="C48" s="49">
        <v>451295000000</v>
      </c>
      <c r="D48" s="50">
        <v>0.1859326315459516</v>
      </c>
      <c r="E48" s="51" t="s">
        <v>111</v>
      </c>
      <c r="F48" s="50">
        <v>0.1859326315459516</v>
      </c>
      <c r="G48" s="51" t="s">
        <v>111</v>
      </c>
      <c r="H48" s="50">
        <v>0.1859326315459516</v>
      </c>
      <c r="I48" s="51" t="s">
        <v>111</v>
      </c>
      <c r="J48" s="50">
        <v>0.1859326315459516</v>
      </c>
      <c r="K48" s="51" t="s">
        <v>111</v>
      </c>
      <c r="L48" s="50">
        <v>0.1859326315459516</v>
      </c>
      <c r="M48" s="51" t="s">
        <v>111</v>
      </c>
    </row>
    <row r="49" spans="1:13" x14ac:dyDescent="0.25">
      <c r="A49" s="8">
        <v>45</v>
      </c>
      <c r="B49" s="24">
        <v>168380337020.08401</v>
      </c>
      <c r="C49" s="24">
        <v>451295000000</v>
      </c>
      <c r="D49" s="25">
        <v>0.18655240698443809</v>
      </c>
      <c r="E49" t="s">
        <v>111</v>
      </c>
      <c r="F49" s="25">
        <v>0.18655240698443809</v>
      </c>
      <c r="G49" t="s">
        <v>111</v>
      </c>
      <c r="H49" s="25">
        <v>0.18655240698443809</v>
      </c>
      <c r="I49" t="s">
        <v>111</v>
      </c>
      <c r="J49" s="25">
        <v>0.18655240698443809</v>
      </c>
      <c r="K49" t="s">
        <v>111</v>
      </c>
      <c r="L49" s="25">
        <v>0.18655240698443809</v>
      </c>
      <c r="M49" t="s">
        <v>111</v>
      </c>
    </row>
    <row r="50" spans="1:13" x14ac:dyDescent="0.25">
      <c r="A50" s="48">
        <v>46</v>
      </c>
      <c r="B50" s="49">
        <v>168941604810.151</v>
      </c>
      <c r="C50" s="49">
        <v>451295000000</v>
      </c>
      <c r="D50" s="50">
        <v>0.18717424834105301</v>
      </c>
      <c r="E50" s="51" t="s">
        <v>111</v>
      </c>
      <c r="F50" s="50">
        <v>0.18717424834105301</v>
      </c>
      <c r="G50" s="51" t="s">
        <v>111</v>
      </c>
      <c r="H50" s="50">
        <v>0.18717424834105301</v>
      </c>
      <c r="I50" s="51" t="s">
        <v>111</v>
      </c>
      <c r="J50" s="50">
        <v>0.18717424834105301</v>
      </c>
      <c r="K50" s="51" t="s">
        <v>111</v>
      </c>
      <c r="L50" s="50">
        <v>0.18717424834105301</v>
      </c>
      <c r="M50" s="51" t="s">
        <v>111</v>
      </c>
    </row>
    <row r="51" spans="1:13" x14ac:dyDescent="0.25">
      <c r="A51" s="8">
        <v>47</v>
      </c>
      <c r="B51" s="24">
        <v>169504743492.8515</v>
      </c>
      <c r="C51" s="24">
        <v>451295000000</v>
      </c>
      <c r="D51" s="25">
        <v>0.18779816250218981</v>
      </c>
      <c r="E51" t="s">
        <v>111</v>
      </c>
      <c r="F51" s="25">
        <v>0.18779816250218981</v>
      </c>
      <c r="G51" t="s">
        <v>111</v>
      </c>
      <c r="H51" s="25">
        <v>0.18779816250218981</v>
      </c>
      <c r="I51" t="s">
        <v>111</v>
      </c>
      <c r="J51" s="25">
        <v>0.18779816250218981</v>
      </c>
      <c r="K51" t="s">
        <v>111</v>
      </c>
      <c r="L51" s="25">
        <v>0.18779816250218981</v>
      </c>
      <c r="M51" t="s">
        <v>111</v>
      </c>
    </row>
    <row r="52" spans="1:13" x14ac:dyDescent="0.25">
      <c r="A52" s="48">
        <v>48</v>
      </c>
      <c r="B52" s="49">
        <v>170069759304.49438</v>
      </c>
      <c r="C52" s="49">
        <v>451295000000</v>
      </c>
      <c r="D52" s="50">
        <v>0.18842415637719709</v>
      </c>
      <c r="E52" s="51" t="s">
        <v>111</v>
      </c>
      <c r="F52" s="50">
        <v>0.18842415637719709</v>
      </c>
      <c r="G52" s="51" t="s">
        <v>111</v>
      </c>
      <c r="H52" s="50">
        <v>0.18842415637719709</v>
      </c>
      <c r="I52" s="51" t="s">
        <v>111</v>
      </c>
      <c r="J52" s="50">
        <v>0.18842415637719709</v>
      </c>
      <c r="K52" s="51" t="s">
        <v>111</v>
      </c>
      <c r="L52" s="50">
        <v>0.18842415637719709</v>
      </c>
      <c r="M52" s="51" t="s">
        <v>111</v>
      </c>
    </row>
    <row r="53" spans="1:13" x14ac:dyDescent="0.25">
      <c r="A53" s="8">
        <v>49</v>
      </c>
      <c r="B53" s="24">
        <v>170636658502.17599</v>
      </c>
      <c r="C53" s="24">
        <v>451295000000</v>
      </c>
      <c r="D53" s="25">
        <v>0.18905223689845449</v>
      </c>
      <c r="E53" t="s">
        <v>111</v>
      </c>
      <c r="F53" s="25">
        <v>0.18905223689845449</v>
      </c>
      <c r="G53" t="s">
        <v>111</v>
      </c>
      <c r="H53" s="25">
        <v>0.18905223689845449</v>
      </c>
      <c r="I53" t="s">
        <v>111</v>
      </c>
      <c r="J53" s="25">
        <v>0.18905223689845449</v>
      </c>
      <c r="K53" t="s">
        <v>111</v>
      </c>
      <c r="L53" s="25">
        <v>0.18905223689845449</v>
      </c>
      <c r="M53" t="s">
        <v>111</v>
      </c>
    </row>
    <row r="54" spans="1:13" x14ac:dyDescent="0.25">
      <c r="A54" s="48">
        <v>50</v>
      </c>
      <c r="B54" s="49">
        <v>171205447363.84991</v>
      </c>
      <c r="C54" s="49">
        <v>451295000000</v>
      </c>
      <c r="D54" s="50">
        <v>0.18968241102144931</v>
      </c>
      <c r="E54" s="51" t="s">
        <v>111</v>
      </c>
      <c r="F54" s="50">
        <v>0.18968241102144931</v>
      </c>
      <c r="G54" s="51" t="s">
        <v>111</v>
      </c>
      <c r="H54" s="50">
        <v>0.18968241102144931</v>
      </c>
      <c r="I54" s="51" t="s">
        <v>111</v>
      </c>
      <c r="J54" s="50">
        <v>0.18968241102144931</v>
      </c>
      <c r="K54" s="51" t="s">
        <v>111</v>
      </c>
      <c r="L54" s="50">
        <v>0.18968241102144931</v>
      </c>
      <c r="M54" s="51" t="s">
        <v>111</v>
      </c>
    </row>
    <row r="55" spans="1:13" x14ac:dyDescent="0.25">
      <c r="A55" s="8">
        <v>51</v>
      </c>
      <c r="B55" s="24">
        <v>171776132188.39609</v>
      </c>
      <c r="C55" s="24">
        <v>451295000000</v>
      </c>
      <c r="D55" s="25">
        <v>0.19031468572485419</v>
      </c>
      <c r="E55" t="s">
        <v>111</v>
      </c>
      <c r="F55" s="25">
        <v>0.19031468572485419</v>
      </c>
      <c r="G55" t="s">
        <v>111</v>
      </c>
      <c r="H55" s="25">
        <v>0.19031468572485419</v>
      </c>
      <c r="I55" t="s">
        <v>111</v>
      </c>
      <c r="J55" s="25">
        <v>0.19031468572485419</v>
      </c>
      <c r="K55" t="s">
        <v>111</v>
      </c>
      <c r="L55" s="25">
        <v>0.19031468572485419</v>
      </c>
      <c r="M55" t="s">
        <v>111</v>
      </c>
    </row>
    <row r="56" spans="1:13" x14ac:dyDescent="0.25">
      <c r="A56" s="48">
        <v>52</v>
      </c>
      <c r="B56" s="49">
        <v>172348719295.6908</v>
      </c>
      <c r="C56" s="49">
        <v>451295000000</v>
      </c>
      <c r="D56" s="50">
        <v>0.19094906801060371</v>
      </c>
      <c r="E56" s="51" t="s">
        <v>111</v>
      </c>
      <c r="F56" s="50">
        <v>0.19094906801060371</v>
      </c>
      <c r="G56" s="51" t="s">
        <v>111</v>
      </c>
      <c r="H56" s="50">
        <v>0.19094906801060371</v>
      </c>
      <c r="I56" s="51" t="s">
        <v>111</v>
      </c>
      <c r="J56" s="50">
        <v>0.19094906801060371</v>
      </c>
      <c r="K56" s="51" t="s">
        <v>111</v>
      </c>
      <c r="L56" s="50">
        <v>0.19094906801060371</v>
      </c>
      <c r="M56" s="51" t="s">
        <v>111</v>
      </c>
    </row>
    <row r="57" spans="1:13" x14ac:dyDescent="0.25">
      <c r="A57" s="8">
        <v>53</v>
      </c>
      <c r="B57" s="24">
        <v>172923215026.67639</v>
      </c>
      <c r="C57" s="24">
        <v>451295000000</v>
      </c>
      <c r="D57" s="25">
        <v>0.19158556490397241</v>
      </c>
      <c r="E57" t="s">
        <v>111</v>
      </c>
      <c r="F57" s="25">
        <v>0.19158556490397241</v>
      </c>
      <c r="G57" t="s">
        <v>111</v>
      </c>
      <c r="H57" s="25">
        <v>0.19158556490397241</v>
      </c>
      <c r="I57" t="s">
        <v>111</v>
      </c>
      <c r="J57" s="25">
        <v>0.19158556490397241</v>
      </c>
      <c r="K57" t="s">
        <v>111</v>
      </c>
      <c r="L57" s="25">
        <v>0.19158556490397241</v>
      </c>
      <c r="M57" t="s">
        <v>111</v>
      </c>
    </row>
    <row r="58" spans="1:13" x14ac:dyDescent="0.25">
      <c r="A58" s="48">
        <v>54</v>
      </c>
      <c r="B58" s="49">
        <v>173499625743.4321</v>
      </c>
      <c r="C58" s="49">
        <v>451295000000</v>
      </c>
      <c r="D58" s="50">
        <v>0.1922241834536523</v>
      </c>
      <c r="E58" s="51" t="s">
        <v>111</v>
      </c>
      <c r="F58" s="50">
        <v>0.1922241834536523</v>
      </c>
      <c r="G58" s="51" t="s">
        <v>111</v>
      </c>
      <c r="H58" s="50">
        <v>0.1922241834536523</v>
      </c>
      <c r="I58" s="51" t="s">
        <v>111</v>
      </c>
      <c r="J58" s="50">
        <v>0.1922241834536523</v>
      </c>
      <c r="K58" s="51" t="s">
        <v>111</v>
      </c>
      <c r="L58" s="50">
        <v>0.1922241834536523</v>
      </c>
      <c r="M58" s="51" t="s">
        <v>111</v>
      </c>
    </row>
    <row r="59" spans="1:13" x14ac:dyDescent="0.25">
      <c r="A59" s="8">
        <v>55</v>
      </c>
      <c r="B59" s="24">
        <v>174077957829.2435</v>
      </c>
      <c r="C59" s="24">
        <v>451295000000</v>
      </c>
      <c r="D59" s="25">
        <v>0.1928649307318312</v>
      </c>
      <c r="E59" t="s">
        <v>111</v>
      </c>
      <c r="F59" s="25">
        <v>0.1928649307318312</v>
      </c>
      <c r="G59" t="s">
        <v>111</v>
      </c>
      <c r="H59" s="25">
        <v>0.1928649307318312</v>
      </c>
      <c r="I59" t="s">
        <v>111</v>
      </c>
      <c r="J59" s="25">
        <v>0.1928649307318312</v>
      </c>
      <c r="K59" t="s">
        <v>111</v>
      </c>
      <c r="L59" s="25">
        <v>0.1928649307318312</v>
      </c>
      <c r="M59" t="s">
        <v>111</v>
      </c>
    </row>
    <row r="60" spans="1:13" x14ac:dyDescent="0.25">
      <c r="A60" s="48">
        <v>56</v>
      </c>
      <c r="B60" s="49">
        <v>174658217688.67429</v>
      </c>
      <c r="C60" s="49">
        <v>451295000000</v>
      </c>
      <c r="D60" s="50">
        <v>0.19350781383427071</v>
      </c>
      <c r="E60" s="51" t="s">
        <v>111</v>
      </c>
      <c r="F60" s="50">
        <v>0.19350781383427071</v>
      </c>
      <c r="G60" s="51" t="s">
        <v>111</v>
      </c>
      <c r="H60" s="50">
        <v>0.19350781383427071</v>
      </c>
      <c r="I60" s="51" t="s">
        <v>111</v>
      </c>
      <c r="J60" s="50">
        <v>0.19350781383427071</v>
      </c>
      <c r="K60" s="51" t="s">
        <v>111</v>
      </c>
      <c r="L60" s="50">
        <v>0.19350781383427071</v>
      </c>
      <c r="M60" s="51" t="s">
        <v>111</v>
      </c>
    </row>
    <row r="61" spans="1:13" x14ac:dyDescent="0.25">
      <c r="A61" s="8">
        <v>57</v>
      </c>
      <c r="B61" s="24">
        <v>175240411747.6366</v>
      </c>
      <c r="C61" s="24">
        <v>451295000000</v>
      </c>
      <c r="D61" s="25">
        <v>0.1941528398803849</v>
      </c>
      <c r="E61" t="s">
        <v>111</v>
      </c>
      <c r="F61" s="25">
        <v>0.1941528398803849</v>
      </c>
      <c r="G61" t="s">
        <v>111</v>
      </c>
      <c r="H61" s="25">
        <v>0.1941528398803849</v>
      </c>
      <c r="I61" t="s">
        <v>111</v>
      </c>
      <c r="J61" s="25">
        <v>0.1941528398803849</v>
      </c>
      <c r="K61" t="s">
        <v>111</v>
      </c>
      <c r="L61" s="25">
        <v>0.1941528398803849</v>
      </c>
      <c r="M61" t="s">
        <v>111</v>
      </c>
    </row>
    <row r="62" spans="1:13" x14ac:dyDescent="0.25">
      <c r="A62" s="48">
        <v>58</v>
      </c>
      <c r="B62" s="49">
        <v>175824546453.4621</v>
      </c>
      <c r="C62" s="49">
        <v>451295000000</v>
      </c>
      <c r="D62" s="50">
        <v>0.1948000160133195</v>
      </c>
      <c r="E62" s="51" t="s">
        <v>111</v>
      </c>
      <c r="F62" s="50">
        <v>0.1948000160133195</v>
      </c>
      <c r="G62" s="51" t="s">
        <v>111</v>
      </c>
      <c r="H62" s="50">
        <v>0.1948000160133195</v>
      </c>
      <c r="I62" s="51" t="s">
        <v>111</v>
      </c>
      <c r="J62" s="50">
        <v>0.1948000160133195</v>
      </c>
      <c r="K62" s="51" t="s">
        <v>111</v>
      </c>
      <c r="L62" s="50">
        <v>0.1948000160133195</v>
      </c>
      <c r="M62" s="51" t="s">
        <v>111</v>
      </c>
    </row>
    <row r="63" spans="1:13" x14ac:dyDescent="0.25">
      <c r="A63" s="8">
        <v>59</v>
      </c>
      <c r="B63" s="24">
        <v>176410628274.9736</v>
      </c>
      <c r="C63" s="24">
        <v>451295000000</v>
      </c>
      <c r="D63" s="25">
        <v>0.19544934940003059</v>
      </c>
      <c r="E63" t="s">
        <v>111</v>
      </c>
      <c r="F63" s="25">
        <v>0.19544934940003059</v>
      </c>
      <c r="G63" t="s">
        <v>111</v>
      </c>
      <c r="H63" s="25">
        <v>0.19544934940003059</v>
      </c>
      <c r="I63" t="s">
        <v>111</v>
      </c>
      <c r="J63" s="25">
        <v>0.19544934940003059</v>
      </c>
      <c r="K63" t="s">
        <v>111</v>
      </c>
      <c r="L63" s="25">
        <v>0.19544934940003059</v>
      </c>
      <c r="M63" t="s">
        <v>111</v>
      </c>
    </row>
    <row r="64" spans="1:13" x14ac:dyDescent="0.25">
      <c r="A64" s="48">
        <v>60</v>
      </c>
      <c r="B64" s="49">
        <v>176998663702.55688</v>
      </c>
      <c r="C64" s="49">
        <v>451295000000</v>
      </c>
      <c r="D64" s="50">
        <v>0.19610084723136401</v>
      </c>
      <c r="E64" s="51" t="s">
        <v>111</v>
      </c>
      <c r="F64" s="50">
        <v>0.19610084723136401</v>
      </c>
      <c r="G64" s="51" t="s">
        <v>111</v>
      </c>
      <c r="H64" s="50">
        <v>0.19610084723136401</v>
      </c>
      <c r="I64" s="51" t="s">
        <v>111</v>
      </c>
      <c r="J64" s="50">
        <v>0.19610084723136401</v>
      </c>
      <c r="K64" s="51" t="s">
        <v>111</v>
      </c>
      <c r="L64" s="50">
        <v>0.19610084723136401</v>
      </c>
      <c r="M64" s="51" t="s">
        <v>111</v>
      </c>
    </row>
    <row r="65" spans="1:13" x14ac:dyDescent="0.25">
      <c r="A65" s="8">
        <v>61</v>
      </c>
      <c r="B65" s="24">
        <v>177588659248.23209</v>
      </c>
      <c r="C65" s="24">
        <v>451295000000</v>
      </c>
      <c r="D65" s="25">
        <v>0.19675451672213529</v>
      </c>
      <c r="E65" t="s">
        <v>111</v>
      </c>
      <c r="F65" s="25">
        <v>0.19675451672213529</v>
      </c>
      <c r="G65" t="s">
        <v>111</v>
      </c>
      <c r="H65" s="25">
        <v>0.19675451672213529</v>
      </c>
      <c r="I65" t="s">
        <v>111</v>
      </c>
      <c r="J65" s="25">
        <v>0.19675451672213529</v>
      </c>
      <c r="K65" t="s">
        <v>111</v>
      </c>
      <c r="L65" s="25">
        <v>0.19675451672213529</v>
      </c>
      <c r="M65" t="s">
        <v>111</v>
      </c>
    </row>
    <row r="66" spans="1:13" x14ac:dyDescent="0.25">
      <c r="A66" s="48">
        <v>62</v>
      </c>
      <c r="B66" s="49">
        <v>178180621445.7262</v>
      </c>
      <c r="C66" s="49">
        <v>451295000000</v>
      </c>
      <c r="D66" s="50">
        <v>0.1974103651112091</v>
      </c>
      <c r="E66" s="51" t="s">
        <v>111</v>
      </c>
      <c r="F66" s="50">
        <v>0.1974103651112091</v>
      </c>
      <c r="G66" s="51" t="s">
        <v>111</v>
      </c>
      <c r="H66" s="50">
        <v>0.1974103651112091</v>
      </c>
      <c r="I66" s="51" t="s">
        <v>111</v>
      </c>
      <c r="J66" s="50">
        <v>0.1974103651112091</v>
      </c>
      <c r="K66" s="51" t="s">
        <v>111</v>
      </c>
      <c r="L66" s="50">
        <v>0.1974103651112091</v>
      </c>
      <c r="M66" s="51" t="s">
        <v>111</v>
      </c>
    </row>
    <row r="67" spans="1:13" x14ac:dyDescent="0.25">
      <c r="A67" s="8">
        <v>63</v>
      </c>
      <c r="B67" s="24">
        <v>178774556850.54529</v>
      </c>
      <c r="C67" s="24">
        <v>451295000000</v>
      </c>
      <c r="D67" s="25">
        <v>0.1980683996615798</v>
      </c>
      <c r="E67" t="s">
        <v>111</v>
      </c>
      <c r="F67" s="25">
        <v>0.1980683996615798</v>
      </c>
      <c r="G67" t="s">
        <v>111</v>
      </c>
      <c r="H67" s="25">
        <v>0.1980683996615798</v>
      </c>
      <c r="I67" t="s">
        <v>111</v>
      </c>
      <c r="J67" s="25">
        <v>0.1980683996615798</v>
      </c>
      <c r="K67" t="s">
        <v>111</v>
      </c>
      <c r="L67" s="25">
        <v>0.1980683996615798</v>
      </c>
      <c r="M67" t="s">
        <v>111</v>
      </c>
    </row>
    <row r="68" spans="1:13" x14ac:dyDescent="0.25">
      <c r="A68" s="48">
        <v>64</v>
      </c>
      <c r="B68" s="49">
        <v>179370472040.04709</v>
      </c>
      <c r="C68" s="49">
        <v>451295000000</v>
      </c>
      <c r="D68" s="50">
        <v>0.19872862766045171</v>
      </c>
      <c r="E68" s="51" t="s">
        <v>111</v>
      </c>
      <c r="F68" s="50">
        <v>0.19872862766045171</v>
      </c>
      <c r="G68" s="51" t="s">
        <v>111</v>
      </c>
      <c r="H68" s="50">
        <v>0.19872862766045171</v>
      </c>
      <c r="I68" s="51" t="s">
        <v>111</v>
      </c>
      <c r="J68" s="50">
        <v>0.19872862766045171</v>
      </c>
      <c r="K68" s="51" t="s">
        <v>111</v>
      </c>
      <c r="L68" s="50">
        <v>0.19872862766045171</v>
      </c>
      <c r="M68" s="51" t="s">
        <v>111</v>
      </c>
    </row>
    <row r="69" spans="1:13" x14ac:dyDescent="0.25">
      <c r="A69" s="8">
        <v>65</v>
      </c>
      <c r="B69" s="24">
        <v>179968373613.51401</v>
      </c>
      <c r="C69" s="24">
        <v>451295000000</v>
      </c>
      <c r="D69" s="25">
        <v>0.1993910564193199</v>
      </c>
      <c r="E69" t="s">
        <v>111</v>
      </c>
      <c r="F69" s="25">
        <v>0.1993910564193199</v>
      </c>
      <c r="G69" t="s">
        <v>111</v>
      </c>
      <c r="H69" s="25">
        <v>0.1993910564193199</v>
      </c>
      <c r="I69" t="s">
        <v>111</v>
      </c>
      <c r="J69" s="25">
        <v>0.1993910564193199</v>
      </c>
      <c r="K69" t="s">
        <v>111</v>
      </c>
      <c r="L69" s="25">
        <v>0.1993910564193199</v>
      </c>
      <c r="M69" t="s">
        <v>111</v>
      </c>
    </row>
    <row r="70" spans="1:13" x14ac:dyDescent="0.25">
      <c r="A70" s="48">
        <v>66</v>
      </c>
      <c r="B70" s="49">
        <v>180568268192.22571</v>
      </c>
      <c r="C70" s="49">
        <v>451295000000</v>
      </c>
      <c r="D70" s="50">
        <v>0.20005569327405101</v>
      </c>
      <c r="E70" s="51" t="s">
        <v>111</v>
      </c>
      <c r="F70" s="50">
        <v>0.20005569327405101</v>
      </c>
      <c r="G70" s="51" t="s">
        <v>111</v>
      </c>
      <c r="H70" s="50">
        <v>0.20005569327405101</v>
      </c>
      <c r="I70" s="51" t="s">
        <v>111</v>
      </c>
      <c r="J70" s="50">
        <v>0.20005569327405101</v>
      </c>
      <c r="K70" s="51" t="s">
        <v>111</v>
      </c>
      <c r="L70" s="50">
        <v>0.20005569327405101</v>
      </c>
      <c r="M70" s="51" t="s">
        <v>111</v>
      </c>
    </row>
    <row r="71" spans="1:13" x14ac:dyDescent="0.25">
      <c r="A71" s="8">
        <v>67</v>
      </c>
      <c r="B71" s="24">
        <v>181170162419.53311</v>
      </c>
      <c r="C71" s="24">
        <v>451295000000</v>
      </c>
      <c r="D71" s="25">
        <v>0.2007225455849645</v>
      </c>
      <c r="E71" t="s">
        <v>111</v>
      </c>
      <c r="F71" s="25">
        <v>0.2007225455849645</v>
      </c>
      <c r="G71" t="s">
        <v>111</v>
      </c>
      <c r="H71" s="25">
        <v>0.2007225455849645</v>
      </c>
      <c r="I71" t="s">
        <v>111</v>
      </c>
      <c r="J71" s="25">
        <v>0.2007225455849645</v>
      </c>
      <c r="K71" t="s">
        <v>111</v>
      </c>
      <c r="L71" s="25">
        <v>0.2007225455849645</v>
      </c>
      <c r="M71" t="s">
        <v>111</v>
      </c>
    </row>
    <row r="72" spans="1:13" x14ac:dyDescent="0.25">
      <c r="A72" s="48">
        <v>68</v>
      </c>
      <c r="B72" s="49">
        <v>181774062960.93161</v>
      </c>
      <c r="C72" s="49">
        <v>451295000000</v>
      </c>
      <c r="D72" s="50">
        <v>0.20139162073691441</v>
      </c>
      <c r="E72" s="51" t="s">
        <v>111</v>
      </c>
      <c r="F72" s="50">
        <v>0.20139162073691441</v>
      </c>
      <c r="G72" s="51" t="s">
        <v>111</v>
      </c>
      <c r="H72" s="50">
        <v>0.20139162073691441</v>
      </c>
      <c r="I72" s="51" t="s">
        <v>111</v>
      </c>
      <c r="J72" s="50">
        <v>0.20139162073691441</v>
      </c>
      <c r="K72" s="51" t="s">
        <v>111</v>
      </c>
      <c r="L72" s="50">
        <v>0.20139162073691441</v>
      </c>
      <c r="M72" s="51" t="s">
        <v>111</v>
      </c>
    </row>
    <row r="73" spans="1:13" x14ac:dyDescent="0.25">
      <c r="A73" s="8">
        <v>69</v>
      </c>
      <c r="B73" s="24">
        <v>182379976504.1347</v>
      </c>
      <c r="C73" s="24">
        <v>451295000000</v>
      </c>
      <c r="D73" s="25">
        <v>0.2020629261393708</v>
      </c>
      <c r="E73" t="s">
        <v>111</v>
      </c>
      <c r="F73" s="25">
        <v>0.2020629261393708</v>
      </c>
      <c r="G73" t="s">
        <v>111</v>
      </c>
      <c r="H73" s="25">
        <v>0.2020629261393708</v>
      </c>
      <c r="I73" t="s">
        <v>111</v>
      </c>
      <c r="J73" s="25">
        <v>0.2020629261393708</v>
      </c>
      <c r="K73" t="s">
        <v>111</v>
      </c>
      <c r="L73" s="25">
        <v>0.2020629261393708</v>
      </c>
      <c r="M73" t="s">
        <v>111</v>
      </c>
    </row>
    <row r="74" spans="1:13" x14ac:dyDescent="0.25">
      <c r="A74" s="48">
        <v>70</v>
      </c>
      <c r="B74" s="49">
        <v>182987909759.1485</v>
      </c>
      <c r="C74" s="49">
        <v>451295000000</v>
      </c>
      <c r="D74" s="50">
        <v>0.2027364692265021</v>
      </c>
      <c r="E74" s="51" t="s">
        <v>111</v>
      </c>
      <c r="F74" s="50">
        <v>0.2027364692265021</v>
      </c>
      <c r="G74" s="51" t="s">
        <v>111</v>
      </c>
      <c r="H74" s="50">
        <v>0.2027364692265021</v>
      </c>
      <c r="I74" s="51" t="s">
        <v>111</v>
      </c>
      <c r="J74" s="50">
        <v>0.2027364692265021</v>
      </c>
      <c r="K74" s="51" t="s">
        <v>111</v>
      </c>
      <c r="L74" s="50">
        <v>0.2027364692265021</v>
      </c>
      <c r="M74" s="51" t="s">
        <v>111</v>
      </c>
    </row>
    <row r="75" spans="1:13" x14ac:dyDescent="0.25">
      <c r="A75" s="8">
        <v>71</v>
      </c>
      <c r="B75" s="24">
        <v>183597869458.3457</v>
      </c>
      <c r="C75" s="24">
        <v>451295000000</v>
      </c>
      <c r="D75" s="25">
        <v>0.20341225745725711</v>
      </c>
      <c r="E75" t="s">
        <v>111</v>
      </c>
      <c r="F75" s="25">
        <v>0.20341225745725711</v>
      </c>
      <c r="G75" t="s">
        <v>111</v>
      </c>
      <c r="H75" s="25">
        <v>0.20341225745725711</v>
      </c>
      <c r="I75" t="s">
        <v>111</v>
      </c>
      <c r="J75" s="25">
        <v>0.20341225745725711</v>
      </c>
      <c r="K75" t="s">
        <v>111</v>
      </c>
      <c r="L75" s="25">
        <v>0.20341225745725711</v>
      </c>
      <c r="M75" t="s">
        <v>111</v>
      </c>
    </row>
    <row r="76" spans="1:13" x14ac:dyDescent="0.25">
      <c r="A76" s="48">
        <v>72</v>
      </c>
      <c r="B76" s="49">
        <v>184209862356.54019</v>
      </c>
      <c r="C76" s="49">
        <v>451295000000</v>
      </c>
      <c r="D76" s="50">
        <v>0.20409029831544789</v>
      </c>
      <c r="E76" s="51" t="s">
        <v>111</v>
      </c>
      <c r="F76" s="50">
        <v>0.20409029831544789</v>
      </c>
      <c r="G76" s="51" t="s">
        <v>111</v>
      </c>
      <c r="H76" s="50">
        <v>0.20409029831544789</v>
      </c>
      <c r="I76" s="51" t="s">
        <v>111</v>
      </c>
      <c r="J76" s="50">
        <v>0.20409029831544789</v>
      </c>
      <c r="K76" s="51" t="s">
        <v>111</v>
      </c>
      <c r="L76" s="50">
        <v>0.20409029831544789</v>
      </c>
      <c r="M76" s="51" t="s">
        <v>111</v>
      </c>
    </row>
    <row r="77" spans="1:13" x14ac:dyDescent="0.25">
      <c r="A77" s="8">
        <v>73</v>
      </c>
      <c r="B77" s="24">
        <v>184823895231.06201</v>
      </c>
      <c r="C77" s="24">
        <v>451295000000</v>
      </c>
      <c r="D77" s="25">
        <v>0.2047705993098328</v>
      </c>
      <c r="E77" t="s">
        <v>111</v>
      </c>
      <c r="F77" s="25">
        <v>0.2047705993098328</v>
      </c>
      <c r="G77" t="s">
        <v>111</v>
      </c>
      <c r="H77" s="25">
        <v>0.2047705993098328</v>
      </c>
      <c r="I77" t="s">
        <v>111</v>
      </c>
      <c r="J77" s="25">
        <v>0.2047705993098328</v>
      </c>
      <c r="K77" t="s">
        <v>111</v>
      </c>
      <c r="L77" s="25">
        <v>0.2047705993098328</v>
      </c>
      <c r="M77" t="s">
        <v>111</v>
      </c>
    </row>
    <row r="78" spans="1:13" x14ac:dyDescent="0.25">
      <c r="A78" s="48">
        <v>74</v>
      </c>
      <c r="B78" s="49">
        <v>185439974881.83221</v>
      </c>
      <c r="C78" s="49">
        <v>451295000000</v>
      </c>
      <c r="D78" s="50">
        <v>0.20545316797419891</v>
      </c>
      <c r="E78" s="51" t="s">
        <v>111</v>
      </c>
      <c r="F78" s="50">
        <v>0.20545316797419891</v>
      </c>
      <c r="G78" s="51" t="s">
        <v>111</v>
      </c>
      <c r="H78" s="50">
        <v>0.20545316797419891</v>
      </c>
      <c r="I78" s="51" t="s">
        <v>111</v>
      </c>
      <c r="J78" s="50">
        <v>0.20545316797419891</v>
      </c>
      <c r="K78" s="51" t="s">
        <v>111</v>
      </c>
      <c r="L78" s="50">
        <v>0.20545316797419891</v>
      </c>
      <c r="M78" s="51" t="s">
        <v>111</v>
      </c>
    </row>
    <row r="79" spans="1:13" x14ac:dyDescent="0.25">
      <c r="A79" s="8">
        <v>75</v>
      </c>
      <c r="B79" s="24">
        <v>186058108131.43829</v>
      </c>
      <c r="C79" s="24">
        <v>451295000000</v>
      </c>
      <c r="D79" s="25">
        <v>0.20613801186744629</v>
      </c>
      <c r="E79" t="s">
        <v>111</v>
      </c>
      <c r="F79" s="25">
        <v>0.20613801186744629</v>
      </c>
      <c r="G79" t="s">
        <v>111</v>
      </c>
      <c r="H79" s="25">
        <v>0.20613801186744629</v>
      </c>
      <c r="I79" t="s">
        <v>111</v>
      </c>
      <c r="J79" s="25">
        <v>0.20613801186744629</v>
      </c>
      <c r="K79" t="s">
        <v>111</v>
      </c>
      <c r="L79" s="25">
        <v>0.20613801186744629</v>
      </c>
      <c r="M79" t="s">
        <v>111</v>
      </c>
    </row>
    <row r="80" spans="1:13" x14ac:dyDescent="0.25">
      <c r="A80" s="48">
        <v>76</v>
      </c>
      <c r="B80" s="49">
        <v>186678301825.20981</v>
      </c>
      <c r="C80" s="49">
        <v>451295000000</v>
      </c>
      <c r="D80" s="50">
        <v>0.2068251385736711</v>
      </c>
      <c r="E80" s="51" t="s">
        <v>111</v>
      </c>
      <c r="F80" s="50">
        <v>0.2068251385736711</v>
      </c>
      <c r="G80" s="51" t="s">
        <v>111</v>
      </c>
      <c r="H80" s="50">
        <v>0.2068251385736711</v>
      </c>
      <c r="I80" s="51" t="s">
        <v>111</v>
      </c>
      <c r="J80" s="50">
        <v>0.2068251385736711</v>
      </c>
      <c r="K80" s="51" t="s">
        <v>111</v>
      </c>
      <c r="L80" s="50">
        <v>0.2068251385736711</v>
      </c>
      <c r="M80" s="51" t="s">
        <v>111</v>
      </c>
    </row>
    <row r="81" spans="1:13" x14ac:dyDescent="0.25">
      <c r="A81" s="8">
        <v>77</v>
      </c>
      <c r="B81" s="24">
        <v>187300562831.29391</v>
      </c>
      <c r="C81" s="24">
        <v>451295000000</v>
      </c>
      <c r="D81" s="25">
        <v>0.20751455570225</v>
      </c>
      <c r="E81" t="s">
        <v>111</v>
      </c>
      <c r="F81" s="25">
        <v>0.20751455570225</v>
      </c>
      <c r="G81" t="s">
        <v>111</v>
      </c>
      <c r="H81" s="25">
        <v>0.20751455570225</v>
      </c>
      <c r="I81" t="s">
        <v>111</v>
      </c>
      <c r="J81" s="25">
        <v>0.20751455570225</v>
      </c>
      <c r="K81" t="s">
        <v>111</v>
      </c>
      <c r="L81" s="25">
        <v>0.20751455570225</v>
      </c>
      <c r="M81" t="s">
        <v>111</v>
      </c>
    </row>
    <row r="82" spans="1:13" x14ac:dyDescent="0.25">
      <c r="A82" s="48">
        <v>78</v>
      </c>
      <c r="B82" s="49">
        <v>187924898040.73151</v>
      </c>
      <c r="C82" s="49">
        <v>451295000000</v>
      </c>
      <c r="D82" s="50">
        <v>0.20820627088792421</v>
      </c>
      <c r="E82" s="51" t="s">
        <v>111</v>
      </c>
      <c r="F82" s="50">
        <v>0.20820627088792421</v>
      </c>
      <c r="G82" s="51" t="s">
        <v>111</v>
      </c>
      <c r="H82" s="50">
        <v>0.20820627088792421</v>
      </c>
      <c r="I82" s="51" t="s">
        <v>111</v>
      </c>
      <c r="J82" s="50">
        <v>0.20820627088792421</v>
      </c>
      <c r="K82" s="51" t="s">
        <v>111</v>
      </c>
      <c r="L82" s="50">
        <v>0.20820627088792421</v>
      </c>
      <c r="M82" s="51" t="s">
        <v>111</v>
      </c>
    </row>
    <row r="83" spans="1:13" x14ac:dyDescent="0.25">
      <c r="A83" s="8">
        <v>79</v>
      </c>
      <c r="B83" s="24">
        <v>188551314367.534</v>
      </c>
      <c r="C83" s="24">
        <v>451295000000</v>
      </c>
      <c r="D83" s="25">
        <v>0.20890029179088401</v>
      </c>
      <c r="E83" t="s">
        <v>111</v>
      </c>
      <c r="F83" s="25">
        <v>0.20890029179088401</v>
      </c>
      <c r="G83" t="s">
        <v>111</v>
      </c>
      <c r="H83" s="25">
        <v>0.20890029179088401</v>
      </c>
      <c r="I83" t="s">
        <v>111</v>
      </c>
      <c r="J83" s="25">
        <v>0.20890029179088401</v>
      </c>
      <c r="K83" t="s">
        <v>111</v>
      </c>
      <c r="L83" s="25">
        <v>0.20890029179088401</v>
      </c>
      <c r="M83" t="s">
        <v>111</v>
      </c>
    </row>
    <row r="84" spans="1:13" x14ac:dyDescent="0.25">
      <c r="A84" s="48">
        <v>80</v>
      </c>
      <c r="B84" s="49">
        <v>189179818748.75909</v>
      </c>
      <c r="C84" s="49">
        <v>451295000000</v>
      </c>
      <c r="D84" s="50">
        <v>0.20959662609685359</v>
      </c>
      <c r="E84" s="51" t="s">
        <v>111</v>
      </c>
      <c r="F84" s="50">
        <v>0.20959662609685359</v>
      </c>
      <c r="G84" s="51" t="s">
        <v>111</v>
      </c>
      <c r="H84" s="50">
        <v>0.20959662609685359</v>
      </c>
      <c r="I84" s="51" t="s">
        <v>111</v>
      </c>
      <c r="J84" s="50">
        <v>0.20959662609685359</v>
      </c>
      <c r="K84" s="51" t="s">
        <v>111</v>
      </c>
      <c r="L84" s="50">
        <v>0.20959662609685359</v>
      </c>
      <c r="M84" s="51" t="s">
        <v>111</v>
      </c>
    </row>
    <row r="85" spans="1:13" x14ac:dyDescent="0.25">
      <c r="A85" s="8">
        <v>81</v>
      </c>
      <c r="B85" s="24">
        <v>189810418144.58829</v>
      </c>
      <c r="C85" s="24">
        <v>451295000000</v>
      </c>
      <c r="D85" s="25">
        <v>0.21029528151717641</v>
      </c>
      <c r="E85" t="s">
        <v>111</v>
      </c>
      <c r="F85" s="25">
        <v>0.21029528151717641</v>
      </c>
      <c r="G85" t="s">
        <v>111</v>
      </c>
      <c r="H85" s="25">
        <v>0.21029528151717641</v>
      </c>
      <c r="I85" t="s">
        <v>111</v>
      </c>
      <c r="J85" s="25">
        <v>0.21029528151717641</v>
      </c>
      <c r="K85" t="s">
        <v>111</v>
      </c>
      <c r="L85" s="25">
        <v>0.21029528151717641</v>
      </c>
      <c r="M85" t="s">
        <v>111</v>
      </c>
    </row>
    <row r="86" spans="1:13" x14ac:dyDescent="0.25">
      <c r="A86" s="48">
        <v>82</v>
      </c>
      <c r="B86" s="49">
        <v>190443119538.40359</v>
      </c>
      <c r="C86" s="49">
        <v>451295000000</v>
      </c>
      <c r="D86" s="50">
        <v>0.21099626578890041</v>
      </c>
      <c r="E86" s="51" t="s">
        <v>111</v>
      </c>
      <c r="F86" s="50">
        <v>0.21099626578890041</v>
      </c>
      <c r="G86" s="51" t="s">
        <v>111</v>
      </c>
      <c r="H86" s="50">
        <v>0.21099626578890041</v>
      </c>
      <c r="I86" s="51" t="s">
        <v>111</v>
      </c>
      <c r="J86" s="50">
        <v>0.21099626578890041</v>
      </c>
      <c r="K86" s="51" t="s">
        <v>111</v>
      </c>
      <c r="L86" s="50">
        <v>0.21099626578890041</v>
      </c>
      <c r="M86" s="51" t="s">
        <v>111</v>
      </c>
    </row>
    <row r="87" spans="1:13" x14ac:dyDescent="0.25">
      <c r="A87" s="8">
        <v>83</v>
      </c>
      <c r="B87" s="24">
        <v>191077929936.86499</v>
      </c>
      <c r="C87" s="24">
        <v>451295000000</v>
      </c>
      <c r="D87" s="25">
        <v>0.21169958667486341</v>
      </c>
      <c r="E87" t="s">
        <v>111</v>
      </c>
      <c r="F87" s="25">
        <v>0.21169958667486341</v>
      </c>
      <c r="G87" t="s">
        <v>111</v>
      </c>
      <c r="H87" s="25">
        <v>0.21169958667486341</v>
      </c>
      <c r="I87" t="s">
        <v>111</v>
      </c>
      <c r="J87" s="25">
        <v>0.21169958667486341</v>
      </c>
      <c r="K87" t="s">
        <v>111</v>
      </c>
      <c r="L87" s="25">
        <v>0.21169958667486341</v>
      </c>
      <c r="M87" t="s">
        <v>111</v>
      </c>
    </row>
    <row r="88" spans="1:13" x14ac:dyDescent="0.25">
      <c r="A88" s="48">
        <v>84</v>
      </c>
      <c r="B88" s="49">
        <v>191714856369.98792</v>
      </c>
      <c r="C88" s="49">
        <v>451295000000</v>
      </c>
      <c r="D88" s="50">
        <v>0.21240525196377971</v>
      </c>
      <c r="E88" s="51" t="s">
        <v>111</v>
      </c>
      <c r="F88" s="50">
        <v>0.21240525196377971</v>
      </c>
      <c r="G88" s="51" t="s">
        <v>111</v>
      </c>
      <c r="H88" s="50">
        <v>0.21240525196377971</v>
      </c>
      <c r="I88" s="51" t="s">
        <v>111</v>
      </c>
      <c r="J88" s="50">
        <v>0.21240525196377971</v>
      </c>
      <c r="K88" s="51" t="s">
        <v>111</v>
      </c>
      <c r="L88" s="50">
        <v>0.21240525196377971</v>
      </c>
      <c r="M88" s="51" t="s">
        <v>111</v>
      </c>
    </row>
    <row r="89" spans="1:13" x14ac:dyDescent="0.25">
      <c r="A89" s="8">
        <v>85</v>
      </c>
      <c r="B89" s="24">
        <v>192353905891.22119</v>
      </c>
      <c r="C89" s="24">
        <v>451295000000</v>
      </c>
      <c r="D89" s="25">
        <v>0.21311326947032561</v>
      </c>
      <c r="E89" t="s">
        <v>111</v>
      </c>
      <c r="F89" s="25">
        <v>0.21311326947032561</v>
      </c>
      <c r="G89" t="s">
        <v>111</v>
      </c>
      <c r="H89" s="25">
        <v>0.21311326947032561</v>
      </c>
      <c r="I89" t="s">
        <v>111</v>
      </c>
      <c r="J89" s="25">
        <v>0.21311326947032561</v>
      </c>
      <c r="K89" t="s">
        <v>111</v>
      </c>
      <c r="L89" s="25">
        <v>0.21311326947032561</v>
      </c>
      <c r="M89" t="s">
        <v>111</v>
      </c>
    </row>
    <row r="90" spans="1:13" x14ac:dyDescent="0.25">
      <c r="A90" s="48">
        <v>86</v>
      </c>
      <c r="B90" s="49">
        <v>192995085577.5253</v>
      </c>
      <c r="C90" s="49">
        <v>451295000000</v>
      </c>
      <c r="D90" s="50">
        <v>0.21382364703522669</v>
      </c>
      <c r="E90" s="51" t="s">
        <v>111</v>
      </c>
      <c r="F90" s="50">
        <v>0.21382364703522669</v>
      </c>
      <c r="G90" s="51" t="s">
        <v>111</v>
      </c>
      <c r="H90" s="50">
        <v>0.21382364703522669</v>
      </c>
      <c r="I90" s="51" t="s">
        <v>111</v>
      </c>
      <c r="J90" s="50">
        <v>0.21382364703522669</v>
      </c>
      <c r="K90" s="51" t="s">
        <v>111</v>
      </c>
      <c r="L90" s="50">
        <v>0.21382364703522669</v>
      </c>
      <c r="M90" s="51" t="s">
        <v>111</v>
      </c>
    </row>
    <row r="91" spans="1:13" x14ac:dyDescent="0.25">
      <c r="A91" s="8">
        <v>87</v>
      </c>
      <c r="B91" s="24">
        <v>193638402529.45041</v>
      </c>
      <c r="C91" s="24">
        <v>451295000000</v>
      </c>
      <c r="D91" s="25">
        <v>0.21453639252534409</v>
      </c>
      <c r="E91" t="s">
        <v>111</v>
      </c>
      <c r="F91" s="25">
        <v>0.21453639252534409</v>
      </c>
      <c r="G91" t="s">
        <v>111</v>
      </c>
      <c r="H91" s="25">
        <v>0.21453639252534409</v>
      </c>
      <c r="I91" t="s">
        <v>111</v>
      </c>
      <c r="J91" s="25">
        <v>0.21453639252534409</v>
      </c>
      <c r="K91" t="s">
        <v>111</v>
      </c>
      <c r="L91" s="25">
        <v>0.21453639252534409</v>
      </c>
      <c r="M91" t="s">
        <v>111</v>
      </c>
    </row>
    <row r="92" spans="1:13" x14ac:dyDescent="0.25">
      <c r="A92" s="48">
        <v>88</v>
      </c>
      <c r="B92" s="49">
        <v>194283863871.21521</v>
      </c>
      <c r="C92" s="49">
        <v>451295000000</v>
      </c>
      <c r="D92" s="50">
        <v>0.21525151383376201</v>
      </c>
      <c r="E92" s="51" t="s">
        <v>111</v>
      </c>
      <c r="F92" s="50">
        <v>0.21525151383376201</v>
      </c>
      <c r="G92" s="51" t="s">
        <v>111</v>
      </c>
      <c r="H92" s="50">
        <v>0.21525151383376201</v>
      </c>
      <c r="I92" s="51" t="s">
        <v>111</v>
      </c>
      <c r="J92" s="50">
        <v>0.21525151383376201</v>
      </c>
      <c r="K92" s="51" t="s">
        <v>111</v>
      </c>
      <c r="L92" s="50">
        <v>0.21525151383376201</v>
      </c>
      <c r="M92" s="51" t="s">
        <v>111</v>
      </c>
    </row>
    <row r="93" spans="1:13" x14ac:dyDescent="0.25">
      <c r="A93" s="8">
        <v>89</v>
      </c>
      <c r="B93" s="24">
        <v>194931476750.78589</v>
      </c>
      <c r="C93" s="24">
        <v>451295000000</v>
      </c>
      <c r="D93" s="25">
        <v>0.21596901887987449</v>
      </c>
      <c r="E93" t="s">
        <v>111</v>
      </c>
      <c r="F93" s="25">
        <v>0.21596901887987449</v>
      </c>
      <c r="G93" t="s">
        <v>111</v>
      </c>
      <c r="H93" s="25">
        <v>0.21596901887987449</v>
      </c>
      <c r="I93" t="s">
        <v>111</v>
      </c>
      <c r="J93" s="25">
        <v>0.21596901887987449</v>
      </c>
      <c r="K93" t="s">
        <v>111</v>
      </c>
      <c r="L93" s="25">
        <v>0.21596901887987449</v>
      </c>
      <c r="M93" t="s">
        <v>111</v>
      </c>
    </row>
    <row r="94" spans="1:13" x14ac:dyDescent="0.25">
      <c r="A94" s="48">
        <v>90</v>
      </c>
      <c r="B94" s="49">
        <v>195581248339.95529</v>
      </c>
      <c r="C94" s="49">
        <v>451295000000</v>
      </c>
      <c r="D94" s="50">
        <v>0.21668891560947409</v>
      </c>
      <c r="E94" s="51" t="s">
        <v>111</v>
      </c>
      <c r="F94" s="50">
        <v>0.21668891560947409</v>
      </c>
      <c r="G94" s="51" t="s">
        <v>111</v>
      </c>
      <c r="H94" s="50">
        <v>0.21668891560947409</v>
      </c>
      <c r="I94" s="51" t="s">
        <v>111</v>
      </c>
      <c r="J94" s="50">
        <v>0.21668891560947409</v>
      </c>
      <c r="K94" s="51" t="s">
        <v>111</v>
      </c>
      <c r="L94" s="50">
        <v>0.21668891560947409</v>
      </c>
      <c r="M94" s="51" t="s">
        <v>111</v>
      </c>
    </row>
    <row r="95" spans="1:13" x14ac:dyDescent="0.25">
      <c r="A95" s="8">
        <v>91</v>
      </c>
      <c r="B95" s="24">
        <v>196233185834.42181</v>
      </c>
      <c r="C95" s="24">
        <v>451295000000</v>
      </c>
      <c r="D95" s="25">
        <v>0.21741121199483909</v>
      </c>
      <c r="E95" t="s">
        <v>111</v>
      </c>
      <c r="F95" s="25">
        <v>0.21741121199483909</v>
      </c>
      <c r="G95" t="s">
        <v>111</v>
      </c>
      <c r="H95" s="25">
        <v>0.21741121199483909</v>
      </c>
      <c r="I95" t="s">
        <v>111</v>
      </c>
      <c r="J95" s="25">
        <v>0.21741121199483909</v>
      </c>
      <c r="K95" t="s">
        <v>111</v>
      </c>
      <c r="L95" s="25">
        <v>0.21741121199483909</v>
      </c>
      <c r="M95" t="s">
        <v>111</v>
      </c>
    </row>
    <row r="96" spans="1:13" x14ac:dyDescent="0.25">
      <c r="A96" s="48">
        <v>92</v>
      </c>
      <c r="B96" s="49">
        <v>196887296453.86981</v>
      </c>
      <c r="C96" s="49">
        <v>451295000000</v>
      </c>
      <c r="D96" s="50">
        <v>0.2181359160348218</v>
      </c>
      <c r="E96" s="51" t="s">
        <v>111</v>
      </c>
      <c r="F96" s="50">
        <v>0.2181359160348218</v>
      </c>
      <c r="G96" s="51" t="s">
        <v>111</v>
      </c>
      <c r="H96" s="50">
        <v>0.2181359160348218</v>
      </c>
      <c r="I96" s="51" t="s">
        <v>111</v>
      </c>
      <c r="J96" s="50">
        <v>0.2181359160348218</v>
      </c>
      <c r="K96" s="51" t="s">
        <v>111</v>
      </c>
      <c r="L96" s="50">
        <v>0.2181359160348218</v>
      </c>
      <c r="M96" s="51" t="s">
        <v>111</v>
      </c>
    </row>
    <row r="97" spans="1:13" x14ac:dyDescent="0.25">
      <c r="A97" s="8">
        <v>93</v>
      </c>
      <c r="B97" s="24">
        <v>197543587442.0495</v>
      </c>
      <c r="C97" s="24">
        <v>451295000000</v>
      </c>
      <c r="D97" s="25">
        <v>0.21886303575493801</v>
      </c>
      <c r="E97" t="s">
        <v>111</v>
      </c>
      <c r="F97" s="25">
        <v>0.21886303575493801</v>
      </c>
      <c r="G97" t="s">
        <v>111</v>
      </c>
      <c r="H97" s="25">
        <v>0.21886303575493801</v>
      </c>
      <c r="I97" t="s">
        <v>111</v>
      </c>
      <c r="J97" s="25">
        <v>0.21886303575493801</v>
      </c>
      <c r="K97" t="s">
        <v>111</v>
      </c>
      <c r="L97" s="25">
        <v>0.21886303575493801</v>
      </c>
      <c r="M97" t="s">
        <v>111</v>
      </c>
    </row>
    <row r="98" spans="1:13" x14ac:dyDescent="0.25">
      <c r="A98" s="48">
        <v>94</v>
      </c>
      <c r="B98" s="49">
        <v>198202066066.85629</v>
      </c>
      <c r="C98" s="49">
        <v>451295000000</v>
      </c>
      <c r="D98" s="50">
        <v>0.21959257920745451</v>
      </c>
      <c r="E98" s="51" t="s">
        <v>111</v>
      </c>
      <c r="F98" s="50">
        <v>0.21959257920745451</v>
      </c>
      <c r="G98" s="51" t="s">
        <v>111</v>
      </c>
      <c r="H98" s="50">
        <v>0.21959257920745451</v>
      </c>
      <c r="I98" s="51" t="s">
        <v>111</v>
      </c>
      <c r="J98" s="50">
        <v>0.21959257920745451</v>
      </c>
      <c r="K98" s="51" t="s">
        <v>111</v>
      </c>
      <c r="L98" s="50">
        <v>0.21959257920745451</v>
      </c>
      <c r="M98" s="51" t="s">
        <v>111</v>
      </c>
    </row>
    <row r="99" spans="1:13" x14ac:dyDescent="0.25">
      <c r="A99" s="8">
        <v>95</v>
      </c>
      <c r="B99" s="24">
        <v>198862739620.41251</v>
      </c>
      <c r="C99" s="24">
        <v>451295000000</v>
      </c>
      <c r="D99" s="25">
        <v>0.22032455447147931</v>
      </c>
      <c r="E99" t="s">
        <v>111</v>
      </c>
      <c r="F99" s="25">
        <v>0.22032455447147931</v>
      </c>
      <c r="G99" t="s">
        <v>111</v>
      </c>
      <c r="H99" s="25">
        <v>0.22032455447147931</v>
      </c>
      <c r="I99" t="s">
        <v>111</v>
      </c>
      <c r="J99" s="25">
        <v>0.22032455447147931</v>
      </c>
      <c r="K99" t="s">
        <v>111</v>
      </c>
      <c r="L99" s="25">
        <v>0.22032455447147931</v>
      </c>
      <c r="M99" t="s">
        <v>111</v>
      </c>
    </row>
    <row r="100" spans="1:13" x14ac:dyDescent="0.25">
      <c r="A100" s="48">
        <v>96</v>
      </c>
      <c r="B100" s="49">
        <v>199525615419.14719</v>
      </c>
      <c r="C100" s="49">
        <v>451295000000</v>
      </c>
      <c r="D100" s="50">
        <v>0.22105896965305091</v>
      </c>
      <c r="E100" s="51" t="s">
        <v>111</v>
      </c>
      <c r="F100" s="50">
        <v>0.22105896965305091</v>
      </c>
      <c r="G100" s="51" t="s">
        <v>111</v>
      </c>
      <c r="H100" s="50">
        <v>0.22105896965305091</v>
      </c>
      <c r="I100" s="51" t="s">
        <v>111</v>
      </c>
      <c r="J100" s="50">
        <v>0.22105896965305091</v>
      </c>
      <c r="K100" s="51" t="s">
        <v>111</v>
      </c>
      <c r="L100" s="50">
        <v>0.22105896965305091</v>
      </c>
      <c r="M100" s="51" t="s">
        <v>111</v>
      </c>
    </row>
    <row r="101" spans="1:13" x14ac:dyDescent="0.25">
      <c r="A101" s="8">
        <v>97</v>
      </c>
      <c r="B101" s="24">
        <v>200190700803.87769</v>
      </c>
      <c r="C101" s="24">
        <v>451295000000</v>
      </c>
      <c r="D101" s="25">
        <v>0.22179583288522781</v>
      </c>
      <c r="E101" t="s">
        <v>111</v>
      </c>
      <c r="F101" s="25">
        <v>0.22179583288522781</v>
      </c>
      <c r="G101" t="s">
        <v>111</v>
      </c>
      <c r="H101" s="25">
        <v>0.22179583288522781</v>
      </c>
      <c r="I101" t="s">
        <v>111</v>
      </c>
      <c r="J101" s="25">
        <v>0.22179583288522781</v>
      </c>
      <c r="K101" t="s">
        <v>111</v>
      </c>
      <c r="L101" s="25">
        <v>0.22179583288522781</v>
      </c>
      <c r="M101" t="s">
        <v>111</v>
      </c>
    </row>
    <row r="102" spans="1:13" x14ac:dyDescent="0.25">
      <c r="A102" s="48">
        <v>98</v>
      </c>
      <c r="B102" s="49">
        <v>200858003139.89069</v>
      </c>
      <c r="C102" s="49">
        <v>451295000000</v>
      </c>
      <c r="D102" s="50">
        <v>0.2225351523281785</v>
      </c>
      <c r="E102" s="51" t="s">
        <v>111</v>
      </c>
      <c r="F102" s="50">
        <v>0.2225351523281785</v>
      </c>
      <c r="G102" s="51" t="s">
        <v>111</v>
      </c>
      <c r="H102" s="50">
        <v>0.2225351523281785</v>
      </c>
      <c r="I102" s="51" t="s">
        <v>111</v>
      </c>
      <c r="J102" s="50">
        <v>0.2225351523281785</v>
      </c>
      <c r="K102" s="51" t="s">
        <v>111</v>
      </c>
      <c r="L102" s="50">
        <v>0.2225351523281785</v>
      </c>
      <c r="M102" s="51" t="s">
        <v>111</v>
      </c>
    </row>
    <row r="103" spans="1:13" x14ac:dyDescent="0.25">
      <c r="A103" s="8">
        <v>99</v>
      </c>
      <c r="B103" s="24">
        <v>201527529817.02371</v>
      </c>
      <c r="C103" s="24">
        <v>451295000000</v>
      </c>
      <c r="D103" s="25">
        <v>0.22327693616927249</v>
      </c>
      <c r="E103" t="s">
        <v>111</v>
      </c>
      <c r="F103" s="25">
        <v>0.22327693616927249</v>
      </c>
      <c r="G103" t="s">
        <v>111</v>
      </c>
      <c r="H103" s="25">
        <v>0.22327693616927249</v>
      </c>
      <c r="I103" t="s">
        <v>111</v>
      </c>
      <c r="J103" s="25">
        <v>0.22327693616927249</v>
      </c>
      <c r="K103" t="s">
        <v>111</v>
      </c>
      <c r="L103" s="25">
        <v>0.22327693616927249</v>
      </c>
      <c r="M103" t="s">
        <v>111</v>
      </c>
    </row>
    <row r="104" spans="1:13" x14ac:dyDescent="0.25">
      <c r="A104" s="48">
        <v>100</v>
      </c>
      <c r="B104" s="49">
        <v>202199288249.7471</v>
      </c>
      <c r="C104" s="49">
        <v>451295000000</v>
      </c>
      <c r="D104" s="50">
        <v>0.22402119262317011</v>
      </c>
      <c r="E104" s="51" t="s">
        <v>111</v>
      </c>
      <c r="F104" s="50">
        <v>0.22402119262317011</v>
      </c>
      <c r="G104" s="51" t="s">
        <v>111</v>
      </c>
      <c r="H104" s="50">
        <v>0.22402119262317011</v>
      </c>
      <c r="I104" s="51" t="s">
        <v>111</v>
      </c>
      <c r="J104" s="50">
        <v>0.22402119262317011</v>
      </c>
      <c r="K104" s="51" t="s">
        <v>111</v>
      </c>
      <c r="L104" s="50">
        <v>0.22402119262317011</v>
      </c>
      <c r="M104" s="51" t="s">
        <v>111</v>
      </c>
    </row>
    <row r="105" spans="1:13" x14ac:dyDescent="0.25">
      <c r="A105" s="8">
        <v>101</v>
      </c>
      <c r="B105" s="24">
        <v>202873285877.24619</v>
      </c>
      <c r="C105" s="24">
        <v>451295000000</v>
      </c>
      <c r="D105" s="25">
        <v>0.224767929931914</v>
      </c>
      <c r="E105" t="s">
        <v>111</v>
      </c>
      <c r="F105" s="25">
        <v>0.224767929931914</v>
      </c>
      <c r="G105" t="s">
        <v>111</v>
      </c>
      <c r="H105" s="25">
        <v>0.224767929931914</v>
      </c>
      <c r="I105" t="s">
        <v>111</v>
      </c>
      <c r="J105" s="25">
        <v>0.224767929931914</v>
      </c>
      <c r="K105" t="s">
        <v>111</v>
      </c>
      <c r="L105" s="25">
        <v>0.224767929931914</v>
      </c>
      <c r="M105" t="s">
        <v>111</v>
      </c>
    </row>
    <row r="106" spans="1:13" x14ac:dyDescent="0.25">
      <c r="A106" s="48">
        <v>102</v>
      </c>
      <c r="B106" s="49">
        <v>203549530163.50381</v>
      </c>
      <c r="C106" s="49">
        <v>451295000000</v>
      </c>
      <c r="D106" s="50">
        <v>0.2255171563650204</v>
      </c>
      <c r="E106" s="51" t="s">
        <v>111</v>
      </c>
      <c r="F106" s="50">
        <v>0.2255171563650204</v>
      </c>
      <c r="G106" s="51" t="s">
        <v>111</v>
      </c>
      <c r="H106" s="50">
        <v>0.2255171563650204</v>
      </c>
      <c r="I106" s="51" t="s">
        <v>111</v>
      </c>
      <c r="J106" s="50">
        <v>0.2255171563650204</v>
      </c>
      <c r="K106" s="51" t="s">
        <v>111</v>
      </c>
      <c r="L106" s="50">
        <v>0.2255171563650204</v>
      </c>
      <c r="M106" s="51" t="s">
        <v>111</v>
      </c>
    </row>
    <row r="107" spans="1:13" x14ac:dyDescent="0.25">
      <c r="A107" s="8">
        <v>103</v>
      </c>
      <c r="B107" s="24">
        <v>204228028597.38211</v>
      </c>
      <c r="C107" s="24">
        <v>451295000000</v>
      </c>
      <c r="D107" s="25">
        <v>0.22626888021957051</v>
      </c>
      <c r="E107" t="s">
        <v>111</v>
      </c>
      <c r="F107" s="25">
        <v>0.22626888021957051</v>
      </c>
      <c r="G107" t="s">
        <v>111</v>
      </c>
      <c r="H107" s="25">
        <v>0.22626888021957051</v>
      </c>
      <c r="I107" t="s">
        <v>111</v>
      </c>
      <c r="J107" s="25">
        <v>0.22626888021957051</v>
      </c>
      <c r="K107" t="s">
        <v>111</v>
      </c>
      <c r="L107" s="25">
        <v>0.22626888021957051</v>
      </c>
      <c r="M107" t="s">
        <v>111</v>
      </c>
    </row>
    <row r="108" spans="1:13" x14ac:dyDescent="0.25">
      <c r="A108" s="48">
        <v>104</v>
      </c>
      <c r="B108" s="49">
        <v>204908788692.7067</v>
      </c>
      <c r="C108" s="49">
        <v>451295000000</v>
      </c>
      <c r="D108" s="50">
        <v>0.22702310982030241</v>
      </c>
      <c r="E108" s="51" t="s">
        <v>111</v>
      </c>
      <c r="F108" s="50">
        <v>0.22702310982030241</v>
      </c>
      <c r="G108" s="51" t="s">
        <v>111</v>
      </c>
      <c r="H108" s="50">
        <v>0.22702310982030241</v>
      </c>
      <c r="I108" s="51" t="s">
        <v>111</v>
      </c>
      <c r="J108" s="50">
        <v>0.22702310982030241</v>
      </c>
      <c r="K108" s="51" t="s">
        <v>111</v>
      </c>
      <c r="L108" s="50">
        <v>0.22702310982030241</v>
      </c>
      <c r="M108" s="51" t="s">
        <v>111</v>
      </c>
    </row>
    <row r="109" spans="1:13" x14ac:dyDescent="0.25">
      <c r="A109" s="8">
        <v>105</v>
      </c>
      <c r="B109" s="24">
        <v>205591817988.34909</v>
      </c>
      <c r="C109" s="24">
        <v>451295000000</v>
      </c>
      <c r="D109" s="25">
        <v>0.2277798535197034</v>
      </c>
      <c r="E109" t="s">
        <v>111</v>
      </c>
      <c r="F109" s="25">
        <v>0.2277798535197034</v>
      </c>
      <c r="G109" t="s">
        <v>111</v>
      </c>
      <c r="H109" s="25">
        <v>0.2277798535197034</v>
      </c>
      <c r="I109" t="s">
        <v>111</v>
      </c>
      <c r="J109" s="25">
        <v>0.2277798535197034</v>
      </c>
      <c r="K109" t="s">
        <v>111</v>
      </c>
      <c r="L109" s="25">
        <v>0.2277798535197034</v>
      </c>
      <c r="M109" t="s">
        <v>111</v>
      </c>
    </row>
    <row r="110" spans="1:13" x14ac:dyDescent="0.25">
      <c r="A110" s="48">
        <v>106</v>
      </c>
      <c r="B110" s="49">
        <v>206277124048.3103</v>
      </c>
      <c r="C110" s="49">
        <v>451295000000</v>
      </c>
      <c r="D110" s="50">
        <v>0.22853911969810251</v>
      </c>
      <c r="E110" s="51" t="s">
        <v>111</v>
      </c>
      <c r="F110" s="50">
        <v>0.22853911969810251</v>
      </c>
      <c r="G110" s="51" t="s">
        <v>111</v>
      </c>
      <c r="H110" s="50">
        <v>0.22853911969810251</v>
      </c>
      <c r="I110" s="51" t="s">
        <v>111</v>
      </c>
      <c r="J110" s="50">
        <v>0.22853911969810251</v>
      </c>
      <c r="K110" s="51" t="s">
        <v>111</v>
      </c>
      <c r="L110" s="50">
        <v>0.22853911969810251</v>
      </c>
      <c r="M110" s="51" t="s">
        <v>111</v>
      </c>
    </row>
    <row r="111" spans="1:13" x14ac:dyDescent="0.25">
      <c r="A111" s="8">
        <v>107</v>
      </c>
      <c r="B111" s="24">
        <v>206964714461.80469</v>
      </c>
      <c r="C111" s="24">
        <v>451295000000</v>
      </c>
      <c r="D111" s="25">
        <v>0.2293009167637628</v>
      </c>
      <c r="E111" t="s">
        <v>111</v>
      </c>
      <c r="F111" s="25">
        <v>0.2293009167637628</v>
      </c>
      <c r="G111" t="s">
        <v>111</v>
      </c>
      <c r="H111" s="25">
        <v>0.2293009167637628</v>
      </c>
      <c r="I111" t="s">
        <v>111</v>
      </c>
      <c r="J111" s="25">
        <v>0.2293009167637628</v>
      </c>
      <c r="K111" t="s">
        <v>111</v>
      </c>
      <c r="L111" s="25">
        <v>0.2293009167637628</v>
      </c>
      <c r="M111" t="s">
        <v>111</v>
      </c>
    </row>
    <row r="112" spans="1:13" x14ac:dyDescent="0.25">
      <c r="A112" s="48">
        <v>108</v>
      </c>
      <c r="B112" s="49">
        <v>207654596843.34409</v>
      </c>
      <c r="C112" s="49">
        <v>451295000000</v>
      </c>
      <c r="D112" s="50">
        <v>0.23006525315297541</v>
      </c>
      <c r="E112" s="51" t="s">
        <v>111</v>
      </c>
      <c r="F112" s="50">
        <v>0.23006525315297541</v>
      </c>
      <c r="G112" s="51" t="s">
        <v>111</v>
      </c>
      <c r="H112" s="50">
        <v>0.23006525315297541</v>
      </c>
      <c r="I112" s="51" t="s">
        <v>111</v>
      </c>
      <c r="J112" s="50">
        <v>0.23006525315297541</v>
      </c>
      <c r="K112" s="51" t="s">
        <v>111</v>
      </c>
      <c r="L112" s="50">
        <v>0.23006525315297541</v>
      </c>
      <c r="M112" s="51" t="s">
        <v>111</v>
      </c>
    </row>
    <row r="113" spans="1:13" x14ac:dyDescent="0.25">
      <c r="A113" s="8">
        <v>109</v>
      </c>
      <c r="B113" s="24">
        <v>208346778832.8219</v>
      </c>
      <c r="C113" s="24">
        <v>451295000000</v>
      </c>
      <c r="D113" s="25">
        <v>0.23083213733015201</v>
      </c>
      <c r="E113" t="s">
        <v>111</v>
      </c>
      <c r="F113" s="25">
        <v>0.23083213733015201</v>
      </c>
      <c r="G113" t="s">
        <v>111</v>
      </c>
      <c r="H113" s="25">
        <v>0.23083213733015201</v>
      </c>
      <c r="I113" t="s">
        <v>111</v>
      </c>
      <c r="J113" s="25">
        <v>0.23083213733015201</v>
      </c>
      <c r="K113" t="s">
        <v>111</v>
      </c>
      <c r="L113" s="25">
        <v>0.23083213733015201</v>
      </c>
      <c r="M113" t="s">
        <v>111</v>
      </c>
    </row>
    <row r="114" spans="1:13" x14ac:dyDescent="0.25">
      <c r="A114" s="48">
        <v>110</v>
      </c>
      <c r="B114" s="49">
        <v>209041268095.59799</v>
      </c>
      <c r="C114" s="49">
        <v>451295000000</v>
      </c>
      <c r="D114" s="50">
        <v>0.23160157778791921</v>
      </c>
      <c r="E114" s="51" t="s">
        <v>111</v>
      </c>
      <c r="F114" s="50">
        <v>0.23160157778791921</v>
      </c>
      <c r="G114" s="51" t="s">
        <v>111</v>
      </c>
      <c r="H114" s="50">
        <v>0.23160157778791921</v>
      </c>
      <c r="I114" s="51" t="s">
        <v>111</v>
      </c>
      <c r="J114" s="50">
        <v>0.23160157778791921</v>
      </c>
      <c r="K114" s="51" t="s">
        <v>111</v>
      </c>
      <c r="L114" s="50">
        <v>0.23160157778791921</v>
      </c>
      <c r="M114" s="51" t="s">
        <v>111</v>
      </c>
    </row>
    <row r="115" spans="1:13" x14ac:dyDescent="0.25">
      <c r="A115" s="8">
        <v>111</v>
      </c>
      <c r="B115" s="24">
        <v>209738072322.58331</v>
      </c>
      <c r="C115" s="24">
        <v>451295000000</v>
      </c>
      <c r="D115" s="25">
        <v>0.23237358304721231</v>
      </c>
      <c r="E115" t="s">
        <v>111</v>
      </c>
      <c r="F115" s="25">
        <v>0.23237358304721231</v>
      </c>
      <c r="G115" t="s">
        <v>111</v>
      </c>
      <c r="H115" s="25">
        <v>0.23237358304721231</v>
      </c>
      <c r="I115" t="s">
        <v>111</v>
      </c>
      <c r="J115" s="25">
        <v>0.23237358304721231</v>
      </c>
      <c r="K115" t="s">
        <v>111</v>
      </c>
      <c r="L115" s="25">
        <v>0.23237358304721231</v>
      </c>
      <c r="M115" t="s">
        <v>111</v>
      </c>
    </row>
    <row r="116" spans="1:13" x14ac:dyDescent="0.25">
      <c r="A116" s="48">
        <v>112</v>
      </c>
      <c r="B116" s="49">
        <v>210437199230.32529</v>
      </c>
      <c r="C116" s="49">
        <v>451295000000</v>
      </c>
      <c r="D116" s="50">
        <v>0.23314816165736971</v>
      </c>
      <c r="E116" s="51" t="s">
        <v>111</v>
      </c>
      <c r="F116" s="50">
        <v>0.23314816165736971</v>
      </c>
      <c r="G116" s="51" t="s">
        <v>111</v>
      </c>
      <c r="H116" s="50">
        <v>0.23314816165736971</v>
      </c>
      <c r="I116" s="51" t="s">
        <v>111</v>
      </c>
      <c r="J116" s="50">
        <v>0.23314816165736971</v>
      </c>
      <c r="K116" s="51" t="s">
        <v>111</v>
      </c>
      <c r="L116" s="50">
        <v>0.23314816165736971</v>
      </c>
      <c r="M116" s="51" t="s">
        <v>111</v>
      </c>
    </row>
    <row r="117" spans="1:13" x14ac:dyDescent="0.25">
      <c r="A117" s="8">
        <v>113</v>
      </c>
      <c r="B117" s="24">
        <v>211138656561.09299</v>
      </c>
      <c r="C117" s="24">
        <v>451295000000</v>
      </c>
      <c r="D117" s="25">
        <v>0.23392532219622761</v>
      </c>
      <c r="E117" t="s">
        <v>111</v>
      </c>
      <c r="F117" s="25">
        <v>0.23392532219622761</v>
      </c>
      <c r="G117" t="s">
        <v>111</v>
      </c>
      <c r="H117" s="25">
        <v>0.23392532219622761</v>
      </c>
      <c r="I117" t="s">
        <v>111</v>
      </c>
      <c r="J117" s="25">
        <v>0.23392532219622761</v>
      </c>
      <c r="K117" t="s">
        <v>111</v>
      </c>
      <c r="L117" s="25">
        <v>0.23392532219622761</v>
      </c>
      <c r="M117" t="s">
        <v>111</v>
      </c>
    </row>
    <row r="118" spans="1:13" x14ac:dyDescent="0.25">
      <c r="A118" s="48">
        <v>114</v>
      </c>
      <c r="B118" s="49">
        <v>211842452082.96329</v>
      </c>
      <c r="C118" s="49">
        <v>451295000000</v>
      </c>
      <c r="D118" s="50">
        <v>0.234705073270215</v>
      </c>
      <c r="E118" s="51" t="s">
        <v>111</v>
      </c>
      <c r="F118" s="50">
        <v>0.234705073270215</v>
      </c>
      <c r="G118" s="51" t="s">
        <v>111</v>
      </c>
      <c r="H118" s="50">
        <v>0.234705073270215</v>
      </c>
      <c r="I118" s="51" t="s">
        <v>111</v>
      </c>
      <c r="J118" s="50">
        <v>0.234705073270215</v>
      </c>
      <c r="K118" s="51" t="s">
        <v>111</v>
      </c>
      <c r="L118" s="50">
        <v>0.234705073270215</v>
      </c>
      <c r="M118" s="51" t="s">
        <v>111</v>
      </c>
    </row>
    <row r="119" spans="1:13" x14ac:dyDescent="0.25">
      <c r="A119" s="8">
        <v>115</v>
      </c>
      <c r="B119" s="24">
        <v>212548593589.90659</v>
      </c>
      <c r="C119" s="24">
        <v>451295000000</v>
      </c>
      <c r="D119" s="25">
        <v>0.2354874235144491</v>
      </c>
      <c r="E119" t="s">
        <v>111</v>
      </c>
      <c r="F119" s="25">
        <v>0.2354874235144491</v>
      </c>
      <c r="G119" t="s">
        <v>111</v>
      </c>
      <c r="H119" s="25">
        <v>0.2354874235144491</v>
      </c>
      <c r="I119" t="s">
        <v>111</v>
      </c>
      <c r="J119" s="25">
        <v>0.2354874235144491</v>
      </c>
      <c r="K119" t="s">
        <v>111</v>
      </c>
      <c r="L119" s="25">
        <v>0.2354874235144491</v>
      </c>
      <c r="M119" t="s">
        <v>111</v>
      </c>
    </row>
    <row r="120" spans="1:13" x14ac:dyDescent="0.25">
      <c r="A120" s="48">
        <v>116</v>
      </c>
      <c r="B120" s="49">
        <v>213257088901.87299</v>
      </c>
      <c r="C120" s="49">
        <v>451295000000</v>
      </c>
      <c r="D120" s="50">
        <v>0.23627238159283059</v>
      </c>
      <c r="E120" s="51" t="s">
        <v>111</v>
      </c>
      <c r="F120" s="50">
        <v>0.23627238159283059</v>
      </c>
      <c r="G120" s="51" t="s">
        <v>111</v>
      </c>
      <c r="H120" s="50">
        <v>0.23627238159283059</v>
      </c>
      <c r="I120" s="51" t="s">
        <v>111</v>
      </c>
      <c r="J120" s="50">
        <v>0.23627238159283059</v>
      </c>
      <c r="K120" s="51" t="s">
        <v>111</v>
      </c>
      <c r="L120" s="50">
        <v>0.23627238159283059</v>
      </c>
      <c r="M120" s="51" t="s">
        <v>111</v>
      </c>
    </row>
    <row r="121" spans="1:13" x14ac:dyDescent="0.25">
      <c r="A121" s="8">
        <v>117</v>
      </c>
      <c r="B121" s="24">
        <v>213967945864.87921</v>
      </c>
      <c r="C121" s="24">
        <v>451295000000</v>
      </c>
      <c r="D121" s="25">
        <v>0.23705995619813999</v>
      </c>
      <c r="E121" t="s">
        <v>111</v>
      </c>
      <c r="F121" s="25">
        <v>0.23705995619813999</v>
      </c>
      <c r="G121" t="s">
        <v>111</v>
      </c>
      <c r="H121" s="25">
        <v>0.23705995619813999</v>
      </c>
      <c r="I121" t="s">
        <v>111</v>
      </c>
      <c r="J121" s="25">
        <v>0.23705995619813999</v>
      </c>
      <c r="K121" t="s">
        <v>111</v>
      </c>
      <c r="L121" s="25">
        <v>0.23705995619813999</v>
      </c>
      <c r="M121" t="s">
        <v>111</v>
      </c>
    </row>
    <row r="122" spans="1:13" x14ac:dyDescent="0.25">
      <c r="A122" s="48">
        <v>118</v>
      </c>
      <c r="B122" s="49">
        <v>214681172351.09549</v>
      </c>
      <c r="C122" s="49">
        <v>451295000000</v>
      </c>
      <c r="D122" s="50">
        <v>0.23785015605213389</v>
      </c>
      <c r="E122" s="51" t="s">
        <v>111</v>
      </c>
      <c r="F122" s="50">
        <v>0.23785015605213389</v>
      </c>
      <c r="G122" s="51" t="s">
        <v>111</v>
      </c>
      <c r="H122" s="50">
        <v>0.23785015605213389</v>
      </c>
      <c r="I122" s="51" t="s">
        <v>111</v>
      </c>
      <c r="J122" s="50">
        <v>0.23785015605213389</v>
      </c>
      <c r="K122" s="51" t="s">
        <v>111</v>
      </c>
      <c r="L122" s="50">
        <v>0.23785015605213389</v>
      </c>
      <c r="M122" s="51" t="s">
        <v>111</v>
      </c>
    </row>
    <row r="123" spans="1:13" x14ac:dyDescent="0.25">
      <c r="A123" s="8">
        <v>119</v>
      </c>
      <c r="B123" s="24">
        <v>215396776258.9325</v>
      </c>
      <c r="C123" s="24">
        <v>451295000000</v>
      </c>
      <c r="D123" s="25">
        <v>0.23864298990564101</v>
      </c>
      <c r="E123" t="s">
        <v>111</v>
      </c>
      <c r="F123" s="25">
        <v>0.23864298990564101</v>
      </c>
      <c r="G123" t="s">
        <v>111</v>
      </c>
      <c r="H123" s="25">
        <v>0.23864298990564101</v>
      </c>
      <c r="I123" t="s">
        <v>111</v>
      </c>
      <c r="J123" s="25">
        <v>0.23864298990564101</v>
      </c>
      <c r="K123" t="s">
        <v>111</v>
      </c>
      <c r="L123" s="25">
        <v>0.23864298990564101</v>
      </c>
      <c r="M123" t="s">
        <v>111</v>
      </c>
    </row>
    <row r="124" spans="1:13" x14ac:dyDescent="0.25">
      <c r="A124" s="48">
        <v>120</v>
      </c>
      <c r="B124" s="49">
        <v>216114765513.129</v>
      </c>
      <c r="C124" s="49">
        <v>451295000000</v>
      </c>
      <c r="D124" s="50">
        <v>0.2394384665386598</v>
      </c>
      <c r="E124" s="51" t="s">
        <v>111</v>
      </c>
      <c r="F124" s="50">
        <v>0.2394384665386598</v>
      </c>
      <c r="G124" s="51" t="s">
        <v>111</v>
      </c>
      <c r="H124" s="50">
        <v>0.2394384665386598</v>
      </c>
      <c r="I124" s="51" t="s">
        <v>111</v>
      </c>
      <c r="J124" s="50">
        <v>0.2394384665386598</v>
      </c>
      <c r="K124" s="51" t="s">
        <v>111</v>
      </c>
      <c r="L124" s="50">
        <v>0.2394384665386598</v>
      </c>
      <c r="M124" s="51" t="s">
        <v>111</v>
      </c>
    </row>
    <row r="125" spans="1:13" x14ac:dyDescent="0.25">
      <c r="A125" s="8">
        <v>121</v>
      </c>
      <c r="B125" s="24">
        <v>216835148064.83939</v>
      </c>
      <c r="C125" s="24">
        <v>451295000000</v>
      </c>
      <c r="D125" s="25">
        <v>0.24023659476045531</v>
      </c>
      <c r="E125" t="s">
        <v>111</v>
      </c>
      <c r="F125" s="25">
        <v>0.24023659476045531</v>
      </c>
      <c r="G125" t="s">
        <v>111</v>
      </c>
      <c r="H125" s="25">
        <v>0.24023659476045531</v>
      </c>
      <c r="I125" t="s">
        <v>111</v>
      </c>
      <c r="J125" s="25">
        <v>0.24023659476045531</v>
      </c>
      <c r="K125" t="s">
        <v>111</v>
      </c>
      <c r="L125" s="25">
        <v>0.24023659476045531</v>
      </c>
      <c r="M125" t="s">
        <v>111</v>
      </c>
    </row>
    <row r="126" spans="1:13" x14ac:dyDescent="0.25">
      <c r="A126" s="48">
        <v>122</v>
      </c>
      <c r="B126" s="49">
        <v>217557931891.7222</v>
      </c>
      <c r="C126" s="49">
        <v>451295000000</v>
      </c>
      <c r="D126" s="50">
        <v>0.24103738340965691</v>
      </c>
      <c r="E126" s="51" t="s">
        <v>111</v>
      </c>
      <c r="F126" s="50">
        <v>0.24103738340965691</v>
      </c>
      <c r="G126" s="51" t="s">
        <v>111</v>
      </c>
      <c r="H126" s="50">
        <v>0.24103738340965691</v>
      </c>
      <c r="I126" s="51" t="s">
        <v>111</v>
      </c>
      <c r="J126" s="50">
        <v>0.24103738340965691</v>
      </c>
      <c r="K126" s="51" t="s">
        <v>111</v>
      </c>
      <c r="L126" s="50">
        <v>0.24103738340965691</v>
      </c>
      <c r="M126" s="51" t="s">
        <v>111</v>
      </c>
    </row>
    <row r="127" spans="1:13" x14ac:dyDescent="0.25">
      <c r="A127" s="8">
        <v>123</v>
      </c>
      <c r="B127" s="24">
        <v>218283124998.02802</v>
      </c>
      <c r="C127" s="24">
        <v>451295000000</v>
      </c>
      <c r="D127" s="25">
        <v>0.2418408413543558</v>
      </c>
      <c r="E127" t="s">
        <v>111</v>
      </c>
      <c r="F127" s="25">
        <v>0.2418408413543558</v>
      </c>
      <c r="G127" t="s">
        <v>111</v>
      </c>
      <c r="H127" s="25">
        <v>0.2418408413543558</v>
      </c>
      <c r="I127" t="s">
        <v>111</v>
      </c>
      <c r="J127" s="25">
        <v>0.2418408413543558</v>
      </c>
      <c r="K127" t="s">
        <v>111</v>
      </c>
      <c r="L127" s="25">
        <v>0.2418408413543558</v>
      </c>
      <c r="M127" t="s">
        <v>111</v>
      </c>
    </row>
    <row r="128" spans="1:13" x14ac:dyDescent="0.25">
      <c r="A128" s="48">
        <v>124</v>
      </c>
      <c r="B128" s="49">
        <v>219010735414.68811</v>
      </c>
      <c r="C128" s="49">
        <v>451295000000</v>
      </c>
      <c r="D128" s="50">
        <v>0.2426469774922036</v>
      </c>
      <c r="E128" s="51" t="s">
        <v>111</v>
      </c>
      <c r="F128" s="50">
        <v>0.2426469774922036</v>
      </c>
      <c r="G128" s="51" t="s">
        <v>111</v>
      </c>
      <c r="H128" s="50">
        <v>0.2426469774922036</v>
      </c>
      <c r="I128" s="51" t="s">
        <v>111</v>
      </c>
      <c r="J128" s="50">
        <v>0.2426469774922036</v>
      </c>
      <c r="K128" s="51" t="s">
        <v>111</v>
      </c>
      <c r="L128" s="50">
        <v>0.2426469774922036</v>
      </c>
      <c r="M128" s="51" t="s">
        <v>111</v>
      </c>
    </row>
    <row r="129" spans="1:13" x14ac:dyDescent="0.25">
      <c r="A129" s="8">
        <v>125</v>
      </c>
      <c r="B129" s="24">
        <v>219740771199.40369</v>
      </c>
      <c r="C129" s="24">
        <v>451295000000</v>
      </c>
      <c r="D129" s="25">
        <v>0.24345580075051099</v>
      </c>
      <c r="E129" t="s">
        <v>111</v>
      </c>
      <c r="F129" s="25">
        <v>0.24345580075051099</v>
      </c>
      <c r="G129" t="s">
        <v>111</v>
      </c>
      <c r="H129" s="25">
        <v>0.24345580075051099</v>
      </c>
      <c r="I129" t="s">
        <v>111</v>
      </c>
      <c r="J129" s="25">
        <v>0.24345580075051099</v>
      </c>
      <c r="K129" t="s">
        <v>111</v>
      </c>
      <c r="L129" s="25">
        <v>0.24345580075051099</v>
      </c>
      <c r="M129" t="s">
        <v>111</v>
      </c>
    </row>
    <row r="130" spans="1:13" x14ac:dyDescent="0.25">
      <c r="A130" s="48">
        <v>126</v>
      </c>
      <c r="B130" s="49">
        <v>220473240436.73511</v>
      </c>
      <c r="C130" s="49">
        <v>451295000000</v>
      </c>
      <c r="D130" s="50">
        <v>0.24426732008634611</v>
      </c>
      <c r="E130" s="51" t="s">
        <v>111</v>
      </c>
      <c r="F130" s="50">
        <v>0.24426732008634611</v>
      </c>
      <c r="G130" s="51" t="s">
        <v>111</v>
      </c>
      <c r="H130" s="50">
        <v>0.24426732008634611</v>
      </c>
      <c r="I130" s="51" t="s">
        <v>111</v>
      </c>
      <c r="J130" s="50">
        <v>0.24426732008634611</v>
      </c>
      <c r="K130" s="51" t="s">
        <v>111</v>
      </c>
      <c r="L130" s="50">
        <v>0.24426732008634611</v>
      </c>
      <c r="M130" s="51" t="s">
        <v>111</v>
      </c>
    </row>
    <row r="131" spans="1:13" x14ac:dyDescent="0.25">
      <c r="A131" s="8">
        <v>127</v>
      </c>
      <c r="B131" s="24">
        <v>221208151238.19089</v>
      </c>
      <c r="C131" s="24">
        <v>451295000000</v>
      </c>
      <c r="D131" s="25">
        <v>0.24508154448663391</v>
      </c>
      <c r="E131" t="s">
        <v>111</v>
      </c>
      <c r="F131" s="25">
        <v>0.24508154448663391</v>
      </c>
      <c r="G131" t="s">
        <v>111</v>
      </c>
      <c r="H131" s="25">
        <v>0.24508154448663391</v>
      </c>
      <c r="I131" t="s">
        <v>111</v>
      </c>
      <c r="J131" s="25">
        <v>0.24508154448663391</v>
      </c>
      <c r="K131" t="s">
        <v>111</v>
      </c>
      <c r="L131" s="25">
        <v>0.24508154448663391</v>
      </c>
      <c r="M131" t="s">
        <v>111</v>
      </c>
    </row>
    <row r="132" spans="1:13" x14ac:dyDescent="0.25">
      <c r="A132" s="48">
        <v>128</v>
      </c>
      <c r="B132" s="49">
        <v>221945511742.31821</v>
      </c>
      <c r="C132" s="49">
        <v>451295000000</v>
      </c>
      <c r="D132" s="50">
        <v>0.24589848296825609</v>
      </c>
      <c r="E132" s="51" t="s">
        <v>111</v>
      </c>
      <c r="F132" s="50">
        <v>0.24589848296825609</v>
      </c>
      <c r="G132" s="51" t="s">
        <v>111</v>
      </c>
      <c r="H132" s="50">
        <v>0.24589848296825609</v>
      </c>
      <c r="I132" s="51" t="s">
        <v>111</v>
      </c>
      <c r="J132" s="50">
        <v>0.24589848296825609</v>
      </c>
      <c r="K132" s="51" t="s">
        <v>111</v>
      </c>
      <c r="L132" s="50">
        <v>0.24589848296825609</v>
      </c>
      <c r="M132" s="51" t="s">
        <v>111</v>
      </c>
    </row>
    <row r="133" spans="1:13" x14ac:dyDescent="0.25">
      <c r="A133" s="8">
        <v>129</v>
      </c>
      <c r="B133" s="24">
        <v>222685330114.7926</v>
      </c>
      <c r="C133" s="24">
        <v>451295000000</v>
      </c>
      <c r="D133" s="25">
        <v>0.24671814457815019</v>
      </c>
      <c r="E133" t="s">
        <v>111</v>
      </c>
      <c r="F133" s="25">
        <v>0.24671814457815019</v>
      </c>
      <c r="G133" t="s">
        <v>111</v>
      </c>
      <c r="H133" s="25">
        <v>0.24671814457815019</v>
      </c>
      <c r="I133" t="s">
        <v>111</v>
      </c>
      <c r="J133" s="25">
        <v>0.24671814457815019</v>
      </c>
      <c r="K133" t="s">
        <v>111</v>
      </c>
      <c r="L133" s="25">
        <v>0.24671814457815019</v>
      </c>
      <c r="M133" t="s">
        <v>111</v>
      </c>
    </row>
    <row r="134" spans="1:13" x14ac:dyDescent="0.25">
      <c r="A134" s="48">
        <v>130</v>
      </c>
      <c r="B134" s="49">
        <v>223427614548.50861</v>
      </c>
      <c r="C134" s="49">
        <v>451295000000</v>
      </c>
      <c r="D134" s="50">
        <v>0.24754053839341081</v>
      </c>
      <c r="E134" s="51" t="s">
        <v>111</v>
      </c>
      <c r="F134" s="50">
        <v>0.24754053839341081</v>
      </c>
      <c r="G134" s="51" t="s">
        <v>111</v>
      </c>
      <c r="H134" s="50">
        <v>0.24754053839341081</v>
      </c>
      <c r="I134" s="51" t="s">
        <v>111</v>
      </c>
      <c r="J134" s="50">
        <v>0.24754053839341081</v>
      </c>
      <c r="K134" s="51" t="s">
        <v>111</v>
      </c>
      <c r="L134" s="50">
        <v>0.24754053839341081</v>
      </c>
      <c r="M134" s="51" t="s">
        <v>111</v>
      </c>
    </row>
    <row r="135" spans="1:13" x14ac:dyDescent="0.25">
      <c r="A135" s="8">
        <v>131</v>
      </c>
      <c r="B135" s="24">
        <v>224172373263.67029</v>
      </c>
      <c r="C135" s="24">
        <v>451295000000</v>
      </c>
      <c r="D135" s="25">
        <v>0.2483656735213888</v>
      </c>
      <c r="E135" t="s">
        <v>111</v>
      </c>
      <c r="F135" s="25">
        <v>0.2483656735213888</v>
      </c>
      <c r="G135" t="s">
        <v>111</v>
      </c>
      <c r="H135" s="25">
        <v>0.2483656735213888</v>
      </c>
      <c r="I135" t="s">
        <v>111</v>
      </c>
      <c r="J135" s="25">
        <v>0.2483656735213888</v>
      </c>
      <c r="K135" t="s">
        <v>111</v>
      </c>
      <c r="L135" s="25">
        <v>0.2483656735213888</v>
      </c>
      <c r="M135" t="s">
        <v>111</v>
      </c>
    </row>
    <row r="136" spans="1:13" x14ac:dyDescent="0.25">
      <c r="A136" s="48">
        <v>132</v>
      </c>
      <c r="B136" s="49">
        <v>224919614507.8826</v>
      </c>
      <c r="C136" s="49">
        <v>451295000000</v>
      </c>
      <c r="D136" s="50">
        <v>0.24919355909979349</v>
      </c>
      <c r="E136" s="51" t="s">
        <v>111</v>
      </c>
      <c r="F136" s="50">
        <v>0.24919355909979349</v>
      </c>
      <c r="G136" s="51" t="s">
        <v>111</v>
      </c>
      <c r="H136" s="50">
        <v>0.24919355909979349</v>
      </c>
      <c r="I136" s="51" t="s">
        <v>111</v>
      </c>
      <c r="J136" s="50">
        <v>0.24919355909979349</v>
      </c>
      <c r="K136" s="51" t="s">
        <v>111</v>
      </c>
      <c r="L136" s="50">
        <v>0.24919355909979349</v>
      </c>
      <c r="M136" s="51" t="s">
        <v>111</v>
      </c>
    </row>
    <row r="137" spans="1:13" x14ac:dyDescent="0.25">
      <c r="A137" s="8">
        <v>133</v>
      </c>
      <c r="B137" s="24">
        <v>225669346556.24219</v>
      </c>
      <c r="C137" s="24">
        <v>451295000000</v>
      </c>
      <c r="D137" s="25">
        <v>0.25002420429679278</v>
      </c>
      <c r="E137" t="s">
        <v>111</v>
      </c>
      <c r="F137" s="25">
        <v>0.25002420429679278</v>
      </c>
      <c r="G137" t="s">
        <v>111</v>
      </c>
      <c r="H137" s="25">
        <v>0.25002420429679278</v>
      </c>
      <c r="I137" t="s">
        <v>111</v>
      </c>
      <c r="J137" s="25">
        <v>0.25002420429679278</v>
      </c>
      <c r="K137" t="s">
        <v>111</v>
      </c>
      <c r="L137" s="25">
        <v>0.25002420429679278</v>
      </c>
      <c r="M137" t="s">
        <v>111</v>
      </c>
    </row>
    <row r="138" spans="1:13" x14ac:dyDescent="0.25">
      <c r="A138" s="48">
        <v>134</v>
      </c>
      <c r="B138" s="49">
        <v>226421577711.42969</v>
      </c>
      <c r="C138" s="49">
        <v>451295000000</v>
      </c>
      <c r="D138" s="50">
        <v>0.25085761831111542</v>
      </c>
      <c r="E138" s="51" t="s">
        <v>111</v>
      </c>
      <c r="F138" s="50">
        <v>0.25085761831111542</v>
      </c>
      <c r="G138" s="51" t="s">
        <v>111</v>
      </c>
      <c r="H138" s="50">
        <v>0.25085761831111542</v>
      </c>
      <c r="I138" s="51" t="s">
        <v>111</v>
      </c>
      <c r="J138" s="50">
        <v>0.25085761831111542</v>
      </c>
      <c r="K138" s="51" t="s">
        <v>111</v>
      </c>
      <c r="L138" s="50">
        <v>0.25085761831111542</v>
      </c>
      <c r="M138" s="51" t="s">
        <v>111</v>
      </c>
    </row>
    <row r="139" spans="1:13" x14ac:dyDescent="0.25">
      <c r="A139" s="8">
        <v>135</v>
      </c>
      <c r="B139" s="24">
        <v>227176316303.80109</v>
      </c>
      <c r="C139" s="24">
        <v>451295000000</v>
      </c>
      <c r="D139" s="25">
        <v>0.25169381037215249</v>
      </c>
      <c r="E139" t="s">
        <v>111</v>
      </c>
      <c r="F139" s="25">
        <v>0.25169381037215249</v>
      </c>
      <c r="G139" t="s">
        <v>111</v>
      </c>
      <c r="H139" s="25">
        <v>0.25169381037215249</v>
      </c>
      <c r="I139" t="s">
        <v>111</v>
      </c>
      <c r="J139" s="25">
        <v>0.25169381037215249</v>
      </c>
      <c r="K139" t="s">
        <v>111</v>
      </c>
      <c r="L139" s="25">
        <v>0.25169381037215249</v>
      </c>
      <c r="M139" t="s">
        <v>111</v>
      </c>
    </row>
    <row r="140" spans="1:13" x14ac:dyDescent="0.25">
      <c r="A140" s="48">
        <v>136</v>
      </c>
      <c r="B140" s="49">
        <v>227933570691.4805</v>
      </c>
      <c r="C140" s="49">
        <v>451295000000</v>
      </c>
      <c r="D140" s="50">
        <v>0.25253278974005972</v>
      </c>
      <c r="E140" s="51" t="s">
        <v>111</v>
      </c>
      <c r="F140" s="50">
        <v>0.25253278974005972</v>
      </c>
      <c r="G140" s="51" t="s">
        <v>111</v>
      </c>
      <c r="H140" s="50">
        <v>0.25253278974005972</v>
      </c>
      <c r="I140" s="51" t="s">
        <v>111</v>
      </c>
      <c r="J140" s="50">
        <v>0.25253278974005972</v>
      </c>
      <c r="K140" s="51" t="s">
        <v>111</v>
      </c>
      <c r="L140" s="50">
        <v>0.25253278974005972</v>
      </c>
      <c r="M140" s="51" t="s">
        <v>111</v>
      </c>
    </row>
    <row r="141" spans="1:13" x14ac:dyDescent="0.25">
      <c r="A141" s="8">
        <v>137</v>
      </c>
      <c r="B141" s="24">
        <v>228693349260.45209</v>
      </c>
      <c r="C141" s="24">
        <v>451295000000</v>
      </c>
      <c r="D141" s="25">
        <v>0.25337456570585992</v>
      </c>
      <c r="E141" t="s">
        <v>111</v>
      </c>
      <c r="F141" s="25">
        <v>0.25337456570585992</v>
      </c>
      <c r="G141" t="s">
        <v>111</v>
      </c>
      <c r="H141" s="25">
        <v>0.25337456570585992</v>
      </c>
      <c r="I141" t="s">
        <v>111</v>
      </c>
      <c r="J141" s="25">
        <v>0.25337456570585992</v>
      </c>
      <c r="K141" t="s">
        <v>111</v>
      </c>
      <c r="L141" s="25">
        <v>0.25337456570585992</v>
      </c>
      <c r="M141" t="s">
        <v>111</v>
      </c>
    </row>
    <row r="142" spans="1:13" x14ac:dyDescent="0.25">
      <c r="A142" s="48">
        <v>138</v>
      </c>
      <c r="B142" s="49">
        <v>229455660424.65369</v>
      </c>
      <c r="C142" s="49">
        <v>451295000000</v>
      </c>
      <c r="D142" s="50">
        <v>0.25421914759154618</v>
      </c>
      <c r="E142" s="51" t="s">
        <v>111</v>
      </c>
      <c r="F142" s="50">
        <v>0.25421914759154618</v>
      </c>
      <c r="G142" s="51" t="s">
        <v>111</v>
      </c>
      <c r="H142" s="50">
        <v>0.25421914759154618</v>
      </c>
      <c r="I142" s="51" t="s">
        <v>111</v>
      </c>
      <c r="J142" s="50">
        <v>0.25421914759154618</v>
      </c>
      <c r="K142" s="51" t="s">
        <v>111</v>
      </c>
      <c r="L142" s="50">
        <v>0.25421914759154618</v>
      </c>
      <c r="M142" s="51" t="s">
        <v>111</v>
      </c>
    </row>
    <row r="143" spans="1:13" x14ac:dyDescent="0.25">
      <c r="A143" s="8">
        <v>139</v>
      </c>
      <c r="B143" s="24">
        <v>230220512626.06921</v>
      </c>
      <c r="C143" s="24">
        <v>451295000000</v>
      </c>
      <c r="D143" s="25">
        <v>0.2550665447501847</v>
      </c>
      <c r="E143" t="s">
        <v>111</v>
      </c>
      <c r="F143" s="25">
        <v>0.2550665447501847</v>
      </c>
      <c r="G143" t="s">
        <v>111</v>
      </c>
      <c r="H143" s="25">
        <v>0.2550665447501847</v>
      </c>
      <c r="I143" t="s">
        <v>111</v>
      </c>
      <c r="J143" s="25">
        <v>0.2550665447501847</v>
      </c>
      <c r="K143" t="s">
        <v>111</v>
      </c>
      <c r="L143" s="25">
        <v>0.2550665447501847</v>
      </c>
      <c r="M143" t="s">
        <v>111</v>
      </c>
    </row>
    <row r="144" spans="1:13" x14ac:dyDescent="0.25">
      <c r="A144" s="48">
        <v>140</v>
      </c>
      <c r="B144" s="49">
        <v>230987914334.82281</v>
      </c>
      <c r="C144" s="49">
        <v>451295000000</v>
      </c>
      <c r="D144" s="50">
        <v>0.25591676656601858</v>
      </c>
      <c r="E144" s="51" t="s">
        <v>111</v>
      </c>
      <c r="F144" s="50">
        <v>0.25591676656601858</v>
      </c>
      <c r="G144" s="51" t="s">
        <v>111</v>
      </c>
      <c r="H144" s="50">
        <v>0.25591676656601858</v>
      </c>
      <c r="I144" s="51" t="s">
        <v>111</v>
      </c>
      <c r="J144" s="50">
        <v>0.25591676656601858</v>
      </c>
      <c r="K144" s="51" t="s">
        <v>111</v>
      </c>
      <c r="L144" s="50">
        <v>0.25591676656601858</v>
      </c>
      <c r="M144" s="51" t="s">
        <v>111</v>
      </c>
    </row>
    <row r="145" spans="1:13" x14ac:dyDescent="0.25">
      <c r="A145" s="8">
        <v>141</v>
      </c>
      <c r="B145" s="24">
        <v>231757874049.27219</v>
      </c>
      <c r="C145" s="24">
        <v>451295000000</v>
      </c>
      <c r="D145" s="25">
        <v>0.25676982245457203</v>
      </c>
      <c r="E145" t="s">
        <v>111</v>
      </c>
      <c r="F145" s="25">
        <v>0.25676982245457203</v>
      </c>
      <c r="G145" t="s">
        <v>111</v>
      </c>
      <c r="H145" s="25">
        <v>0.25676982245457203</v>
      </c>
      <c r="I145" t="s">
        <v>111</v>
      </c>
      <c r="J145" s="25">
        <v>0.25676982245457203</v>
      </c>
      <c r="K145" t="s">
        <v>111</v>
      </c>
      <c r="L145" s="25">
        <v>0.25676982245457203</v>
      </c>
      <c r="M145" t="s">
        <v>111</v>
      </c>
    </row>
    <row r="146" spans="1:13" x14ac:dyDescent="0.25">
      <c r="A146" s="48">
        <v>142</v>
      </c>
      <c r="B146" s="49">
        <v>232530400296.10309</v>
      </c>
      <c r="C146" s="49">
        <v>451295000000</v>
      </c>
      <c r="D146" s="50">
        <v>0.25762572186275401</v>
      </c>
      <c r="E146" s="51" t="s">
        <v>111</v>
      </c>
      <c r="F146" s="50">
        <v>0.25762572186275401</v>
      </c>
      <c r="G146" s="51" t="s">
        <v>111</v>
      </c>
      <c r="H146" s="50">
        <v>0.25762572186275401</v>
      </c>
      <c r="I146" s="51" t="s">
        <v>111</v>
      </c>
      <c r="J146" s="50">
        <v>0.25762572186275401</v>
      </c>
      <c r="K146" s="51" t="s">
        <v>111</v>
      </c>
      <c r="L146" s="50">
        <v>0.25762572186275401</v>
      </c>
      <c r="M146" s="51" t="s">
        <v>111</v>
      </c>
    </row>
    <row r="147" spans="1:13" x14ac:dyDescent="0.25">
      <c r="A147" s="8">
        <v>143</v>
      </c>
      <c r="B147" s="24">
        <v>233305501630.42349</v>
      </c>
      <c r="C147" s="24">
        <v>451295000000</v>
      </c>
      <c r="D147" s="25">
        <v>0.2584844742689632</v>
      </c>
      <c r="E147" t="s">
        <v>111</v>
      </c>
      <c r="F147" s="25">
        <v>0.2584844742689632</v>
      </c>
      <c r="G147" t="s">
        <v>111</v>
      </c>
      <c r="H147" s="25">
        <v>0.2584844742689632</v>
      </c>
      <c r="I147" t="s">
        <v>111</v>
      </c>
      <c r="J147" s="25">
        <v>0.2584844742689632</v>
      </c>
      <c r="K147" t="s">
        <v>111</v>
      </c>
      <c r="L147" s="25">
        <v>0.2584844742689632</v>
      </c>
      <c r="M147" t="s">
        <v>111</v>
      </c>
    </row>
    <row r="148" spans="1:13" x14ac:dyDescent="0.25">
      <c r="A148" s="48">
        <v>144</v>
      </c>
      <c r="B148" s="49">
        <v>234083186635.85818</v>
      </c>
      <c r="C148" s="49">
        <v>451295000000</v>
      </c>
      <c r="D148" s="50">
        <v>0.25934608918319307</v>
      </c>
      <c r="E148" s="51" t="s">
        <v>111</v>
      </c>
      <c r="F148" s="50">
        <v>0.25934608918319307</v>
      </c>
      <c r="G148" s="51" t="s">
        <v>111</v>
      </c>
      <c r="H148" s="50">
        <v>0.25934608918319307</v>
      </c>
      <c r="I148" s="51" t="s">
        <v>111</v>
      </c>
      <c r="J148" s="50">
        <v>0.25934608918319307</v>
      </c>
      <c r="K148" s="51" t="s">
        <v>111</v>
      </c>
      <c r="L148" s="50">
        <v>0.25934608918319307</v>
      </c>
      <c r="M148" s="51" t="s">
        <v>111</v>
      </c>
    </row>
    <row r="149" spans="1:13" x14ac:dyDescent="0.25">
      <c r="A149" s="8">
        <v>145</v>
      </c>
      <c r="B149" s="24">
        <v>234863463924.64441</v>
      </c>
      <c r="C149" s="24">
        <v>451295000000</v>
      </c>
      <c r="D149" s="25">
        <v>0.26021057614713711</v>
      </c>
      <c r="E149" t="s">
        <v>111</v>
      </c>
      <c r="F149" s="25">
        <v>0.26021057614713711</v>
      </c>
      <c r="G149" t="s">
        <v>111</v>
      </c>
      <c r="H149" s="25">
        <v>0.26021057614713711</v>
      </c>
      <c r="I149" t="s">
        <v>111</v>
      </c>
      <c r="J149" s="25">
        <v>0.26021057614713711</v>
      </c>
      <c r="K149" t="s">
        <v>111</v>
      </c>
      <c r="L149" s="25">
        <v>0.26021057614713711</v>
      </c>
      <c r="M149" t="s">
        <v>111</v>
      </c>
    </row>
    <row r="150" spans="1:13" x14ac:dyDescent="0.25">
      <c r="A150" s="48">
        <v>146</v>
      </c>
      <c r="B150" s="49">
        <v>235646342137.72659</v>
      </c>
      <c r="C150" s="49">
        <v>451295000000</v>
      </c>
      <c r="D150" s="50">
        <v>0.26107794473429419</v>
      </c>
      <c r="E150" s="51" t="s">
        <v>111</v>
      </c>
      <c r="F150" s="50">
        <v>0.26107794473429419</v>
      </c>
      <c r="G150" s="51" t="s">
        <v>111</v>
      </c>
      <c r="H150" s="50">
        <v>0.26107794473429419</v>
      </c>
      <c r="I150" s="51" t="s">
        <v>111</v>
      </c>
      <c r="J150" s="50">
        <v>0.26107794473429419</v>
      </c>
      <c r="K150" s="51" t="s">
        <v>111</v>
      </c>
      <c r="L150" s="50">
        <v>0.26107794473429419</v>
      </c>
      <c r="M150" s="51" t="s">
        <v>111</v>
      </c>
    </row>
    <row r="151" spans="1:13" x14ac:dyDescent="0.25">
      <c r="A151" s="8">
        <v>147</v>
      </c>
      <c r="B151" s="24">
        <v>236431829944.85239</v>
      </c>
      <c r="C151" s="24">
        <v>451295000000</v>
      </c>
      <c r="D151" s="25">
        <v>0.26194820455007523</v>
      </c>
      <c r="E151" t="s">
        <v>111</v>
      </c>
      <c r="F151" s="25">
        <v>0.26194820455007523</v>
      </c>
      <c r="G151" t="s">
        <v>111</v>
      </c>
      <c r="H151" s="25">
        <v>0.26194820455007523</v>
      </c>
      <c r="I151" t="s">
        <v>111</v>
      </c>
      <c r="J151" s="25">
        <v>0.26194820455007523</v>
      </c>
      <c r="K151" t="s">
        <v>111</v>
      </c>
      <c r="L151" s="25">
        <v>0.26194820455007523</v>
      </c>
      <c r="M151" t="s">
        <v>111</v>
      </c>
    </row>
    <row r="152" spans="1:13" x14ac:dyDescent="0.25">
      <c r="A152" s="48">
        <v>148</v>
      </c>
      <c r="B152" s="49">
        <v>237219936044.66861</v>
      </c>
      <c r="C152" s="49">
        <v>451295000000</v>
      </c>
      <c r="D152" s="50">
        <v>0.2628213652319088</v>
      </c>
      <c r="E152" s="51" t="s">
        <v>111</v>
      </c>
      <c r="F152" s="50">
        <v>0.2628213652319088</v>
      </c>
      <c r="G152" s="51" t="s">
        <v>111</v>
      </c>
      <c r="H152" s="50">
        <v>0.2628213652319088</v>
      </c>
      <c r="I152" s="51" t="s">
        <v>111</v>
      </c>
      <c r="J152" s="50">
        <v>0.2628213652319088</v>
      </c>
      <c r="K152" s="51" t="s">
        <v>111</v>
      </c>
      <c r="L152" s="50">
        <v>0.2628213652319088</v>
      </c>
      <c r="M152" s="51" t="s">
        <v>111</v>
      </c>
    </row>
    <row r="153" spans="1:13" x14ac:dyDescent="0.25">
      <c r="A153" s="8">
        <v>149</v>
      </c>
      <c r="B153" s="24">
        <v>238010669164.8175</v>
      </c>
      <c r="C153" s="24">
        <v>451295000000</v>
      </c>
      <c r="D153" s="25">
        <v>0.26369743644934862</v>
      </c>
      <c r="E153" t="s">
        <v>111</v>
      </c>
      <c r="F153" s="25">
        <v>0.26369743644934862</v>
      </c>
      <c r="G153" t="s">
        <v>111</v>
      </c>
      <c r="H153" s="25">
        <v>0.26369743644934862</v>
      </c>
      <c r="I153" t="s">
        <v>111</v>
      </c>
      <c r="J153" s="25">
        <v>0.26369743644934862</v>
      </c>
      <c r="K153" t="s">
        <v>111</v>
      </c>
      <c r="L153" s="25">
        <v>0.26369743644934862</v>
      </c>
      <c r="M153" t="s">
        <v>111</v>
      </c>
    </row>
    <row r="154" spans="1:13" x14ac:dyDescent="0.25">
      <c r="A154" s="48">
        <v>150</v>
      </c>
      <c r="B154" s="49">
        <v>238804038062.0336</v>
      </c>
      <c r="C154" s="49">
        <v>451295000000</v>
      </c>
      <c r="D154" s="50">
        <v>0.26457642790417968</v>
      </c>
      <c r="E154" s="51" t="s">
        <v>111</v>
      </c>
      <c r="F154" s="50">
        <v>0.26457642790417968</v>
      </c>
      <c r="G154" s="51" t="s">
        <v>111</v>
      </c>
      <c r="H154" s="50">
        <v>0.26457642790417968</v>
      </c>
      <c r="I154" s="51" t="s">
        <v>111</v>
      </c>
      <c r="J154" s="50">
        <v>0.26457642790417968</v>
      </c>
      <c r="K154" s="51" t="s">
        <v>111</v>
      </c>
      <c r="L154" s="50">
        <v>0.26457642790417968</v>
      </c>
      <c r="M154" s="51" t="s">
        <v>111</v>
      </c>
    </row>
    <row r="155" spans="1:13" x14ac:dyDescent="0.25">
      <c r="A155" s="8">
        <v>151</v>
      </c>
      <c r="B155" s="24">
        <v>239600051522.24039</v>
      </c>
      <c r="C155" s="24">
        <v>451295000000</v>
      </c>
      <c r="D155" s="25">
        <v>0.26545834933052698</v>
      </c>
      <c r="E155" t="s">
        <v>111</v>
      </c>
      <c r="F155" s="25">
        <v>0.26545834933052698</v>
      </c>
      <c r="G155" t="s">
        <v>111</v>
      </c>
      <c r="H155" s="25">
        <v>0.26545834933052698</v>
      </c>
      <c r="I155" t="s">
        <v>111</v>
      </c>
      <c r="J155" s="25">
        <v>0.26545834933052698</v>
      </c>
      <c r="K155" t="s">
        <v>111</v>
      </c>
      <c r="L155" s="25">
        <v>0.26545834933052698</v>
      </c>
      <c r="M155" t="s">
        <v>111</v>
      </c>
    </row>
    <row r="156" spans="1:13" x14ac:dyDescent="0.25">
      <c r="A156" s="48">
        <v>152</v>
      </c>
      <c r="B156" s="49">
        <v>240398718360.6478</v>
      </c>
      <c r="C156" s="49">
        <v>451295000000</v>
      </c>
      <c r="D156" s="50">
        <v>0.26634321049496212</v>
      </c>
      <c r="E156" s="51" t="s">
        <v>111</v>
      </c>
      <c r="F156" s="50">
        <v>0.26634321049496212</v>
      </c>
      <c r="G156" s="51" t="s">
        <v>111</v>
      </c>
      <c r="H156" s="50">
        <v>0.26634321049496212</v>
      </c>
      <c r="I156" s="51" t="s">
        <v>111</v>
      </c>
      <c r="J156" s="50">
        <v>0.26634321049496212</v>
      </c>
      <c r="K156" s="51" t="s">
        <v>111</v>
      </c>
      <c r="L156" s="50">
        <v>0.26634321049496212</v>
      </c>
      <c r="M156" s="51" t="s">
        <v>111</v>
      </c>
    </row>
    <row r="157" spans="1:13" x14ac:dyDescent="0.25">
      <c r="A157" s="8">
        <v>153</v>
      </c>
      <c r="B157" s="24">
        <v>241200047421.85001</v>
      </c>
      <c r="C157" s="24">
        <v>451295000000</v>
      </c>
      <c r="D157" s="25">
        <v>0.26723102119661202</v>
      </c>
      <c r="E157" t="s">
        <v>111</v>
      </c>
      <c r="F157" s="25">
        <v>0.26723102119661202</v>
      </c>
      <c r="G157" t="s">
        <v>111</v>
      </c>
      <c r="H157" s="25">
        <v>0.26723102119661202</v>
      </c>
      <c r="I157" t="s">
        <v>111</v>
      </c>
      <c r="J157" s="25">
        <v>0.26723102119661202</v>
      </c>
      <c r="K157" t="s">
        <v>111</v>
      </c>
      <c r="L157" s="25">
        <v>0.26723102119661202</v>
      </c>
      <c r="M157" t="s">
        <v>111</v>
      </c>
    </row>
    <row r="158" spans="1:13" x14ac:dyDescent="0.25">
      <c r="A158" s="48">
        <v>154</v>
      </c>
      <c r="B158" s="49">
        <v>242004047579.92291</v>
      </c>
      <c r="C158" s="49">
        <v>451295000000</v>
      </c>
      <c r="D158" s="50">
        <v>0.26812179126726737</v>
      </c>
      <c r="E158" s="51" t="s">
        <v>111</v>
      </c>
      <c r="F158" s="50">
        <v>0.26812179126726737</v>
      </c>
      <c r="G158" s="51" t="s">
        <v>111</v>
      </c>
      <c r="H158" s="50">
        <v>0.26812179126726737</v>
      </c>
      <c r="I158" s="51" t="s">
        <v>111</v>
      </c>
      <c r="J158" s="50">
        <v>0.26812179126726737</v>
      </c>
      <c r="K158" s="51" t="s">
        <v>111</v>
      </c>
      <c r="L158" s="50">
        <v>0.26812179126726737</v>
      </c>
      <c r="M158" s="51" t="s">
        <v>111</v>
      </c>
    </row>
    <row r="159" spans="1:13" x14ac:dyDescent="0.25">
      <c r="A159" s="8">
        <v>155</v>
      </c>
      <c r="B159" s="24">
        <v>242810727738.52261</v>
      </c>
      <c r="C159" s="24">
        <v>451295000000</v>
      </c>
      <c r="D159" s="25">
        <v>0.26901553057149158</v>
      </c>
      <c r="E159" t="s">
        <v>111</v>
      </c>
      <c r="F159" s="25">
        <v>0.26901553057149158</v>
      </c>
      <c r="G159" t="s">
        <v>111</v>
      </c>
      <c r="H159" s="25">
        <v>0.26901553057149158</v>
      </c>
      <c r="I159" t="s">
        <v>111</v>
      </c>
      <c r="J159" s="25">
        <v>0.26901553057149158</v>
      </c>
      <c r="K159" t="s">
        <v>111</v>
      </c>
      <c r="L159" s="25">
        <v>0.26901553057149158</v>
      </c>
      <c r="M159" t="s">
        <v>111</v>
      </c>
    </row>
    <row r="160" spans="1:13" x14ac:dyDescent="0.25">
      <c r="A160" s="48">
        <v>156</v>
      </c>
      <c r="B160" s="49">
        <v>243620096830.98441</v>
      </c>
      <c r="C160" s="49">
        <v>451295000000</v>
      </c>
      <c r="D160" s="50">
        <v>0.26991224900673</v>
      </c>
      <c r="E160" s="51" t="s">
        <v>111</v>
      </c>
      <c r="F160" s="50">
        <v>0.26991224900673</v>
      </c>
      <c r="G160" s="51" t="s">
        <v>111</v>
      </c>
      <c r="H160" s="50">
        <v>0.26991224900673</v>
      </c>
      <c r="I160" s="51" t="s">
        <v>111</v>
      </c>
      <c r="J160" s="50">
        <v>0.26991224900673</v>
      </c>
      <c r="K160" s="51" t="s">
        <v>111</v>
      </c>
      <c r="L160" s="50">
        <v>0.26991224900673</v>
      </c>
      <c r="M160" s="51" t="s">
        <v>111</v>
      </c>
    </row>
    <row r="161" spans="1:13" x14ac:dyDescent="0.25">
      <c r="A161" s="8">
        <v>157</v>
      </c>
      <c r="B161" s="24">
        <v>244432163820.42111</v>
      </c>
      <c r="C161" s="24">
        <v>451295000000</v>
      </c>
      <c r="D161" s="25">
        <v>0.2708119565034191</v>
      </c>
      <c r="E161" t="s">
        <v>111</v>
      </c>
      <c r="F161" s="25">
        <v>0.2708119565034191</v>
      </c>
      <c r="G161" t="s">
        <v>111</v>
      </c>
      <c r="H161" s="25">
        <v>0.2708119565034191</v>
      </c>
      <c r="I161" t="s">
        <v>111</v>
      </c>
      <c r="J161" s="25">
        <v>0.2708119565034191</v>
      </c>
      <c r="K161" t="s">
        <v>111</v>
      </c>
      <c r="L161" s="25">
        <v>0.2708119565034191</v>
      </c>
      <c r="M161" t="s">
        <v>111</v>
      </c>
    </row>
    <row r="162" spans="1:13" x14ac:dyDescent="0.25">
      <c r="A162" s="48">
        <v>158</v>
      </c>
      <c r="B162" s="49">
        <v>245246937699.82239</v>
      </c>
      <c r="C162" s="49">
        <v>451295000000</v>
      </c>
      <c r="D162" s="50">
        <v>0.27171466302509723</v>
      </c>
      <c r="E162" s="51" t="s">
        <v>111</v>
      </c>
      <c r="F162" s="50">
        <v>0.27171466302509723</v>
      </c>
      <c r="G162" s="51" t="s">
        <v>111</v>
      </c>
      <c r="H162" s="50">
        <v>0.27171466302509723</v>
      </c>
      <c r="I162" s="51" t="s">
        <v>111</v>
      </c>
      <c r="J162" s="50">
        <v>0.27171466302509723</v>
      </c>
      <c r="K162" s="51" t="s">
        <v>111</v>
      </c>
      <c r="L162" s="50">
        <v>0.27171466302509723</v>
      </c>
      <c r="M162" s="51" t="s">
        <v>111</v>
      </c>
    </row>
    <row r="163" spans="1:13" x14ac:dyDescent="0.25">
      <c r="A163" s="8">
        <v>159</v>
      </c>
      <c r="B163" s="24">
        <v>246064427492.15521</v>
      </c>
      <c r="C163" s="24">
        <v>451295000000</v>
      </c>
      <c r="D163" s="25">
        <v>0.27262037856851418</v>
      </c>
      <c r="E163" t="s">
        <v>111</v>
      </c>
      <c r="F163" s="25">
        <v>0.27262037856851418</v>
      </c>
      <c r="G163" t="s">
        <v>111</v>
      </c>
      <c r="H163" s="25">
        <v>0.27262037856851418</v>
      </c>
      <c r="I163" t="s">
        <v>111</v>
      </c>
      <c r="J163" s="25">
        <v>0.27262037856851418</v>
      </c>
      <c r="K163" t="s">
        <v>111</v>
      </c>
      <c r="L163" s="25">
        <v>0.27262037856851418</v>
      </c>
      <c r="M163" t="s">
        <v>111</v>
      </c>
    </row>
    <row r="164" spans="1:13" x14ac:dyDescent="0.25">
      <c r="A164" s="48">
        <v>160</v>
      </c>
      <c r="B164" s="49">
        <v>246884642250.4624</v>
      </c>
      <c r="C164" s="49">
        <v>451295000000</v>
      </c>
      <c r="D164" s="50">
        <v>0.27352911316374262</v>
      </c>
      <c r="E164" s="51" t="s">
        <v>111</v>
      </c>
      <c r="F164" s="50">
        <v>0.27352911316374262</v>
      </c>
      <c r="G164" s="51" t="s">
        <v>111</v>
      </c>
      <c r="H164" s="50">
        <v>0.27352911316374262</v>
      </c>
      <c r="I164" s="51" t="s">
        <v>111</v>
      </c>
      <c r="J164" s="50">
        <v>0.27352911316374262</v>
      </c>
      <c r="K164" s="51" t="s">
        <v>111</v>
      </c>
      <c r="L164" s="50">
        <v>0.27352911316374262</v>
      </c>
      <c r="M164" s="51" t="s">
        <v>111</v>
      </c>
    </row>
    <row r="165" spans="1:13" x14ac:dyDescent="0.25">
      <c r="A165" s="8">
        <v>161</v>
      </c>
      <c r="B165" s="24">
        <v>247707591057.96399</v>
      </c>
      <c r="C165" s="24">
        <v>451295000000</v>
      </c>
      <c r="D165" s="25">
        <v>0.27444087687428842</v>
      </c>
      <c r="E165" t="s">
        <v>111</v>
      </c>
      <c r="F165" s="25">
        <v>0.27444087687428842</v>
      </c>
      <c r="G165" t="s">
        <v>111</v>
      </c>
      <c r="H165" s="25">
        <v>0.27444087687428842</v>
      </c>
      <c r="I165" t="s">
        <v>111</v>
      </c>
      <c r="J165" s="25">
        <v>0.27444087687428842</v>
      </c>
      <c r="K165" t="s">
        <v>111</v>
      </c>
      <c r="L165" s="25">
        <v>0.27444087687428842</v>
      </c>
      <c r="M165" t="s">
        <v>111</v>
      </c>
    </row>
    <row r="166" spans="1:13" x14ac:dyDescent="0.25">
      <c r="A166" s="48">
        <v>162</v>
      </c>
      <c r="B166" s="49">
        <v>248533283028.1572</v>
      </c>
      <c r="C166" s="49">
        <v>451295000000</v>
      </c>
      <c r="D166" s="50">
        <v>0.27535567979720282</v>
      </c>
      <c r="E166" s="51" t="s">
        <v>111</v>
      </c>
      <c r="F166" s="50">
        <v>0.27535567979720282</v>
      </c>
      <c r="G166" s="51" t="s">
        <v>111</v>
      </c>
      <c r="H166" s="50">
        <v>0.27535567979720282</v>
      </c>
      <c r="I166" s="51" t="s">
        <v>111</v>
      </c>
      <c r="J166" s="50">
        <v>0.27535567979720282</v>
      </c>
      <c r="K166" s="51" t="s">
        <v>111</v>
      </c>
      <c r="L166" s="50">
        <v>0.27535567979720282</v>
      </c>
      <c r="M166" s="51" t="s">
        <v>111</v>
      </c>
    </row>
    <row r="167" spans="1:13" x14ac:dyDescent="0.25">
      <c r="A167" s="8">
        <v>163</v>
      </c>
      <c r="B167" s="24">
        <v>249361727304.91779</v>
      </c>
      <c r="C167" s="24">
        <v>451295000000</v>
      </c>
      <c r="D167" s="25">
        <v>0.27627353206319338</v>
      </c>
      <c r="E167" t="s">
        <v>111</v>
      </c>
      <c r="F167" s="25">
        <v>0.27627353206319338</v>
      </c>
      <c r="G167" t="s">
        <v>111</v>
      </c>
      <c r="H167" s="25">
        <v>0.27627353206319338</v>
      </c>
      <c r="I167" t="s">
        <v>111</v>
      </c>
      <c r="J167" s="25">
        <v>0.27627353206319338</v>
      </c>
      <c r="K167" t="s">
        <v>111</v>
      </c>
      <c r="L167" s="25">
        <v>0.27627353206319338</v>
      </c>
      <c r="M167" t="s">
        <v>111</v>
      </c>
    </row>
    <row r="168" spans="1:13" x14ac:dyDescent="0.25">
      <c r="A168" s="48">
        <v>164</v>
      </c>
      <c r="B168" s="49">
        <v>250192933062.6008</v>
      </c>
      <c r="C168" s="49">
        <v>451295000000</v>
      </c>
      <c r="D168" s="50">
        <v>0.27719444383673741</v>
      </c>
      <c r="E168" s="51" t="s">
        <v>111</v>
      </c>
      <c r="F168" s="50">
        <v>0.27719444383673741</v>
      </c>
      <c r="G168" s="51" t="s">
        <v>111</v>
      </c>
      <c r="H168" s="50">
        <v>0.27719444383673741</v>
      </c>
      <c r="I168" s="51" t="s">
        <v>111</v>
      </c>
      <c r="J168" s="50">
        <v>0.27719444383673741</v>
      </c>
      <c r="K168" s="51" t="s">
        <v>111</v>
      </c>
      <c r="L168" s="50">
        <v>0.27719444383673741</v>
      </c>
      <c r="M168" s="51" t="s">
        <v>111</v>
      </c>
    </row>
    <row r="169" spans="1:13" x14ac:dyDescent="0.25">
      <c r="A169" s="8">
        <v>165</v>
      </c>
      <c r="B169" s="24">
        <v>251026909506.14291</v>
      </c>
      <c r="C169" s="24">
        <v>451295000000</v>
      </c>
      <c r="D169" s="25">
        <v>0.27811842531619319</v>
      </c>
      <c r="E169" t="s">
        <v>111</v>
      </c>
      <c r="F169" s="25">
        <v>0.27811842531619319</v>
      </c>
      <c r="G169" t="s">
        <v>111</v>
      </c>
      <c r="H169" s="25">
        <v>0.27811842531619319</v>
      </c>
      <c r="I169" t="s">
        <v>111</v>
      </c>
      <c r="J169" s="25">
        <v>0.27811842531619319</v>
      </c>
      <c r="K169" t="s">
        <v>111</v>
      </c>
      <c r="L169" s="25">
        <v>0.27811842531619319</v>
      </c>
      <c r="M169" t="s">
        <v>111</v>
      </c>
    </row>
    <row r="170" spans="1:13" x14ac:dyDescent="0.25">
      <c r="A170" s="48">
        <v>166</v>
      </c>
      <c r="B170" s="49">
        <v>251863665871.16339</v>
      </c>
      <c r="C170" s="49">
        <v>451295000000</v>
      </c>
      <c r="D170" s="50">
        <v>0.27904548673391388</v>
      </c>
      <c r="E170" s="51" t="s">
        <v>111</v>
      </c>
      <c r="F170" s="50">
        <v>0.27904548673391388</v>
      </c>
      <c r="G170" s="51" t="s">
        <v>111</v>
      </c>
      <c r="H170" s="50">
        <v>0.27904548673391388</v>
      </c>
      <c r="I170" s="51" t="s">
        <v>111</v>
      </c>
      <c r="J170" s="50">
        <v>0.27904548673391388</v>
      </c>
      <c r="K170" s="51" t="s">
        <v>111</v>
      </c>
      <c r="L170" s="50">
        <v>0.27904548673391388</v>
      </c>
      <c r="M170" s="51" t="s">
        <v>111</v>
      </c>
    </row>
    <row r="171" spans="1:13" x14ac:dyDescent="0.25">
      <c r="A171" s="8">
        <v>167</v>
      </c>
      <c r="B171" s="24">
        <v>252703211424.06729</v>
      </c>
      <c r="C171" s="24">
        <v>451295000000</v>
      </c>
      <c r="D171" s="25">
        <v>0.2799756383563603</v>
      </c>
      <c r="E171" t="s">
        <v>111</v>
      </c>
      <c r="F171" s="25">
        <v>0.2799756383563603</v>
      </c>
      <c r="G171" t="s">
        <v>111</v>
      </c>
      <c r="H171" s="25">
        <v>0.2799756383563603</v>
      </c>
      <c r="I171" t="s">
        <v>111</v>
      </c>
      <c r="J171" s="25">
        <v>0.2799756383563603</v>
      </c>
      <c r="K171" t="s">
        <v>111</v>
      </c>
      <c r="L171" s="25">
        <v>0.2799756383563603</v>
      </c>
      <c r="M171" t="s">
        <v>111</v>
      </c>
    </row>
    <row r="172" spans="1:13" x14ac:dyDescent="0.25">
      <c r="A172" s="48">
        <v>168</v>
      </c>
      <c r="B172" s="49">
        <v>253545555462.14749</v>
      </c>
      <c r="C172" s="49">
        <v>451295000000</v>
      </c>
      <c r="D172" s="50">
        <v>0.28090889048421491</v>
      </c>
      <c r="E172" s="51" t="s">
        <v>111</v>
      </c>
      <c r="F172" s="50">
        <v>0.28090889048421491</v>
      </c>
      <c r="G172" s="51" t="s">
        <v>111</v>
      </c>
      <c r="H172" s="50">
        <v>0.28090889048421491</v>
      </c>
      <c r="I172" s="51" t="s">
        <v>111</v>
      </c>
      <c r="J172" s="50">
        <v>0.28090889048421491</v>
      </c>
      <c r="K172" s="51" t="s">
        <v>111</v>
      </c>
      <c r="L172" s="50">
        <v>0.28090889048421491</v>
      </c>
      <c r="M172" s="51" t="s">
        <v>111</v>
      </c>
    </row>
    <row r="173" spans="1:13" x14ac:dyDescent="0.25">
      <c r="A173" s="8">
        <v>169</v>
      </c>
      <c r="B173" s="24">
        <v>254390707313.68799</v>
      </c>
      <c r="C173" s="24">
        <v>451295000000</v>
      </c>
      <c r="D173" s="25">
        <v>0.28184525345249561</v>
      </c>
      <c r="E173" t="s">
        <v>111</v>
      </c>
      <c r="F173" s="25">
        <v>0.28184525345249561</v>
      </c>
      <c r="G173" t="s">
        <v>111</v>
      </c>
      <c r="H173" s="25">
        <v>0.28184525345249561</v>
      </c>
      <c r="I173" t="s">
        <v>111</v>
      </c>
      <c r="J173" s="25">
        <v>0.28184525345249561</v>
      </c>
      <c r="K173" t="s">
        <v>111</v>
      </c>
      <c r="L173" s="25">
        <v>0.28184525345249561</v>
      </c>
      <c r="M173" t="s">
        <v>111</v>
      </c>
    </row>
    <row r="174" spans="1:13" x14ac:dyDescent="0.25">
      <c r="A174" s="48">
        <v>170</v>
      </c>
      <c r="B174" s="49">
        <v>255238676338.06699</v>
      </c>
      <c r="C174" s="49">
        <v>451295000000</v>
      </c>
      <c r="D174" s="50">
        <v>0.28278473763067058</v>
      </c>
      <c r="E174" s="51" t="s">
        <v>111</v>
      </c>
      <c r="F174" s="50">
        <v>0.28278473763067058</v>
      </c>
      <c r="G174" s="51" t="s">
        <v>111</v>
      </c>
      <c r="H174" s="50">
        <v>0.28278473763067058</v>
      </c>
      <c r="I174" s="51" t="s">
        <v>111</v>
      </c>
      <c r="J174" s="50">
        <v>0.28278473763067058</v>
      </c>
      <c r="K174" s="51" t="s">
        <v>111</v>
      </c>
      <c r="L174" s="50">
        <v>0.28278473763067058</v>
      </c>
      <c r="M174" s="51" t="s">
        <v>111</v>
      </c>
    </row>
    <row r="175" spans="1:13" x14ac:dyDescent="0.25">
      <c r="A175" s="8">
        <v>171</v>
      </c>
      <c r="B175" s="24">
        <v>256089471925.8606</v>
      </c>
      <c r="C175" s="24">
        <v>451295000000</v>
      </c>
      <c r="D175" s="25">
        <v>0.28372735342277289</v>
      </c>
      <c r="E175" t="s">
        <v>111</v>
      </c>
      <c r="F175" s="25">
        <v>0.28372735342277289</v>
      </c>
      <c r="G175" t="s">
        <v>111</v>
      </c>
      <c r="H175" s="25">
        <v>0.28372735342277289</v>
      </c>
      <c r="I175" t="s">
        <v>111</v>
      </c>
      <c r="J175" s="25">
        <v>0.28372735342277289</v>
      </c>
      <c r="K175" t="s">
        <v>111</v>
      </c>
      <c r="L175" s="25">
        <v>0.28372735342277289</v>
      </c>
      <c r="M175" t="s">
        <v>111</v>
      </c>
    </row>
    <row r="176" spans="1:13" x14ac:dyDescent="0.25">
      <c r="A176" s="48">
        <v>172</v>
      </c>
      <c r="B176" s="49">
        <v>256943103498.94681</v>
      </c>
      <c r="C176" s="49">
        <v>451295000000</v>
      </c>
      <c r="D176" s="50">
        <v>0.28467311126751538</v>
      </c>
      <c r="E176" s="51" t="s">
        <v>111</v>
      </c>
      <c r="F176" s="50">
        <v>0.28467311126751538</v>
      </c>
      <c r="G176" s="51" t="s">
        <v>111</v>
      </c>
      <c r="H176" s="50">
        <v>0.28467311126751538</v>
      </c>
      <c r="I176" s="51" t="s">
        <v>111</v>
      </c>
      <c r="J176" s="50">
        <v>0.28467311126751538</v>
      </c>
      <c r="K176" s="51" t="s">
        <v>111</v>
      </c>
      <c r="L176" s="50">
        <v>0.28467311126751538</v>
      </c>
      <c r="M176" s="51" t="s">
        <v>111</v>
      </c>
    </row>
    <row r="177" spans="1:13" x14ac:dyDescent="0.25">
      <c r="A177" s="8">
        <v>173</v>
      </c>
      <c r="B177" s="24">
        <v>257799580510.60999</v>
      </c>
      <c r="C177" s="24">
        <v>451295000000</v>
      </c>
      <c r="D177" s="25">
        <v>0.28562202163840722</v>
      </c>
      <c r="E177" t="s">
        <v>111</v>
      </c>
      <c r="F177" s="25">
        <v>0.28562202163840722</v>
      </c>
      <c r="G177" t="s">
        <v>111</v>
      </c>
      <c r="H177" s="25">
        <v>0.28562202163840722</v>
      </c>
      <c r="I177" t="s">
        <v>111</v>
      </c>
      <c r="J177" s="25">
        <v>0.28562202163840722</v>
      </c>
      <c r="K177" t="s">
        <v>111</v>
      </c>
      <c r="L177" s="25">
        <v>0.28562202163840722</v>
      </c>
      <c r="M177" t="s">
        <v>111</v>
      </c>
    </row>
    <row r="178" spans="1:13" x14ac:dyDescent="0.25">
      <c r="A178" s="48">
        <v>174</v>
      </c>
      <c r="B178" s="49">
        <v>258658912445.64529</v>
      </c>
      <c r="C178" s="49">
        <v>451295000000</v>
      </c>
      <c r="D178" s="50">
        <v>0.28657409504386849</v>
      </c>
      <c r="E178" s="51" t="s">
        <v>111</v>
      </c>
      <c r="F178" s="50">
        <v>0.28657409504386849</v>
      </c>
      <c r="G178" s="51" t="s">
        <v>111</v>
      </c>
      <c r="H178" s="50">
        <v>0.28657409504386849</v>
      </c>
      <c r="I178" s="51" t="s">
        <v>111</v>
      </c>
      <c r="J178" s="50">
        <v>0.28657409504386849</v>
      </c>
      <c r="K178" s="51" t="s">
        <v>111</v>
      </c>
      <c r="L178" s="50">
        <v>0.28657409504386849</v>
      </c>
      <c r="M178" s="51" t="s">
        <v>111</v>
      </c>
    </row>
    <row r="179" spans="1:13" x14ac:dyDescent="0.25">
      <c r="A179" s="8">
        <v>175</v>
      </c>
      <c r="B179" s="24">
        <v>259521108820.4642</v>
      </c>
      <c r="C179" s="24">
        <v>451295000000</v>
      </c>
      <c r="D179" s="25">
        <v>0.28752934202734809</v>
      </c>
      <c r="E179" t="s">
        <v>111</v>
      </c>
      <c r="F179" s="25">
        <v>0.28752934202734809</v>
      </c>
      <c r="G179" t="s">
        <v>111</v>
      </c>
      <c r="H179" s="25">
        <v>0.28752934202734809</v>
      </c>
      <c r="I179" t="s">
        <v>111</v>
      </c>
      <c r="J179" s="25">
        <v>0.28752934202734809</v>
      </c>
      <c r="K179" t="s">
        <v>111</v>
      </c>
      <c r="L179" s="25">
        <v>0.28752934202734809</v>
      </c>
      <c r="M179" t="s">
        <v>111</v>
      </c>
    </row>
    <row r="180" spans="1:13" x14ac:dyDescent="0.25">
      <c r="A180" s="48">
        <v>176</v>
      </c>
      <c r="B180" s="49">
        <v>260386179183.1991</v>
      </c>
      <c r="C180" s="49">
        <v>451295000000</v>
      </c>
      <c r="D180" s="50">
        <v>0.28848777316743929</v>
      </c>
      <c r="E180" s="51" t="s">
        <v>111</v>
      </c>
      <c r="F180" s="50">
        <v>0.28848777316743929</v>
      </c>
      <c r="G180" s="51" t="s">
        <v>111</v>
      </c>
      <c r="H180" s="50">
        <v>0.28848777316743929</v>
      </c>
      <c r="I180" s="51" t="s">
        <v>111</v>
      </c>
      <c r="J180" s="50">
        <v>0.28848777316743929</v>
      </c>
      <c r="K180" s="51" t="s">
        <v>111</v>
      </c>
      <c r="L180" s="50">
        <v>0.28848777316743929</v>
      </c>
      <c r="M180" s="51" t="s">
        <v>111</v>
      </c>
    </row>
    <row r="181" spans="1:13" x14ac:dyDescent="0.25">
      <c r="A181" s="8">
        <v>177</v>
      </c>
      <c r="B181" s="24">
        <v>261254133113.80981</v>
      </c>
      <c r="C181" s="24">
        <v>451295000000</v>
      </c>
      <c r="D181" s="25">
        <v>0.28944939907799749</v>
      </c>
      <c r="E181" t="s">
        <v>111</v>
      </c>
      <c r="F181" s="25">
        <v>0.28944939907799749</v>
      </c>
      <c r="G181" t="s">
        <v>111</v>
      </c>
      <c r="H181" s="25">
        <v>0.28944939907799749</v>
      </c>
      <c r="I181" t="s">
        <v>111</v>
      </c>
      <c r="J181" s="25">
        <v>0.28944939907799749</v>
      </c>
      <c r="K181" t="s">
        <v>111</v>
      </c>
      <c r="L181" s="25">
        <v>0.28944939907799749</v>
      </c>
      <c r="M181" t="s">
        <v>111</v>
      </c>
    </row>
    <row r="182" spans="1:13" x14ac:dyDescent="0.25">
      <c r="A182" s="48">
        <v>178</v>
      </c>
      <c r="B182" s="49">
        <v>262124980224.18909</v>
      </c>
      <c r="C182" s="49">
        <v>451295000000</v>
      </c>
      <c r="D182" s="50">
        <v>0.29041423040825748</v>
      </c>
      <c r="E182" s="51" t="s">
        <v>111</v>
      </c>
      <c r="F182" s="50">
        <v>0.29041423040825748</v>
      </c>
      <c r="G182" s="51" t="s">
        <v>111</v>
      </c>
      <c r="H182" s="50">
        <v>0.29041423040825748</v>
      </c>
      <c r="I182" s="51" t="s">
        <v>111</v>
      </c>
      <c r="J182" s="50">
        <v>0.29041423040825748</v>
      </c>
      <c r="K182" s="51" t="s">
        <v>111</v>
      </c>
      <c r="L182" s="50">
        <v>0.29041423040825748</v>
      </c>
      <c r="M182" s="51" t="s">
        <v>111</v>
      </c>
    </row>
    <row r="183" spans="1:13" x14ac:dyDescent="0.25">
      <c r="A183" s="8">
        <v>179</v>
      </c>
      <c r="B183" s="24">
        <v>262998730158.26981</v>
      </c>
      <c r="C183" s="24">
        <v>451295000000</v>
      </c>
      <c r="D183" s="25">
        <v>0.29138227784295168</v>
      </c>
      <c r="E183" t="s">
        <v>111</v>
      </c>
      <c r="F183" s="25">
        <v>0.29138227784295168</v>
      </c>
      <c r="G183" t="s">
        <v>111</v>
      </c>
      <c r="H183" s="25">
        <v>0.29138227784295168</v>
      </c>
      <c r="I183" t="s">
        <v>111</v>
      </c>
      <c r="J183" s="25">
        <v>0.29138227784295168</v>
      </c>
      <c r="K183" t="s">
        <v>111</v>
      </c>
      <c r="L183" s="25">
        <v>0.29138227784295168</v>
      </c>
      <c r="M183" t="s">
        <v>111</v>
      </c>
    </row>
    <row r="184" spans="1:13" x14ac:dyDescent="0.25">
      <c r="A184" s="48">
        <v>180</v>
      </c>
      <c r="B184" s="49">
        <v>263875392592.13071</v>
      </c>
      <c r="C184" s="49">
        <v>451295000000</v>
      </c>
      <c r="D184" s="50">
        <v>0.29235355210242819</v>
      </c>
      <c r="E184" s="51" t="s">
        <v>111</v>
      </c>
      <c r="F184" s="50">
        <v>0.29235355210242819</v>
      </c>
      <c r="G184" s="51" t="s">
        <v>111</v>
      </c>
      <c r="H184" s="50">
        <v>0.29235355210242819</v>
      </c>
      <c r="I184" s="51" t="s">
        <v>111</v>
      </c>
      <c r="J184" s="50">
        <v>0.29235355210242819</v>
      </c>
      <c r="K184" s="51" t="s">
        <v>111</v>
      </c>
      <c r="L184" s="50">
        <v>0.29235355210242819</v>
      </c>
      <c r="M184" s="51" t="s">
        <v>111</v>
      </c>
    </row>
    <row r="185" spans="1:13" x14ac:dyDescent="0.25">
      <c r="A185" s="8">
        <v>181</v>
      </c>
      <c r="B185" s="24">
        <v>264754977234.10449</v>
      </c>
      <c r="C185" s="24">
        <v>451295000000</v>
      </c>
      <c r="D185" s="25">
        <v>0.29332806394276972</v>
      </c>
      <c r="E185" t="s">
        <v>111</v>
      </c>
      <c r="F185" s="25">
        <v>0.29332806394276972</v>
      </c>
      <c r="G185" t="s">
        <v>111</v>
      </c>
      <c r="H185" s="25">
        <v>0.29332806394276972</v>
      </c>
      <c r="I185" t="s">
        <v>111</v>
      </c>
      <c r="J185" s="25">
        <v>0.29332806394276972</v>
      </c>
      <c r="K185" t="s">
        <v>111</v>
      </c>
      <c r="L185" s="25">
        <v>0.29332806394276972</v>
      </c>
      <c r="M185" t="s">
        <v>111</v>
      </c>
    </row>
    <row r="186" spans="1:13" x14ac:dyDescent="0.25">
      <c r="A186" s="48">
        <v>182</v>
      </c>
      <c r="B186" s="49">
        <v>265637493824.88489</v>
      </c>
      <c r="C186" s="49">
        <v>451295000000</v>
      </c>
      <c r="D186" s="50">
        <v>0.29430582415591228</v>
      </c>
      <c r="E186" s="51" t="s">
        <v>111</v>
      </c>
      <c r="F186" s="50">
        <v>0.29430582415591228</v>
      </c>
      <c r="G186" s="51" t="s">
        <v>111</v>
      </c>
      <c r="H186" s="50">
        <v>0.29430582415591228</v>
      </c>
      <c r="I186" s="51" t="s">
        <v>111</v>
      </c>
      <c r="J186" s="50">
        <v>0.29430582415591228</v>
      </c>
      <c r="K186" s="51" t="s">
        <v>111</v>
      </c>
      <c r="L186" s="50">
        <v>0.29430582415591228</v>
      </c>
      <c r="M186" s="51" t="s">
        <v>111</v>
      </c>
    </row>
    <row r="187" spans="1:13" x14ac:dyDescent="0.25">
      <c r="A187" s="8">
        <v>183</v>
      </c>
      <c r="B187" s="24">
        <v>266522952137.63449</v>
      </c>
      <c r="C187" s="24">
        <v>451295000000</v>
      </c>
      <c r="D187" s="25">
        <v>0.29528684356976542</v>
      </c>
      <c r="E187" t="s">
        <v>111</v>
      </c>
      <c r="F187" s="25">
        <v>0.29528684356976542</v>
      </c>
      <c r="G187" t="s">
        <v>111</v>
      </c>
      <c r="H187" s="25">
        <v>0.29528684356976542</v>
      </c>
      <c r="I187" t="s">
        <v>111</v>
      </c>
      <c r="J187" s="25">
        <v>0.29528684356976542</v>
      </c>
      <c r="K187" t="s">
        <v>111</v>
      </c>
      <c r="L187" s="25">
        <v>0.29528684356976542</v>
      </c>
      <c r="M187" t="s">
        <v>111</v>
      </c>
    </row>
    <row r="188" spans="1:13" x14ac:dyDescent="0.25">
      <c r="A188" s="48">
        <v>184</v>
      </c>
      <c r="B188" s="49">
        <v>267411361978.09329</v>
      </c>
      <c r="C188" s="49">
        <v>451295000000</v>
      </c>
      <c r="D188" s="50">
        <v>0.29627113304833119</v>
      </c>
      <c r="E188" s="51" t="s">
        <v>111</v>
      </c>
      <c r="F188" s="50">
        <v>0.29627113304833119</v>
      </c>
      <c r="G188" s="51" t="s">
        <v>111</v>
      </c>
      <c r="H188" s="50">
        <v>0.29627113304833119</v>
      </c>
      <c r="I188" s="51" t="s">
        <v>111</v>
      </c>
      <c r="J188" s="50">
        <v>0.29627113304833119</v>
      </c>
      <c r="K188" s="51" t="s">
        <v>111</v>
      </c>
      <c r="L188" s="50">
        <v>0.29627113304833119</v>
      </c>
      <c r="M188" s="51" t="s">
        <v>111</v>
      </c>
    </row>
    <row r="189" spans="1:13" x14ac:dyDescent="0.25">
      <c r="A189" s="8">
        <v>185</v>
      </c>
      <c r="B189" s="24">
        <v>268302733184.68701</v>
      </c>
      <c r="C189" s="24">
        <v>451295000000</v>
      </c>
      <c r="D189" s="25">
        <v>0.2972587034918257</v>
      </c>
      <c r="E189" t="s">
        <v>111</v>
      </c>
      <c r="F189" s="25">
        <v>0.2972587034918257</v>
      </c>
      <c r="G189" t="s">
        <v>111</v>
      </c>
      <c r="H189" s="25">
        <v>0.2972587034918257</v>
      </c>
      <c r="I189" t="s">
        <v>111</v>
      </c>
      <c r="J189" s="25">
        <v>0.2972587034918257</v>
      </c>
      <c r="K189" t="s">
        <v>111</v>
      </c>
      <c r="L189" s="25">
        <v>0.2972587034918257</v>
      </c>
      <c r="M189" t="s">
        <v>111</v>
      </c>
    </row>
    <row r="190" spans="1:13" x14ac:dyDescent="0.25">
      <c r="A190" s="48">
        <v>186</v>
      </c>
      <c r="B190" s="49">
        <v>269197075628.63599</v>
      </c>
      <c r="C190" s="49">
        <v>451295000000</v>
      </c>
      <c r="D190" s="50">
        <v>0.29824956583679851</v>
      </c>
      <c r="E190" s="51" t="s">
        <v>111</v>
      </c>
      <c r="F190" s="50">
        <v>0.29824956583679851</v>
      </c>
      <c r="G190" s="51" t="s">
        <v>111</v>
      </c>
      <c r="H190" s="50">
        <v>0.29824956583679851</v>
      </c>
      <c r="I190" s="51" t="s">
        <v>111</v>
      </c>
      <c r="J190" s="50">
        <v>0.29824956583679851</v>
      </c>
      <c r="K190" s="51" t="s">
        <v>111</v>
      </c>
      <c r="L190" s="50">
        <v>0.29824956583679851</v>
      </c>
      <c r="M190" s="51" t="s">
        <v>111</v>
      </c>
    </row>
    <row r="191" spans="1:13" x14ac:dyDescent="0.25">
      <c r="A191" s="8">
        <v>187</v>
      </c>
      <c r="B191" s="24">
        <v>270094399214.06479</v>
      </c>
      <c r="C191" s="24">
        <v>451295000000</v>
      </c>
      <c r="D191" s="25">
        <v>0.29924373105625462</v>
      </c>
      <c r="E191" t="s">
        <v>111</v>
      </c>
      <c r="F191" s="25">
        <v>0.29924373105625462</v>
      </c>
      <c r="G191" t="s">
        <v>111</v>
      </c>
      <c r="H191" s="25">
        <v>0.29924373105625462</v>
      </c>
      <c r="I191" t="s">
        <v>111</v>
      </c>
      <c r="J191" s="25">
        <v>0.29924373105625462</v>
      </c>
      <c r="K191" t="s">
        <v>111</v>
      </c>
      <c r="L191" s="25">
        <v>0.29924373105625462</v>
      </c>
      <c r="M191" t="s">
        <v>111</v>
      </c>
    </row>
    <row r="192" spans="1:13" x14ac:dyDescent="0.25">
      <c r="A192" s="48">
        <v>188</v>
      </c>
      <c r="B192" s="49">
        <v>270994713878.11169</v>
      </c>
      <c r="C192" s="49">
        <v>451295000000</v>
      </c>
      <c r="D192" s="50">
        <v>0.3002412101597754</v>
      </c>
      <c r="E192" s="51" t="s">
        <v>111</v>
      </c>
      <c r="F192" s="50">
        <v>0.3002412101597754</v>
      </c>
      <c r="G192" s="51" t="s">
        <v>111</v>
      </c>
      <c r="H192" s="50">
        <v>0.3002412101597754</v>
      </c>
      <c r="I192" s="51" t="s">
        <v>111</v>
      </c>
      <c r="J192" s="50">
        <v>0.3002412101597754</v>
      </c>
      <c r="K192" s="51" t="s">
        <v>111</v>
      </c>
      <c r="L192" s="50">
        <v>0.3002412101597754</v>
      </c>
      <c r="M192" s="51" t="s">
        <v>111</v>
      </c>
    </row>
    <row r="193" spans="1:13" x14ac:dyDescent="0.25">
      <c r="A193" s="8">
        <v>189</v>
      </c>
      <c r="B193" s="24">
        <v>271898029591.0387</v>
      </c>
      <c r="C193" s="24">
        <v>451295000000</v>
      </c>
      <c r="D193" s="25">
        <v>0.30124201419364133</v>
      </c>
      <c r="E193" t="s">
        <v>111</v>
      </c>
      <c r="F193" s="25">
        <v>0.30124201419364133</v>
      </c>
      <c r="G193" t="s">
        <v>111</v>
      </c>
      <c r="H193" s="25">
        <v>0.30124201419364133</v>
      </c>
      <c r="I193" t="s">
        <v>111</v>
      </c>
      <c r="J193" s="25">
        <v>0.30124201419364133</v>
      </c>
      <c r="K193" t="s">
        <v>111</v>
      </c>
      <c r="L193" s="25">
        <v>0.30124201419364133</v>
      </c>
      <c r="M193" t="s">
        <v>111</v>
      </c>
    </row>
    <row r="194" spans="1:13" x14ac:dyDescent="0.25">
      <c r="A194" s="48">
        <v>190</v>
      </c>
      <c r="B194" s="49">
        <v>272804356356.34219</v>
      </c>
      <c r="C194" s="49">
        <v>451295000000</v>
      </c>
      <c r="D194" s="50">
        <v>0.30224615424095352</v>
      </c>
      <c r="E194" s="51" t="s">
        <v>111</v>
      </c>
      <c r="F194" s="50">
        <v>0.30224615424095352</v>
      </c>
      <c r="G194" s="51" t="s">
        <v>111</v>
      </c>
      <c r="H194" s="50">
        <v>0.30224615424095352</v>
      </c>
      <c r="I194" s="51" t="s">
        <v>111</v>
      </c>
      <c r="J194" s="50">
        <v>0.30224615424095352</v>
      </c>
      <c r="K194" s="51" t="s">
        <v>111</v>
      </c>
      <c r="L194" s="50">
        <v>0.30224615424095352</v>
      </c>
      <c r="M194" s="51" t="s">
        <v>111</v>
      </c>
    </row>
    <row r="195" spans="1:13" x14ac:dyDescent="0.25">
      <c r="A195" s="8">
        <v>191</v>
      </c>
      <c r="B195" s="24">
        <v>273713704210.8634</v>
      </c>
      <c r="C195" s="24">
        <v>451295000000</v>
      </c>
      <c r="D195" s="25">
        <v>0.3032536414217567</v>
      </c>
      <c r="E195" t="s">
        <v>111</v>
      </c>
      <c r="F195" s="25">
        <v>0.3032536414217567</v>
      </c>
      <c r="G195" t="s">
        <v>111</v>
      </c>
      <c r="H195" s="25">
        <v>0.3032536414217567</v>
      </c>
      <c r="I195" t="s">
        <v>111</v>
      </c>
      <c r="J195" s="25">
        <v>0.3032536414217567</v>
      </c>
      <c r="K195" t="s">
        <v>111</v>
      </c>
      <c r="L195" s="25">
        <v>0.3032536414217567</v>
      </c>
      <c r="M195" t="s">
        <v>111</v>
      </c>
    </row>
    <row r="196" spans="1:13" x14ac:dyDescent="0.25">
      <c r="A196" s="48">
        <v>192</v>
      </c>
      <c r="B196" s="49">
        <v>274626083224.8996</v>
      </c>
      <c r="C196" s="49">
        <v>451295000000</v>
      </c>
      <c r="D196" s="50">
        <v>0.30426448689316249</v>
      </c>
      <c r="E196" s="51" t="s">
        <v>111</v>
      </c>
      <c r="F196" s="50">
        <v>0.30426448689316249</v>
      </c>
      <c r="G196" s="51" t="s">
        <v>111</v>
      </c>
      <c r="H196" s="50">
        <v>0.30426448689316249</v>
      </c>
      <c r="I196" s="51" t="s">
        <v>111</v>
      </c>
      <c r="J196" s="50">
        <v>0.30426448689316249</v>
      </c>
      <c r="K196" s="51" t="s">
        <v>111</v>
      </c>
      <c r="L196" s="50">
        <v>0.30426448689316249</v>
      </c>
      <c r="M196" s="51" t="s">
        <v>111</v>
      </c>
    </row>
    <row r="197" spans="1:13" x14ac:dyDescent="0.25">
      <c r="A197" s="8">
        <v>193</v>
      </c>
      <c r="B197" s="24">
        <v>275541503502.31598</v>
      </c>
      <c r="C197" s="24">
        <v>451295000000</v>
      </c>
      <c r="D197" s="25">
        <v>0.30527870184947309</v>
      </c>
      <c r="E197" t="s">
        <v>111</v>
      </c>
      <c r="F197" s="25">
        <v>0.30527870184947309</v>
      </c>
      <c r="G197" t="s">
        <v>111</v>
      </c>
      <c r="H197" s="25">
        <v>0.30527870184947309</v>
      </c>
      <c r="I197" t="s">
        <v>111</v>
      </c>
      <c r="J197" s="25">
        <v>0.30527870184947309</v>
      </c>
      <c r="K197" t="s">
        <v>111</v>
      </c>
      <c r="L197" s="25">
        <v>0.30527870184947309</v>
      </c>
      <c r="M197" t="s">
        <v>111</v>
      </c>
    </row>
    <row r="198" spans="1:13" x14ac:dyDescent="0.25">
      <c r="A198" s="48">
        <v>194</v>
      </c>
      <c r="B198" s="49">
        <v>276459975180.65698</v>
      </c>
      <c r="C198" s="49">
        <v>451295000000</v>
      </c>
      <c r="D198" s="50">
        <v>0.30629629752230481</v>
      </c>
      <c r="E198" s="51" t="s">
        <v>111</v>
      </c>
      <c r="F198" s="50">
        <v>0.30629629752230481</v>
      </c>
      <c r="G198" s="51" t="s">
        <v>111</v>
      </c>
      <c r="H198" s="50">
        <v>0.30629629752230481</v>
      </c>
      <c r="I198" s="51" t="s">
        <v>111</v>
      </c>
      <c r="J198" s="50">
        <v>0.30629629752230481</v>
      </c>
      <c r="K198" s="51" t="s">
        <v>111</v>
      </c>
      <c r="L198" s="50">
        <v>0.30629629752230481</v>
      </c>
      <c r="M198" s="51" t="s">
        <v>111</v>
      </c>
    </row>
    <row r="199" spans="1:13" x14ac:dyDescent="0.25">
      <c r="A199" s="8">
        <v>195</v>
      </c>
      <c r="B199" s="24">
        <v>277381508431.25922</v>
      </c>
      <c r="C199" s="24">
        <v>451295000000</v>
      </c>
      <c r="D199" s="25">
        <v>0.30731728518071239</v>
      </c>
      <c r="E199" t="s">
        <v>111</v>
      </c>
      <c r="F199" s="25">
        <v>0.30731728518071239</v>
      </c>
      <c r="G199" t="s">
        <v>111</v>
      </c>
      <c r="H199" s="25">
        <v>0.30731728518071239</v>
      </c>
      <c r="I199" t="s">
        <v>111</v>
      </c>
      <c r="J199" s="25">
        <v>0.30731728518071239</v>
      </c>
      <c r="K199" t="s">
        <v>111</v>
      </c>
      <c r="L199" s="25">
        <v>0.30731728518071239</v>
      </c>
      <c r="M199" t="s">
        <v>111</v>
      </c>
    </row>
    <row r="200" spans="1:13" x14ac:dyDescent="0.25">
      <c r="A200" s="48">
        <v>196</v>
      </c>
      <c r="B200" s="49">
        <v>278306113459.36353</v>
      </c>
      <c r="C200" s="49">
        <v>451295000000</v>
      </c>
      <c r="D200" s="50">
        <v>0.30834167613131491</v>
      </c>
      <c r="E200" s="51" t="s">
        <v>111</v>
      </c>
      <c r="F200" s="50">
        <v>0.30834167613131491</v>
      </c>
      <c r="G200" s="51" t="s">
        <v>111</v>
      </c>
      <c r="H200" s="50">
        <v>0.30834167613131491</v>
      </c>
      <c r="I200" s="51" t="s">
        <v>111</v>
      </c>
      <c r="J200" s="50">
        <v>0.30834167613131491</v>
      </c>
      <c r="K200" s="51" t="s">
        <v>111</v>
      </c>
      <c r="L200" s="50">
        <v>0.30834167613131491</v>
      </c>
      <c r="M200" s="51" t="s">
        <v>111</v>
      </c>
    </row>
    <row r="201" spans="1:13" x14ac:dyDescent="0.25">
      <c r="A201" s="8">
        <v>197</v>
      </c>
      <c r="B201" s="24">
        <v>279233800504.22803</v>
      </c>
      <c r="C201" s="24">
        <v>451295000000</v>
      </c>
      <c r="D201" s="25">
        <v>0.30936948171841933</v>
      </c>
      <c r="E201" t="s">
        <v>111</v>
      </c>
      <c r="F201" s="25">
        <v>0.30936948171841933</v>
      </c>
      <c r="G201" t="s">
        <v>111</v>
      </c>
      <c r="H201" s="25">
        <v>0.30936948171841933</v>
      </c>
      <c r="I201" t="s">
        <v>111</v>
      </c>
      <c r="J201" s="25">
        <v>0.30936948171841933</v>
      </c>
      <c r="K201" t="s">
        <v>111</v>
      </c>
      <c r="L201" s="25">
        <v>0.30936948171841933</v>
      </c>
      <c r="M201" t="s">
        <v>111</v>
      </c>
    </row>
    <row r="202" spans="1:13" x14ac:dyDescent="0.25">
      <c r="A202" s="48">
        <v>198</v>
      </c>
      <c r="B202" s="49">
        <v>280164579839.24213</v>
      </c>
      <c r="C202" s="49">
        <v>451295000000</v>
      </c>
      <c r="D202" s="50">
        <v>0.31040071332414731</v>
      </c>
      <c r="E202" s="51" t="s">
        <v>111</v>
      </c>
      <c r="F202" s="50">
        <v>0.31040071332414731</v>
      </c>
      <c r="G202" s="51" t="s">
        <v>111</v>
      </c>
      <c r="H202" s="50">
        <v>0.31040071332414731</v>
      </c>
      <c r="I202" s="51" t="s">
        <v>111</v>
      </c>
      <c r="J202" s="50">
        <v>0.31040071332414731</v>
      </c>
      <c r="K202" s="51" t="s">
        <v>111</v>
      </c>
      <c r="L202" s="50">
        <v>0.31040071332414731</v>
      </c>
      <c r="M202" s="51" t="s">
        <v>111</v>
      </c>
    </row>
    <row r="203" spans="1:13" x14ac:dyDescent="0.25">
      <c r="A203" s="8">
        <v>199</v>
      </c>
      <c r="B203" s="24">
        <v>281098461772.03967</v>
      </c>
      <c r="C203" s="24">
        <v>451295000000</v>
      </c>
      <c r="D203" s="25">
        <v>0.31143538236856122</v>
      </c>
      <c r="E203" t="s">
        <v>111</v>
      </c>
      <c r="F203" s="25">
        <v>0.31143538236856122</v>
      </c>
      <c r="G203" t="s">
        <v>111</v>
      </c>
      <c r="H203" s="25">
        <v>0.31143538236856122</v>
      </c>
      <c r="I203" t="s">
        <v>111</v>
      </c>
      <c r="J203" s="25">
        <v>0.31143538236856122</v>
      </c>
      <c r="K203" t="s">
        <v>111</v>
      </c>
      <c r="L203" s="25">
        <v>0.31143538236856122</v>
      </c>
      <c r="M203" t="s">
        <v>111</v>
      </c>
    </row>
    <row r="204" spans="1:13" x14ac:dyDescent="0.25">
      <c r="A204" s="48">
        <v>200</v>
      </c>
      <c r="B204" s="49">
        <v>282035456644.6131</v>
      </c>
      <c r="C204" s="49">
        <v>451295000000</v>
      </c>
      <c r="D204" s="50">
        <v>0.31247350030978971</v>
      </c>
      <c r="E204" s="51" t="s">
        <v>111</v>
      </c>
      <c r="F204" s="50">
        <v>0.31247350030978971</v>
      </c>
      <c r="G204" s="51" t="s">
        <v>111</v>
      </c>
      <c r="H204" s="50">
        <v>0.31247350030978971</v>
      </c>
      <c r="I204" s="51" t="s">
        <v>111</v>
      </c>
      <c r="J204" s="50">
        <v>0.31247350030978971</v>
      </c>
      <c r="K204" s="51" t="s">
        <v>111</v>
      </c>
      <c r="L204" s="50">
        <v>0.31247350030978971</v>
      </c>
      <c r="M204" s="51" t="s">
        <v>111</v>
      </c>
    </row>
    <row r="205" spans="1:13" x14ac:dyDescent="0.25">
      <c r="A205" s="8">
        <v>201</v>
      </c>
      <c r="B205" s="24">
        <v>282975574833.42853</v>
      </c>
      <c r="C205" s="24">
        <v>451295000000</v>
      </c>
      <c r="D205" s="25">
        <v>0.31351507864415568</v>
      </c>
      <c r="E205" t="s">
        <v>111</v>
      </c>
      <c r="F205" s="25">
        <v>0.31351507864415568</v>
      </c>
      <c r="G205" t="s">
        <v>111</v>
      </c>
      <c r="H205" s="25">
        <v>0.31351507864415568</v>
      </c>
      <c r="I205" t="s">
        <v>111</v>
      </c>
      <c r="J205" s="25">
        <v>0.31351507864415568</v>
      </c>
      <c r="K205" t="s">
        <v>111</v>
      </c>
      <c r="L205" s="25">
        <v>0.31351507864415568</v>
      </c>
      <c r="M205" t="s">
        <v>111</v>
      </c>
    </row>
    <row r="206" spans="1:13" x14ac:dyDescent="0.25">
      <c r="A206" s="48">
        <v>202</v>
      </c>
      <c r="B206" s="49">
        <v>283918826749.53998</v>
      </c>
      <c r="C206" s="49">
        <v>451295000000</v>
      </c>
      <c r="D206" s="50">
        <v>0.31456012890630303</v>
      </c>
      <c r="E206" s="51" t="s">
        <v>111</v>
      </c>
      <c r="F206" s="50">
        <v>0.31456012890630303</v>
      </c>
      <c r="G206" s="51" t="s">
        <v>111</v>
      </c>
      <c r="H206" s="50">
        <v>0.31456012890630303</v>
      </c>
      <c r="I206" s="51" t="s">
        <v>111</v>
      </c>
      <c r="J206" s="50">
        <v>0.31456012890630303</v>
      </c>
      <c r="K206" s="51" t="s">
        <v>111</v>
      </c>
      <c r="L206" s="50">
        <v>0.31456012890630303</v>
      </c>
      <c r="M206" s="51" t="s">
        <v>111</v>
      </c>
    </row>
    <row r="207" spans="1:13" x14ac:dyDescent="0.25">
      <c r="A207" s="8">
        <v>203</v>
      </c>
      <c r="B207" s="24">
        <v>284865222838.70508</v>
      </c>
      <c r="C207" s="24">
        <v>451295000000</v>
      </c>
      <c r="D207" s="25">
        <v>0.31560866266932402</v>
      </c>
      <c r="E207" t="s">
        <v>111</v>
      </c>
      <c r="F207" s="25">
        <v>0.31560866266932402</v>
      </c>
      <c r="G207" t="s">
        <v>111</v>
      </c>
      <c r="H207" s="25">
        <v>0.31560866266932402</v>
      </c>
      <c r="I207" t="s">
        <v>111</v>
      </c>
      <c r="J207" s="25">
        <v>0.31560866266932402</v>
      </c>
      <c r="K207" t="s">
        <v>111</v>
      </c>
      <c r="L207" s="25">
        <v>0.31560866266932402</v>
      </c>
      <c r="M207" t="s">
        <v>111</v>
      </c>
    </row>
    <row r="208" spans="1:13" x14ac:dyDescent="0.25">
      <c r="A208" s="48">
        <v>204</v>
      </c>
      <c r="B208" s="49">
        <v>285814773581.50092</v>
      </c>
      <c r="C208" s="49">
        <v>451295000000</v>
      </c>
      <c r="D208" s="50">
        <v>0.31666069154488852</v>
      </c>
      <c r="E208" s="51" t="s">
        <v>111</v>
      </c>
      <c r="F208" s="50">
        <v>0.31666069154488852</v>
      </c>
      <c r="G208" s="51" t="s">
        <v>111</v>
      </c>
      <c r="H208" s="50">
        <v>0.31666069154488852</v>
      </c>
      <c r="I208" s="51" t="s">
        <v>111</v>
      </c>
      <c r="J208" s="50">
        <v>0.31666069154488852</v>
      </c>
      <c r="K208" s="51" t="s">
        <v>111</v>
      </c>
      <c r="L208" s="50">
        <v>0.31666069154488852</v>
      </c>
      <c r="M208" s="51" t="s">
        <v>111</v>
      </c>
    </row>
    <row r="209" spans="1:13" x14ac:dyDescent="0.25">
      <c r="A209" s="8">
        <v>205</v>
      </c>
      <c r="B209" s="24">
        <v>286767489493.43921</v>
      </c>
      <c r="C209" s="24">
        <v>451295000000</v>
      </c>
      <c r="D209" s="25">
        <v>0.31771622718337139</v>
      </c>
      <c r="E209" t="s">
        <v>111</v>
      </c>
      <c r="F209" s="25">
        <v>0.31771622718337139</v>
      </c>
      <c r="G209" t="s">
        <v>111</v>
      </c>
      <c r="H209" s="25">
        <v>0.31771622718337139</v>
      </c>
      <c r="I209" t="s">
        <v>111</v>
      </c>
      <c r="J209" s="25">
        <v>0.31771622718337139</v>
      </c>
      <c r="K209" t="s">
        <v>111</v>
      </c>
      <c r="L209" s="25">
        <v>0.31771622718337139</v>
      </c>
      <c r="M209" t="s">
        <v>111</v>
      </c>
    </row>
    <row r="210" spans="1:13" x14ac:dyDescent="0.25">
      <c r="A210" s="48">
        <v>206</v>
      </c>
      <c r="B210" s="49">
        <v>287723381125.08398</v>
      </c>
      <c r="C210" s="49">
        <v>451295000000</v>
      </c>
      <c r="D210" s="50">
        <v>0.31877528127398269</v>
      </c>
      <c r="E210" s="51" t="s">
        <v>111</v>
      </c>
      <c r="F210" s="50">
        <v>0.31877528127398269</v>
      </c>
      <c r="G210" s="51" t="s">
        <v>111</v>
      </c>
      <c r="H210" s="50">
        <v>0.31877528127398269</v>
      </c>
      <c r="I210" s="51" t="s">
        <v>111</v>
      </c>
      <c r="J210" s="50">
        <v>0.31877528127398269</v>
      </c>
      <c r="K210" s="51" t="s">
        <v>111</v>
      </c>
      <c r="L210" s="50">
        <v>0.31877528127398269</v>
      </c>
      <c r="M210" s="51" t="s">
        <v>111</v>
      </c>
    </row>
    <row r="211" spans="1:13" x14ac:dyDescent="0.25">
      <c r="A211" s="8">
        <v>207</v>
      </c>
      <c r="B211" s="24">
        <v>288682459062.16772</v>
      </c>
      <c r="C211" s="24">
        <v>451295000000</v>
      </c>
      <c r="D211" s="25">
        <v>0.31983786554489602</v>
      </c>
      <c r="E211" t="s">
        <v>111</v>
      </c>
      <c r="F211" s="25">
        <v>0.31983786554489602</v>
      </c>
      <c r="G211" t="s">
        <v>111</v>
      </c>
      <c r="H211" s="25">
        <v>0.31983786554489602</v>
      </c>
      <c r="I211" t="s">
        <v>111</v>
      </c>
      <c r="J211" s="25">
        <v>0.31983786554489602</v>
      </c>
      <c r="K211" t="s">
        <v>111</v>
      </c>
      <c r="L211" s="25">
        <v>0.31983786554489602</v>
      </c>
      <c r="M211" t="s">
        <v>111</v>
      </c>
    </row>
    <row r="212" spans="1:13" x14ac:dyDescent="0.25">
      <c r="A212" s="48">
        <v>208</v>
      </c>
      <c r="B212" s="49">
        <v>289644733925.70831</v>
      </c>
      <c r="C212" s="49">
        <v>451295000000</v>
      </c>
      <c r="D212" s="50">
        <v>0.32090399176337903</v>
      </c>
      <c r="E212" s="51" t="s">
        <v>111</v>
      </c>
      <c r="F212" s="50">
        <v>0.32090399176337903</v>
      </c>
      <c r="G212" s="51" t="s">
        <v>111</v>
      </c>
      <c r="H212" s="50">
        <v>0.32090399176337903</v>
      </c>
      <c r="I212" s="51" t="s">
        <v>111</v>
      </c>
      <c r="J212" s="50">
        <v>0.32090399176337903</v>
      </c>
      <c r="K212" s="51" t="s">
        <v>111</v>
      </c>
      <c r="L212" s="50">
        <v>0.32090399176337903</v>
      </c>
      <c r="M212" s="51" t="s">
        <v>111</v>
      </c>
    </row>
    <row r="213" spans="1:13" x14ac:dyDescent="0.25">
      <c r="A213" s="8">
        <v>209</v>
      </c>
      <c r="B213" s="24">
        <v>290610216372.12732</v>
      </c>
      <c r="C213" s="24">
        <v>451295000000</v>
      </c>
      <c r="D213" s="25">
        <v>0.32197367173592362</v>
      </c>
      <c r="E213" t="s">
        <v>111</v>
      </c>
      <c r="F213" s="25">
        <v>0.32197367173592362</v>
      </c>
      <c r="G213" t="s">
        <v>111</v>
      </c>
      <c r="H213" s="25">
        <v>0.32197367173592362</v>
      </c>
      <c r="I213" t="s">
        <v>111</v>
      </c>
      <c r="J213" s="25">
        <v>0.32197367173592362</v>
      </c>
      <c r="K213" t="s">
        <v>111</v>
      </c>
      <c r="L213" s="25">
        <v>0.32197367173592362</v>
      </c>
      <c r="M213" t="s">
        <v>111</v>
      </c>
    </row>
    <row r="214" spans="1:13" x14ac:dyDescent="0.25">
      <c r="A214" s="48">
        <v>210</v>
      </c>
      <c r="B214" s="49">
        <v>291578917093.36768</v>
      </c>
      <c r="C214" s="49">
        <v>451295000000</v>
      </c>
      <c r="D214" s="50">
        <v>0.3230469173083767</v>
      </c>
      <c r="E214" s="51" t="s">
        <v>111</v>
      </c>
      <c r="F214" s="50">
        <v>0.3230469173083767</v>
      </c>
      <c r="G214" s="51" t="s">
        <v>111</v>
      </c>
      <c r="H214" s="50">
        <v>0.3230469173083767</v>
      </c>
      <c r="I214" s="51" t="s">
        <v>111</v>
      </c>
      <c r="J214" s="50">
        <v>0.3230469173083767</v>
      </c>
      <c r="K214" s="51" t="s">
        <v>111</v>
      </c>
      <c r="L214" s="50">
        <v>0.3230469173083767</v>
      </c>
      <c r="M214" s="51" t="s">
        <v>111</v>
      </c>
    </row>
    <row r="215" spans="1:13" x14ac:dyDescent="0.25">
      <c r="A215" s="8">
        <v>211</v>
      </c>
      <c r="B215" s="24">
        <v>292550846817.01233</v>
      </c>
      <c r="C215" s="24">
        <v>451295000000</v>
      </c>
      <c r="D215" s="25">
        <v>0.32412374036607128</v>
      </c>
      <c r="E215" t="s">
        <v>111</v>
      </c>
      <c r="F215" s="25">
        <v>0.32412374036607128</v>
      </c>
      <c r="G215" t="s">
        <v>111</v>
      </c>
      <c r="H215" s="25">
        <v>0.32412374036607128</v>
      </c>
      <c r="I215" t="s">
        <v>111</v>
      </c>
      <c r="J215" s="25">
        <v>0.32412374036607128</v>
      </c>
      <c r="K215" t="s">
        <v>111</v>
      </c>
      <c r="L215" s="25">
        <v>0.32412374036607128</v>
      </c>
      <c r="M215" t="s">
        <v>111</v>
      </c>
    </row>
    <row r="216" spans="1:13" x14ac:dyDescent="0.25">
      <c r="A216" s="48">
        <v>212</v>
      </c>
      <c r="B216" s="49">
        <v>293526016306.4024</v>
      </c>
      <c r="C216" s="49">
        <v>451295000000</v>
      </c>
      <c r="D216" s="50">
        <v>0.32520415283395832</v>
      </c>
      <c r="E216" s="51" t="s">
        <v>111</v>
      </c>
      <c r="F216" s="50">
        <v>0.32520415283395832</v>
      </c>
      <c r="G216" s="51" t="s">
        <v>111</v>
      </c>
      <c r="H216" s="50">
        <v>0.32520415283395832</v>
      </c>
      <c r="I216" s="51" t="s">
        <v>111</v>
      </c>
      <c r="J216" s="50">
        <v>0.32520415283395832</v>
      </c>
      <c r="K216" s="51" t="s">
        <v>111</v>
      </c>
      <c r="L216" s="50">
        <v>0.32520415283395832</v>
      </c>
      <c r="M216" s="51" t="s">
        <v>111</v>
      </c>
    </row>
    <row r="217" spans="1:13" x14ac:dyDescent="0.25">
      <c r="A217" s="8">
        <v>213</v>
      </c>
      <c r="B217" s="24">
        <v>294504436360.75708</v>
      </c>
      <c r="C217" s="24">
        <v>451295000000</v>
      </c>
      <c r="D217" s="25">
        <v>0.32628816667673821</v>
      </c>
      <c r="E217" t="s">
        <v>111</v>
      </c>
      <c r="F217" s="25">
        <v>0.32628816667673821</v>
      </c>
      <c r="G217" t="s">
        <v>111</v>
      </c>
      <c r="H217" s="25">
        <v>0.32628816667673821</v>
      </c>
      <c r="I217" t="s">
        <v>111</v>
      </c>
      <c r="J217" s="25">
        <v>0.32628816667673821</v>
      </c>
      <c r="K217" t="s">
        <v>111</v>
      </c>
      <c r="L217" s="25">
        <v>0.32628816667673821</v>
      </c>
      <c r="M217" t="s">
        <v>111</v>
      </c>
    </row>
    <row r="218" spans="1:13" x14ac:dyDescent="0.25">
      <c r="A218" s="48">
        <v>214</v>
      </c>
      <c r="B218" s="49">
        <v>295486117815.29303</v>
      </c>
      <c r="C218" s="49">
        <v>451295000000</v>
      </c>
      <c r="D218" s="50">
        <v>0.32737579389899402</v>
      </c>
      <c r="E218" s="51" t="s">
        <v>111</v>
      </c>
      <c r="F218" s="50">
        <v>0.32737579389899402</v>
      </c>
      <c r="G218" s="51" t="s">
        <v>111</v>
      </c>
      <c r="H218" s="50">
        <v>0.32737579389899402</v>
      </c>
      <c r="I218" s="51" t="s">
        <v>111</v>
      </c>
      <c r="J218" s="50">
        <v>0.32737579389899402</v>
      </c>
      <c r="K218" s="51" t="s">
        <v>111</v>
      </c>
      <c r="L218" s="50">
        <v>0.32737579389899402</v>
      </c>
      <c r="M218" s="51" t="s">
        <v>111</v>
      </c>
    </row>
    <row r="219" spans="1:13" x14ac:dyDescent="0.25">
      <c r="A219" s="8">
        <v>215</v>
      </c>
      <c r="B219" s="24">
        <v>296471071541.34399</v>
      </c>
      <c r="C219" s="24">
        <v>451295000000</v>
      </c>
      <c r="D219" s="25">
        <v>0.32846704654532399</v>
      </c>
      <c r="E219" t="s">
        <v>111</v>
      </c>
      <c r="F219" s="25">
        <v>0.32846704654532399</v>
      </c>
      <c r="G219" t="s">
        <v>111</v>
      </c>
      <c r="H219" s="25">
        <v>0.32846704654532399</v>
      </c>
      <c r="I219" t="s">
        <v>111</v>
      </c>
      <c r="J219" s="25">
        <v>0.32846704654532399</v>
      </c>
      <c r="K219" t="s">
        <v>111</v>
      </c>
      <c r="L219" s="25">
        <v>0.32846704654532399</v>
      </c>
      <c r="M219" t="s">
        <v>111</v>
      </c>
    </row>
    <row r="220" spans="1:13" x14ac:dyDescent="0.25">
      <c r="A220" s="48">
        <v>216</v>
      </c>
      <c r="B220" s="49">
        <v>297459308446.48181</v>
      </c>
      <c r="C220" s="49">
        <v>451295000000</v>
      </c>
      <c r="D220" s="50">
        <v>0.32956193670047512</v>
      </c>
      <c r="E220" s="51" t="s">
        <v>111</v>
      </c>
      <c r="F220" s="50">
        <v>0.32956193670047512</v>
      </c>
      <c r="G220" s="51" t="s">
        <v>111</v>
      </c>
      <c r="H220" s="50">
        <v>0.32956193670047512</v>
      </c>
      <c r="I220" s="51" t="s">
        <v>111</v>
      </c>
      <c r="J220" s="50">
        <v>0.32956193670047512</v>
      </c>
      <c r="K220" s="51" t="s">
        <v>111</v>
      </c>
      <c r="L220" s="50">
        <v>0.32956193670047512</v>
      </c>
      <c r="M220" s="51" t="s">
        <v>111</v>
      </c>
    </row>
    <row r="221" spans="1:13" x14ac:dyDescent="0.25">
      <c r="A221" s="8">
        <v>217</v>
      </c>
      <c r="B221" s="24">
        <v>298450839474.63672</v>
      </c>
      <c r="C221" s="24">
        <v>451295000000</v>
      </c>
      <c r="D221" s="25">
        <v>0.33066047648947672</v>
      </c>
      <c r="E221" t="s">
        <v>111</v>
      </c>
      <c r="F221" s="25">
        <v>0.33066047648947672</v>
      </c>
      <c r="G221" t="s">
        <v>111</v>
      </c>
      <c r="H221" s="25">
        <v>0.33066047648947672</v>
      </c>
      <c r="I221" t="s">
        <v>111</v>
      </c>
      <c r="J221" s="25">
        <v>0.33066047648947672</v>
      </c>
      <c r="K221" t="s">
        <v>111</v>
      </c>
      <c r="L221" s="25">
        <v>0.33066047648947672</v>
      </c>
      <c r="M221" t="s">
        <v>111</v>
      </c>
    </row>
    <row r="222" spans="1:13" x14ac:dyDescent="0.25">
      <c r="A222" s="48">
        <v>218</v>
      </c>
      <c r="B222" s="49">
        <v>299445675606.21887</v>
      </c>
      <c r="C222" s="49">
        <v>451295000000</v>
      </c>
      <c r="D222" s="50">
        <v>0.33176267807777499</v>
      </c>
      <c r="E222" s="51" t="s">
        <v>111</v>
      </c>
      <c r="F222" s="50">
        <v>0.33176267807777499</v>
      </c>
      <c r="G222" s="51" t="s">
        <v>111</v>
      </c>
      <c r="H222" s="50">
        <v>0.33176267807777499</v>
      </c>
      <c r="I222" s="51" t="s">
        <v>111</v>
      </c>
      <c r="J222" s="50">
        <v>0.33176267807777499</v>
      </c>
      <c r="K222" s="51" t="s">
        <v>111</v>
      </c>
      <c r="L222" s="50">
        <v>0.33176267807777499</v>
      </c>
      <c r="M222" s="51" t="s">
        <v>111</v>
      </c>
    </row>
    <row r="223" spans="1:13" x14ac:dyDescent="0.25">
      <c r="A223" s="8">
        <v>219</v>
      </c>
      <c r="B223" s="24">
        <v>300443827858.23962</v>
      </c>
      <c r="C223" s="24">
        <v>451295000000</v>
      </c>
      <c r="D223" s="25">
        <v>0.33286855367136747</v>
      </c>
      <c r="E223" t="s">
        <v>111</v>
      </c>
      <c r="F223" s="25">
        <v>0.33286855367136747</v>
      </c>
      <c r="G223" t="s">
        <v>111</v>
      </c>
      <c r="H223" s="25">
        <v>0.33286855367136747</v>
      </c>
      <c r="I223" t="s">
        <v>111</v>
      </c>
      <c r="J223" s="25">
        <v>0.33286855367136747</v>
      </c>
      <c r="K223" t="s">
        <v>111</v>
      </c>
      <c r="L223" s="25">
        <v>0.33286855367136747</v>
      </c>
      <c r="M223" t="s">
        <v>111</v>
      </c>
    </row>
    <row r="224" spans="1:13" x14ac:dyDescent="0.25">
      <c r="A224" s="48">
        <v>220</v>
      </c>
      <c r="B224" s="49">
        <v>301445307284.43378</v>
      </c>
      <c r="C224" s="49">
        <v>451295000000</v>
      </c>
      <c r="D224" s="50">
        <v>0.33397811551693879</v>
      </c>
      <c r="E224" s="51" t="s">
        <v>111</v>
      </c>
      <c r="F224" s="50">
        <v>0.33397811551693879</v>
      </c>
      <c r="G224" s="51" t="s">
        <v>111</v>
      </c>
      <c r="H224" s="50">
        <v>0.33397811551693879</v>
      </c>
      <c r="I224" s="51" t="s">
        <v>111</v>
      </c>
      <c r="J224" s="50">
        <v>0.33397811551693879</v>
      </c>
      <c r="K224" s="51" t="s">
        <v>111</v>
      </c>
      <c r="L224" s="50">
        <v>0.33397811551693879</v>
      </c>
      <c r="M224" s="51" t="s">
        <v>111</v>
      </c>
    </row>
    <row r="225" spans="1:13" x14ac:dyDescent="0.25">
      <c r="A225" s="8">
        <v>221</v>
      </c>
      <c r="B225" s="24">
        <v>302450124975.38202</v>
      </c>
      <c r="C225" s="24">
        <v>451295000000</v>
      </c>
      <c r="D225" s="25">
        <v>0.33509137590199528</v>
      </c>
      <c r="E225" t="s">
        <v>111</v>
      </c>
      <c r="F225" s="25">
        <v>0.33509137590199528</v>
      </c>
      <c r="G225" t="s">
        <v>111</v>
      </c>
      <c r="H225" s="25">
        <v>0.33509137590199528</v>
      </c>
      <c r="I225" t="s">
        <v>111</v>
      </c>
      <c r="J225" s="25">
        <v>0.33509137590199528</v>
      </c>
      <c r="K225" t="s">
        <v>111</v>
      </c>
      <c r="L225" s="25">
        <v>0.33509137590199528</v>
      </c>
      <c r="M225" t="s">
        <v>111</v>
      </c>
    </row>
    <row r="226" spans="1:13" x14ac:dyDescent="0.25">
      <c r="A226" s="48">
        <v>222</v>
      </c>
      <c r="B226" s="49">
        <v>303458292058.63318</v>
      </c>
      <c r="C226" s="49">
        <v>451295000000</v>
      </c>
      <c r="D226" s="50">
        <v>0.33620834715500197</v>
      </c>
      <c r="E226" s="51" t="s">
        <v>111</v>
      </c>
      <c r="F226" s="50">
        <v>0.33620834715500197</v>
      </c>
      <c r="G226" s="51" t="s">
        <v>111</v>
      </c>
      <c r="H226" s="50">
        <v>0.33620834715500197</v>
      </c>
      <c r="I226" s="51" t="s">
        <v>111</v>
      </c>
      <c r="J226" s="50">
        <v>0.33620834715500197</v>
      </c>
      <c r="K226" s="51" t="s">
        <v>111</v>
      </c>
      <c r="L226" s="50">
        <v>0.33620834715500197</v>
      </c>
      <c r="M226" s="51" t="s">
        <v>111</v>
      </c>
    </row>
    <row r="227" spans="1:13" x14ac:dyDescent="0.25">
      <c r="A227" s="8">
        <v>223</v>
      </c>
      <c r="B227" s="24">
        <v>304469819698.82867</v>
      </c>
      <c r="C227" s="24">
        <v>451295000000</v>
      </c>
      <c r="D227" s="25">
        <v>0.33732904164551869</v>
      </c>
      <c r="E227" t="s">
        <v>111</v>
      </c>
      <c r="F227" s="25">
        <v>0.33732904164551869</v>
      </c>
      <c r="G227" t="s">
        <v>111</v>
      </c>
      <c r="H227" s="25">
        <v>0.33732904164551869</v>
      </c>
      <c r="I227" t="s">
        <v>111</v>
      </c>
      <c r="J227" s="25">
        <v>0.33732904164551869</v>
      </c>
      <c r="K227" t="s">
        <v>111</v>
      </c>
      <c r="L227" s="25">
        <v>0.33732904164551869</v>
      </c>
      <c r="M227" t="s">
        <v>111</v>
      </c>
    </row>
    <row r="228" spans="1:13" x14ac:dyDescent="0.25">
      <c r="A228" s="48">
        <v>224</v>
      </c>
      <c r="B228" s="49">
        <v>305484719097.82483</v>
      </c>
      <c r="C228" s="49">
        <v>451295000000</v>
      </c>
      <c r="D228" s="50">
        <v>0.3384534717843371</v>
      </c>
      <c r="E228" s="51" t="s">
        <v>111</v>
      </c>
      <c r="F228" s="50">
        <v>0.3384534717843371</v>
      </c>
      <c r="G228" s="51" t="s">
        <v>111</v>
      </c>
      <c r="H228" s="50">
        <v>0.3384534717843371</v>
      </c>
      <c r="I228" s="51" t="s">
        <v>111</v>
      </c>
      <c r="J228" s="50">
        <v>0.3384534717843371</v>
      </c>
      <c r="K228" s="51" t="s">
        <v>111</v>
      </c>
      <c r="L228" s="50">
        <v>0.3384534717843371</v>
      </c>
      <c r="M228" s="51" t="s">
        <v>111</v>
      </c>
    </row>
    <row r="229" spans="1:13" x14ac:dyDescent="0.25">
      <c r="A229" s="8">
        <v>225</v>
      </c>
      <c r="B229" s="24">
        <v>306503001494.81763</v>
      </c>
      <c r="C229" s="24">
        <v>451295000000</v>
      </c>
      <c r="D229" s="25">
        <v>0.33958165002361829</v>
      </c>
      <c r="E229" t="s">
        <v>111</v>
      </c>
      <c r="F229" s="25">
        <v>0.33958165002361829</v>
      </c>
      <c r="G229" t="s">
        <v>111</v>
      </c>
      <c r="H229" s="25">
        <v>0.33958165002361829</v>
      </c>
      <c r="I229" t="s">
        <v>111</v>
      </c>
      <c r="J229" s="25">
        <v>0.33958165002361829</v>
      </c>
      <c r="K229" t="s">
        <v>111</v>
      </c>
      <c r="L229" s="25">
        <v>0.33958165002361829</v>
      </c>
      <c r="M229" t="s">
        <v>111</v>
      </c>
    </row>
    <row r="230" spans="1:13" x14ac:dyDescent="0.25">
      <c r="A230" s="48">
        <v>226</v>
      </c>
      <c r="B230" s="49">
        <v>307524678166.46698</v>
      </c>
      <c r="C230" s="49">
        <v>451295000000</v>
      </c>
      <c r="D230" s="50">
        <v>0.34071358885703029</v>
      </c>
      <c r="E230" s="51" t="s">
        <v>111</v>
      </c>
      <c r="F230" s="50">
        <v>0.34071358885703029</v>
      </c>
      <c r="G230" s="51" t="s">
        <v>111</v>
      </c>
      <c r="H230" s="50">
        <v>0.34071358885703029</v>
      </c>
      <c r="I230" s="51" t="s">
        <v>111</v>
      </c>
      <c r="J230" s="50">
        <v>0.34071358885703029</v>
      </c>
      <c r="K230" s="51" t="s">
        <v>111</v>
      </c>
      <c r="L230" s="50">
        <v>0.34071358885703029</v>
      </c>
      <c r="M230" s="51" t="s">
        <v>111</v>
      </c>
    </row>
    <row r="231" spans="1:13" x14ac:dyDescent="0.25">
      <c r="A231" s="8">
        <v>227</v>
      </c>
      <c r="B231" s="24">
        <v>308549760427.02197</v>
      </c>
      <c r="C231" s="24">
        <v>451295000000</v>
      </c>
      <c r="D231" s="25">
        <v>0.34184930081988718</v>
      </c>
      <c r="E231" t="s">
        <v>111</v>
      </c>
      <c r="F231" s="25">
        <v>0.34184930081988718</v>
      </c>
      <c r="G231" t="s">
        <v>111</v>
      </c>
      <c r="H231" s="25">
        <v>0.34184930081988718</v>
      </c>
      <c r="I231" t="s">
        <v>111</v>
      </c>
      <c r="J231" s="25">
        <v>0.34184930081988718</v>
      </c>
      <c r="K231" t="s">
        <v>111</v>
      </c>
      <c r="L231" s="25">
        <v>0.34184930081988718</v>
      </c>
      <c r="M231" t="s">
        <v>111</v>
      </c>
    </row>
    <row r="232" spans="1:13" x14ac:dyDescent="0.25">
      <c r="A232" s="48">
        <v>228</v>
      </c>
      <c r="B232" s="49">
        <v>309578259628.44537</v>
      </c>
      <c r="C232" s="49">
        <v>451295000000</v>
      </c>
      <c r="D232" s="50">
        <v>0.34298879848928682</v>
      </c>
      <c r="E232" s="51" t="s">
        <v>111</v>
      </c>
      <c r="F232" s="50">
        <v>0.34298879848928682</v>
      </c>
      <c r="G232" s="51" t="s">
        <v>111</v>
      </c>
      <c r="H232" s="50">
        <v>0.34298879848928682</v>
      </c>
      <c r="I232" s="51" t="s">
        <v>111</v>
      </c>
      <c r="J232" s="50">
        <v>0.34298879848928682</v>
      </c>
      <c r="K232" s="51" t="s">
        <v>111</v>
      </c>
      <c r="L232" s="50">
        <v>0.34298879848928682</v>
      </c>
      <c r="M232" s="51" t="s">
        <v>111</v>
      </c>
    </row>
    <row r="233" spans="1:13" x14ac:dyDescent="0.25">
      <c r="A233" s="8">
        <v>229</v>
      </c>
      <c r="B233" s="24">
        <v>310610187160.54022</v>
      </c>
      <c r="C233" s="24">
        <v>451295000000</v>
      </c>
      <c r="D233" s="25">
        <v>0.34413209448425108</v>
      </c>
      <c r="E233" t="s">
        <v>111</v>
      </c>
      <c r="F233" s="25">
        <v>0.34413209448425108</v>
      </c>
      <c r="G233" t="s">
        <v>111</v>
      </c>
      <c r="H233" s="25">
        <v>0.34413209448425108</v>
      </c>
      <c r="I233" t="s">
        <v>111</v>
      </c>
      <c r="J233" s="25">
        <v>0.34413209448425108</v>
      </c>
      <c r="K233" t="s">
        <v>111</v>
      </c>
      <c r="L233" s="25">
        <v>0.34413209448425108</v>
      </c>
      <c r="M233" t="s">
        <v>111</v>
      </c>
    </row>
    <row r="234" spans="1:13" x14ac:dyDescent="0.25">
      <c r="A234" s="48">
        <v>230</v>
      </c>
      <c r="B234" s="49">
        <v>311645554451.07538</v>
      </c>
      <c r="C234" s="49">
        <v>451295000000</v>
      </c>
      <c r="D234" s="50">
        <v>0.34527920146586533</v>
      </c>
      <c r="E234" s="51" t="s">
        <v>111</v>
      </c>
      <c r="F234" s="50">
        <v>0.34527920146586533</v>
      </c>
      <c r="G234" s="51" t="s">
        <v>111</v>
      </c>
      <c r="H234" s="50">
        <v>0.34527920146586533</v>
      </c>
      <c r="I234" s="51" t="s">
        <v>111</v>
      </c>
      <c r="J234" s="50">
        <v>0.34527920146586533</v>
      </c>
      <c r="K234" s="51" t="s">
        <v>111</v>
      </c>
      <c r="L234" s="50">
        <v>0.34527920146586533</v>
      </c>
      <c r="M234" s="51" t="s">
        <v>111</v>
      </c>
    </row>
    <row r="235" spans="1:13" x14ac:dyDescent="0.25">
      <c r="A235" s="8">
        <v>231</v>
      </c>
      <c r="B235" s="24">
        <v>312684372965.91229</v>
      </c>
      <c r="C235" s="24">
        <v>451295000000</v>
      </c>
      <c r="D235" s="25">
        <v>0.34643013213741819</v>
      </c>
      <c r="E235" t="s">
        <v>111</v>
      </c>
      <c r="F235" s="25">
        <v>0.34643013213741819</v>
      </c>
      <c r="G235" t="s">
        <v>111</v>
      </c>
      <c r="H235" s="25">
        <v>0.34643013213741819</v>
      </c>
      <c r="I235" t="s">
        <v>111</v>
      </c>
      <c r="J235" s="25">
        <v>0.34643013213741819</v>
      </c>
      <c r="K235" t="s">
        <v>111</v>
      </c>
      <c r="L235" s="25">
        <v>0.34643013213741819</v>
      </c>
      <c r="M235" t="s">
        <v>111</v>
      </c>
    </row>
    <row r="236" spans="1:13" x14ac:dyDescent="0.25">
      <c r="A236" s="48">
        <v>232</v>
      </c>
      <c r="B236" s="49">
        <v>313726654209.13208</v>
      </c>
      <c r="C236" s="49">
        <v>451295000000</v>
      </c>
      <c r="D236" s="50">
        <v>0.347584899244543</v>
      </c>
      <c r="E236" s="51" t="s">
        <v>111</v>
      </c>
      <c r="F236" s="50">
        <v>0.347584899244543</v>
      </c>
      <c r="G236" s="51" t="s">
        <v>111</v>
      </c>
      <c r="H236" s="50">
        <v>0.347584899244543</v>
      </c>
      <c r="I236" s="51" t="s">
        <v>111</v>
      </c>
      <c r="J236" s="50">
        <v>0.347584899244543</v>
      </c>
      <c r="K236" s="51" t="s">
        <v>111</v>
      </c>
      <c r="L236" s="50">
        <v>0.347584899244543</v>
      </c>
      <c r="M236" s="51" t="s">
        <v>111</v>
      </c>
    </row>
    <row r="237" spans="1:13" x14ac:dyDescent="0.25">
      <c r="A237" s="8">
        <v>233</v>
      </c>
      <c r="B237" s="24">
        <v>314772409723.16248</v>
      </c>
      <c r="C237" s="24">
        <v>451295000000</v>
      </c>
      <c r="D237" s="25">
        <v>0.34874351557535821</v>
      </c>
      <c r="E237" t="s">
        <v>111</v>
      </c>
      <c r="F237" s="25">
        <v>0.34874351557535821</v>
      </c>
      <c r="G237" t="s">
        <v>111</v>
      </c>
      <c r="H237" s="25">
        <v>0.34874351557535821</v>
      </c>
      <c r="I237" t="s">
        <v>111</v>
      </c>
      <c r="J237" s="25">
        <v>0.34874351557535821</v>
      </c>
      <c r="K237" t="s">
        <v>111</v>
      </c>
      <c r="L237" s="25">
        <v>0.34874351557535821</v>
      </c>
      <c r="M237" t="s">
        <v>111</v>
      </c>
    </row>
    <row r="238" spans="1:13" x14ac:dyDescent="0.25">
      <c r="A238" s="48">
        <v>234</v>
      </c>
      <c r="B238" s="49">
        <v>315821651088.90637</v>
      </c>
      <c r="C238" s="49">
        <v>451295000000</v>
      </c>
      <c r="D238" s="50">
        <v>0.3499059939606094</v>
      </c>
      <c r="E238" s="51" t="s">
        <v>111</v>
      </c>
      <c r="F238" s="50">
        <v>0.3499059939606094</v>
      </c>
      <c r="G238" s="51" t="s">
        <v>111</v>
      </c>
      <c r="H238" s="50">
        <v>0.3499059939606094</v>
      </c>
      <c r="I238" s="51" t="s">
        <v>111</v>
      </c>
      <c r="J238" s="50">
        <v>0.3499059939606094</v>
      </c>
      <c r="K238" s="51" t="s">
        <v>111</v>
      </c>
      <c r="L238" s="50">
        <v>0.3499059939606094</v>
      </c>
      <c r="M238" s="51" t="s">
        <v>111</v>
      </c>
    </row>
    <row r="239" spans="1:13" x14ac:dyDescent="0.25">
      <c r="A239" s="8">
        <v>235</v>
      </c>
      <c r="B239" s="24">
        <v>316874389925.86938</v>
      </c>
      <c r="C239" s="24">
        <v>451295000000</v>
      </c>
      <c r="D239" s="25">
        <v>0.35107234727381142</v>
      </c>
      <c r="E239" t="s">
        <v>111</v>
      </c>
      <c r="F239" s="25">
        <v>0.35107234727381142</v>
      </c>
      <c r="G239" t="s">
        <v>111</v>
      </c>
      <c r="H239" s="25">
        <v>0.35107234727381142</v>
      </c>
      <c r="I239" t="s">
        <v>111</v>
      </c>
      <c r="J239" s="25">
        <v>0.35107234727381142</v>
      </c>
      <c r="K239" t="s">
        <v>111</v>
      </c>
      <c r="L239" s="25">
        <v>0.35107234727381142</v>
      </c>
      <c r="M239" t="s">
        <v>111</v>
      </c>
    </row>
    <row r="240" spans="1:13" x14ac:dyDescent="0.25">
      <c r="A240" s="48">
        <v>236</v>
      </c>
      <c r="B240" s="49">
        <v>317930637892.289</v>
      </c>
      <c r="C240" s="49">
        <v>451295000000</v>
      </c>
      <c r="D240" s="50">
        <v>0.35224258843139078</v>
      </c>
      <c r="E240" s="51" t="s">
        <v>111</v>
      </c>
      <c r="F240" s="50">
        <v>0.35224258843139078</v>
      </c>
      <c r="G240" s="51" t="s">
        <v>111</v>
      </c>
      <c r="H240" s="50">
        <v>0.35224258843139078</v>
      </c>
      <c r="I240" s="51" t="s">
        <v>111</v>
      </c>
      <c r="J240" s="50">
        <v>0.35224258843139078</v>
      </c>
      <c r="K240" s="51" t="s">
        <v>111</v>
      </c>
      <c r="L240" s="50">
        <v>0.35224258843139078</v>
      </c>
      <c r="M240" s="51" t="s">
        <v>111</v>
      </c>
    </row>
    <row r="241" spans="1:13" x14ac:dyDescent="0.25">
      <c r="A241" s="8">
        <v>237</v>
      </c>
      <c r="B241" s="24">
        <v>318990406685.26343</v>
      </c>
      <c r="C241" s="24">
        <v>451295000000</v>
      </c>
      <c r="D241" s="25">
        <v>0.35341673039282878</v>
      </c>
      <c r="E241" t="s">
        <v>111</v>
      </c>
      <c r="F241" s="25">
        <v>0.35341673039282878</v>
      </c>
      <c r="G241" t="s">
        <v>111</v>
      </c>
      <c r="H241" s="25">
        <v>0.35341673039282878</v>
      </c>
      <c r="I241" t="s">
        <v>111</v>
      </c>
      <c r="J241" s="25">
        <v>0.35341673039282878</v>
      </c>
      <c r="K241" t="s">
        <v>111</v>
      </c>
      <c r="L241" s="25">
        <v>0.35341673039282878</v>
      </c>
      <c r="M241" t="s">
        <v>111</v>
      </c>
    </row>
    <row r="242" spans="1:13" x14ac:dyDescent="0.25">
      <c r="A242" s="48">
        <v>238</v>
      </c>
      <c r="B242" s="49">
        <v>320053708040.88092</v>
      </c>
      <c r="C242" s="49">
        <v>451295000000</v>
      </c>
      <c r="D242" s="50">
        <v>0.35459478616080492</v>
      </c>
      <c r="E242" s="51" t="s">
        <v>111</v>
      </c>
      <c r="F242" s="50">
        <v>0.35459478616080492</v>
      </c>
      <c r="G242" s="51" t="s">
        <v>111</v>
      </c>
      <c r="H242" s="50">
        <v>0.35459478616080492</v>
      </c>
      <c r="I242" s="51" t="s">
        <v>111</v>
      </c>
      <c r="J242" s="50">
        <v>0.35459478616080492</v>
      </c>
      <c r="K242" s="51" t="s">
        <v>111</v>
      </c>
      <c r="L242" s="50">
        <v>0.35459478616080492</v>
      </c>
      <c r="M242" s="51" t="s">
        <v>111</v>
      </c>
    </row>
    <row r="243" spans="1:13" x14ac:dyDescent="0.25">
      <c r="A243" s="8">
        <v>239</v>
      </c>
      <c r="B243" s="24">
        <v>321120553734.35052</v>
      </c>
      <c r="C243" s="24">
        <v>451295000000</v>
      </c>
      <c r="D243" s="25">
        <v>0.35577676878134101</v>
      </c>
      <c r="E243" t="s">
        <v>111</v>
      </c>
      <c r="F243" s="25">
        <v>0.35577676878134101</v>
      </c>
      <c r="G243" t="s">
        <v>111</v>
      </c>
      <c r="H243" s="25">
        <v>0.35577676878134101</v>
      </c>
      <c r="I243" t="s">
        <v>111</v>
      </c>
      <c r="J243" s="25">
        <v>0.35577676878134101</v>
      </c>
      <c r="K243" t="s">
        <v>111</v>
      </c>
      <c r="L243" s="25">
        <v>0.35577676878134101</v>
      </c>
      <c r="M243" t="s">
        <v>111</v>
      </c>
    </row>
    <row r="244" spans="1:13" x14ac:dyDescent="0.25">
      <c r="A244" s="48">
        <v>240</v>
      </c>
      <c r="B244" s="49">
        <v>322190955580.13177</v>
      </c>
      <c r="C244" s="49">
        <v>451295000000</v>
      </c>
      <c r="D244" s="50">
        <v>0.35696269134394548</v>
      </c>
      <c r="E244" s="51" t="s">
        <v>111</v>
      </c>
      <c r="F244" s="50">
        <v>0.35696269134394548</v>
      </c>
      <c r="G244" s="51" t="s">
        <v>111</v>
      </c>
      <c r="H244" s="50">
        <v>0.35696269134394548</v>
      </c>
      <c r="I244" s="51" t="s">
        <v>111</v>
      </c>
      <c r="J244" s="50">
        <v>0.35696269134394548</v>
      </c>
      <c r="K244" s="51" t="s">
        <v>111</v>
      </c>
      <c r="L244" s="50">
        <v>0.35696269134394548</v>
      </c>
      <c r="M244" s="51" t="s">
        <v>111</v>
      </c>
    </row>
    <row r="245" spans="1:13" x14ac:dyDescent="0.25">
      <c r="A245" s="8">
        <v>241</v>
      </c>
      <c r="B245" s="24">
        <v>323264925432.06549</v>
      </c>
      <c r="C245" s="24">
        <v>451295000000</v>
      </c>
      <c r="D245" s="25">
        <v>0.35815256698175862</v>
      </c>
      <c r="E245" t="s">
        <v>111</v>
      </c>
      <c r="F245" s="25">
        <v>0.35815256698175862</v>
      </c>
      <c r="G245" t="s">
        <v>111</v>
      </c>
      <c r="H245" s="25">
        <v>0.35815256698175862</v>
      </c>
      <c r="I245" t="s">
        <v>111</v>
      </c>
      <c r="J245" s="25">
        <v>0.35815256698175862</v>
      </c>
      <c r="K245" t="s">
        <v>111</v>
      </c>
      <c r="L245" s="25">
        <v>0.35815256698175862</v>
      </c>
      <c r="M245" t="s">
        <v>111</v>
      </c>
    </row>
    <row r="246" spans="1:13" x14ac:dyDescent="0.25">
      <c r="A246" s="48">
        <v>242</v>
      </c>
      <c r="B246" s="49">
        <v>324342475183.5058</v>
      </c>
      <c r="C246" s="49">
        <v>451295000000</v>
      </c>
      <c r="D246" s="50">
        <v>0.35934640887169789</v>
      </c>
      <c r="E246" s="51" t="s">
        <v>111</v>
      </c>
      <c r="F246" s="50">
        <v>0.35934640887169789</v>
      </c>
      <c r="G246" s="51" t="s">
        <v>111</v>
      </c>
      <c r="H246" s="50">
        <v>0.35934640887169789</v>
      </c>
      <c r="I246" s="51" t="s">
        <v>111</v>
      </c>
      <c r="J246" s="50">
        <v>0.35934640887169789</v>
      </c>
      <c r="K246" s="51" t="s">
        <v>111</v>
      </c>
      <c r="L246" s="50">
        <v>0.35934640887169789</v>
      </c>
      <c r="M246" s="51" t="s">
        <v>111</v>
      </c>
    </row>
    <row r="247" spans="1:13" x14ac:dyDescent="0.25">
      <c r="A247" s="8">
        <v>243</v>
      </c>
      <c r="B247" s="24">
        <v>325423616767.45093</v>
      </c>
      <c r="C247" s="24">
        <v>451295000000</v>
      </c>
      <c r="D247" s="25">
        <v>0.36054423023460358</v>
      </c>
      <c r="E247" t="s">
        <v>111</v>
      </c>
      <c r="F247" s="25">
        <v>0.36054423023460358</v>
      </c>
      <c r="G247" t="s">
        <v>111</v>
      </c>
      <c r="H247" s="25">
        <v>0.36054423023460358</v>
      </c>
      <c r="I247" t="s">
        <v>111</v>
      </c>
      <c r="J247" s="25">
        <v>0.36054423023460358</v>
      </c>
      <c r="K247" t="s">
        <v>111</v>
      </c>
      <c r="L247" s="25">
        <v>0.36054423023460358</v>
      </c>
      <c r="M247" t="s">
        <v>111</v>
      </c>
    </row>
    <row r="248" spans="1:13" x14ac:dyDescent="0.25">
      <c r="A248" s="48">
        <v>244</v>
      </c>
      <c r="B248" s="49">
        <v>326508362156.67572</v>
      </c>
      <c r="C248" s="49">
        <v>451295000000</v>
      </c>
      <c r="D248" s="50">
        <v>0.36174604433538571</v>
      </c>
      <c r="E248" s="51" t="s">
        <v>111</v>
      </c>
      <c r="F248" s="50">
        <v>0.36174604433538571</v>
      </c>
      <c r="G248" s="51" t="s">
        <v>111</v>
      </c>
      <c r="H248" s="50">
        <v>0.36174604433538571</v>
      </c>
      <c r="I248" s="51" t="s">
        <v>111</v>
      </c>
      <c r="J248" s="50">
        <v>0.36174604433538571</v>
      </c>
      <c r="K248" s="51" t="s">
        <v>111</v>
      </c>
      <c r="L248" s="50">
        <v>0.36174604433538571</v>
      </c>
      <c r="M248" s="51" t="s">
        <v>111</v>
      </c>
    </row>
    <row r="249" spans="1:13" x14ac:dyDescent="0.25">
      <c r="A249" s="8">
        <v>245</v>
      </c>
      <c r="B249" s="24">
        <v>327596723363.86462</v>
      </c>
      <c r="C249" s="24">
        <v>451295000000</v>
      </c>
      <c r="D249" s="25">
        <v>0.36295186448317018</v>
      </c>
      <c r="E249" t="s">
        <v>111</v>
      </c>
      <c r="F249" s="25">
        <v>0.36295186448317018</v>
      </c>
      <c r="G249" t="s">
        <v>111</v>
      </c>
      <c r="H249" s="25">
        <v>0.36295186448317018</v>
      </c>
      <c r="I249" t="s">
        <v>111</v>
      </c>
      <c r="J249" s="25">
        <v>0.36295186448317018</v>
      </c>
      <c r="K249" t="s">
        <v>111</v>
      </c>
      <c r="L249" s="25">
        <v>0.36295186448317018</v>
      </c>
      <c r="M249" t="s">
        <v>111</v>
      </c>
    </row>
    <row r="250" spans="1:13" x14ac:dyDescent="0.25">
      <c r="A250" s="48">
        <v>246</v>
      </c>
      <c r="B250" s="49">
        <v>328688712441.7442</v>
      </c>
      <c r="C250" s="49">
        <v>451295000000</v>
      </c>
      <c r="D250" s="50">
        <v>0.36416170403144749</v>
      </c>
      <c r="E250" s="51" t="s">
        <v>111</v>
      </c>
      <c r="F250" s="50">
        <v>0.36416170403144749</v>
      </c>
      <c r="G250" s="51" t="s">
        <v>111</v>
      </c>
      <c r="H250" s="50">
        <v>0.36416170403144749</v>
      </c>
      <c r="I250" s="51" t="s">
        <v>111</v>
      </c>
      <c r="J250" s="50">
        <v>0.36416170403144749</v>
      </c>
      <c r="K250" s="51" t="s">
        <v>111</v>
      </c>
      <c r="L250" s="50">
        <v>0.36416170403144749</v>
      </c>
      <c r="M250" s="51" t="s">
        <v>111</v>
      </c>
    </row>
    <row r="251" spans="1:13" x14ac:dyDescent="0.25">
      <c r="A251" s="8">
        <v>247</v>
      </c>
      <c r="B251" s="24">
        <v>329784341483.21667</v>
      </c>
      <c r="C251" s="24">
        <v>451295000000</v>
      </c>
      <c r="D251" s="25">
        <v>0.36537557637821899</v>
      </c>
      <c r="E251" t="s">
        <v>111</v>
      </c>
      <c r="F251" s="25">
        <v>0.36537557637821899</v>
      </c>
      <c r="G251" t="s">
        <v>111</v>
      </c>
      <c r="H251" s="25">
        <v>0.36537557637821899</v>
      </c>
      <c r="I251" t="s">
        <v>111</v>
      </c>
      <c r="J251" s="25">
        <v>0.36537557637821899</v>
      </c>
      <c r="K251" t="s">
        <v>111</v>
      </c>
      <c r="L251" s="25">
        <v>0.36537557637821899</v>
      </c>
      <c r="M251" t="s">
        <v>111</v>
      </c>
    </row>
    <row r="252" spans="1:13" x14ac:dyDescent="0.25">
      <c r="A252" s="48">
        <v>248</v>
      </c>
      <c r="B252" s="49">
        <v>330883622621.49408</v>
      </c>
      <c r="C252" s="49">
        <v>451295000000</v>
      </c>
      <c r="D252" s="50">
        <v>0.36659349496614652</v>
      </c>
      <c r="E252" s="51" t="s">
        <v>111</v>
      </c>
      <c r="F252" s="50">
        <v>0.36659349496614652</v>
      </c>
      <c r="G252" s="51" t="s">
        <v>111</v>
      </c>
      <c r="H252" s="50">
        <v>0.36659349496614652</v>
      </c>
      <c r="I252" s="51" t="s">
        <v>111</v>
      </c>
      <c r="J252" s="50">
        <v>0.36659349496614652</v>
      </c>
      <c r="K252" s="51" t="s">
        <v>111</v>
      </c>
      <c r="L252" s="50">
        <v>0.36659349496614652</v>
      </c>
      <c r="M252" s="51" t="s">
        <v>111</v>
      </c>
    </row>
    <row r="253" spans="1:13" x14ac:dyDescent="0.25">
      <c r="A253" s="8">
        <v>249</v>
      </c>
      <c r="B253" s="24">
        <v>331986568030.23242</v>
      </c>
      <c r="C253" s="24">
        <v>451295000000</v>
      </c>
      <c r="D253" s="25">
        <v>0.36781547328270031</v>
      </c>
      <c r="E253" t="s">
        <v>111</v>
      </c>
      <c r="F253" s="25">
        <v>0.36781547328270031</v>
      </c>
      <c r="G253" t="s">
        <v>111</v>
      </c>
      <c r="H253" s="25">
        <v>0.36781547328270031</v>
      </c>
      <c r="I253" t="s">
        <v>111</v>
      </c>
      <c r="J253" s="25">
        <v>0.36781547328270031</v>
      </c>
      <c r="K253" t="s">
        <v>111</v>
      </c>
      <c r="L253" s="25">
        <v>0.36781547328270031</v>
      </c>
      <c r="M253" t="s">
        <v>111</v>
      </c>
    </row>
    <row r="254" spans="1:13" x14ac:dyDescent="0.25">
      <c r="A254" s="48">
        <v>250</v>
      </c>
      <c r="B254" s="49">
        <v>333093189923.66663</v>
      </c>
      <c r="C254" s="49">
        <v>451295000000</v>
      </c>
      <c r="D254" s="50">
        <v>0.36904152486030928</v>
      </c>
      <c r="E254" s="51" t="s">
        <v>111</v>
      </c>
      <c r="F254" s="50">
        <v>0.36904152486030928</v>
      </c>
      <c r="G254" s="51" t="s">
        <v>111</v>
      </c>
      <c r="H254" s="50">
        <v>0.36904152486030928</v>
      </c>
      <c r="I254" s="51" t="s">
        <v>111</v>
      </c>
      <c r="J254" s="50">
        <v>0.36904152486030928</v>
      </c>
      <c r="K254" s="51" t="s">
        <v>111</v>
      </c>
      <c r="L254" s="50">
        <v>0.36904152486030928</v>
      </c>
      <c r="M254" s="51" t="s">
        <v>111</v>
      </c>
    </row>
    <row r="255" spans="1:13" x14ac:dyDescent="0.25">
      <c r="A255" s="8">
        <v>251</v>
      </c>
      <c r="B255" s="24">
        <v>334203500556.74548</v>
      </c>
      <c r="C255" s="24">
        <v>451295000000</v>
      </c>
      <c r="D255" s="25">
        <v>0.37027166327651029</v>
      </c>
      <c r="E255" t="s">
        <v>111</v>
      </c>
      <c r="F255" s="25">
        <v>0.37027166327651029</v>
      </c>
      <c r="G255" t="s">
        <v>111</v>
      </c>
      <c r="H255" s="25">
        <v>0.37027166327651029</v>
      </c>
      <c r="I255" t="s">
        <v>111</v>
      </c>
      <c r="J255" s="25">
        <v>0.37027166327651029</v>
      </c>
      <c r="K255" t="s">
        <v>111</v>
      </c>
      <c r="L255" s="25">
        <v>0.37027166327651029</v>
      </c>
      <c r="M255" t="s">
        <v>111</v>
      </c>
    </row>
    <row r="256" spans="1:13" x14ac:dyDescent="0.25">
      <c r="A256" s="48">
        <v>252</v>
      </c>
      <c r="B256" s="49">
        <v>335317512225.26801</v>
      </c>
      <c r="C256" s="49">
        <v>451295000000</v>
      </c>
      <c r="D256" s="50">
        <v>0.37150590215409879</v>
      </c>
      <c r="E256" s="51" t="s">
        <v>111</v>
      </c>
      <c r="F256" s="50">
        <v>0.37150590215409879</v>
      </c>
      <c r="G256" s="51" t="s">
        <v>111</v>
      </c>
      <c r="H256" s="50">
        <v>0.37150590215409879</v>
      </c>
      <c r="I256" s="51" t="s">
        <v>111</v>
      </c>
      <c r="J256" s="50">
        <v>0.37150590215409879</v>
      </c>
      <c r="K256" s="51" t="s">
        <v>111</v>
      </c>
      <c r="L256" s="50">
        <v>0.37150590215409879</v>
      </c>
      <c r="M256" s="51" t="s">
        <v>111</v>
      </c>
    </row>
    <row r="257" spans="1:13" x14ac:dyDescent="0.25">
      <c r="A257" s="8">
        <v>253</v>
      </c>
      <c r="B257" s="24">
        <v>336435237266.01892</v>
      </c>
      <c r="C257" s="24">
        <v>451295000000</v>
      </c>
      <c r="D257" s="25">
        <v>0.37274425516127913</v>
      </c>
      <c r="E257" t="s">
        <v>111</v>
      </c>
      <c r="F257" s="25">
        <v>0.37274425516127913</v>
      </c>
      <c r="G257" t="s">
        <v>111</v>
      </c>
      <c r="H257" s="25">
        <v>0.37274425516127913</v>
      </c>
      <c r="I257" t="s">
        <v>111</v>
      </c>
      <c r="J257" s="25">
        <v>0.37274425516127913</v>
      </c>
      <c r="K257" t="s">
        <v>111</v>
      </c>
      <c r="L257" s="25">
        <v>0.37274425516127913</v>
      </c>
      <c r="M257" t="s">
        <v>111</v>
      </c>
    </row>
    <row r="258" spans="1:13" x14ac:dyDescent="0.25">
      <c r="A258" s="48">
        <v>254</v>
      </c>
      <c r="B258" s="49">
        <v>337556688056.9057</v>
      </c>
      <c r="C258" s="49">
        <v>451295000000</v>
      </c>
      <c r="D258" s="50">
        <v>0.37398673601181681</v>
      </c>
      <c r="E258" s="51" t="s">
        <v>111</v>
      </c>
      <c r="F258" s="50">
        <v>0.37398673601181681</v>
      </c>
      <c r="G258" s="51" t="s">
        <v>111</v>
      </c>
      <c r="H258" s="50">
        <v>0.37398673601181681</v>
      </c>
      <c r="I258" s="51" t="s">
        <v>111</v>
      </c>
      <c r="J258" s="50">
        <v>0.37398673601181681</v>
      </c>
      <c r="K258" s="51" t="s">
        <v>111</v>
      </c>
      <c r="L258" s="50">
        <v>0.37398673601181681</v>
      </c>
      <c r="M258" s="51" t="s">
        <v>111</v>
      </c>
    </row>
    <row r="259" spans="1:13" x14ac:dyDescent="0.25">
      <c r="A259" s="8">
        <v>255</v>
      </c>
      <c r="B259" s="24">
        <v>338681877017.0954</v>
      </c>
      <c r="C259" s="24">
        <v>451295000000</v>
      </c>
      <c r="D259" s="25">
        <v>0.37523335846518951</v>
      </c>
      <c r="E259" t="s">
        <v>111</v>
      </c>
      <c r="F259" s="25">
        <v>0.37523335846518951</v>
      </c>
      <c r="G259" t="s">
        <v>111</v>
      </c>
      <c r="H259" s="25">
        <v>0.37523335846518951</v>
      </c>
      <c r="I259" t="s">
        <v>111</v>
      </c>
      <c r="J259" s="25">
        <v>0.37523335846518951</v>
      </c>
      <c r="K259" t="s">
        <v>111</v>
      </c>
      <c r="L259" s="25">
        <v>0.37523335846518951</v>
      </c>
      <c r="M259" t="s">
        <v>111</v>
      </c>
    </row>
    <row r="260" spans="1:13" x14ac:dyDescent="0.25">
      <c r="A260" s="48">
        <v>256</v>
      </c>
      <c r="B260" s="49">
        <v>339810816607.1524</v>
      </c>
      <c r="C260" s="49">
        <v>451295000000</v>
      </c>
      <c r="D260" s="50">
        <v>0.37648413632674022</v>
      </c>
      <c r="E260" s="51" t="s">
        <v>111</v>
      </c>
      <c r="F260" s="50">
        <v>0.37648413632674022</v>
      </c>
      <c r="G260" s="51" t="s">
        <v>111</v>
      </c>
      <c r="H260" s="50">
        <v>0.37648413632674022</v>
      </c>
      <c r="I260" s="51" t="s">
        <v>111</v>
      </c>
      <c r="J260" s="50">
        <v>0.37648413632674022</v>
      </c>
      <c r="K260" s="51" t="s">
        <v>111</v>
      </c>
      <c r="L260" s="50">
        <v>0.37648413632674022</v>
      </c>
      <c r="M260" s="51" t="s">
        <v>111</v>
      </c>
    </row>
    <row r="261" spans="1:13" x14ac:dyDescent="0.25">
      <c r="A261" s="8">
        <v>257</v>
      </c>
      <c r="B261" s="24">
        <v>340943519329.17627</v>
      </c>
      <c r="C261" s="24">
        <v>451295000000</v>
      </c>
      <c r="D261" s="25">
        <v>0.37773908344782942</v>
      </c>
      <c r="E261" t="s">
        <v>111</v>
      </c>
      <c r="F261" s="25">
        <v>0.37773908344782942</v>
      </c>
      <c r="G261" t="s">
        <v>111</v>
      </c>
      <c r="H261" s="25">
        <v>0.37773908344782942</v>
      </c>
      <c r="I261" t="s">
        <v>111</v>
      </c>
      <c r="J261" s="25">
        <v>0.37773908344782942</v>
      </c>
      <c r="K261" t="s">
        <v>111</v>
      </c>
      <c r="L261" s="25">
        <v>0.37773908344782942</v>
      </c>
      <c r="M261" t="s">
        <v>111</v>
      </c>
    </row>
    <row r="262" spans="1:13" x14ac:dyDescent="0.25">
      <c r="A262" s="48">
        <v>258</v>
      </c>
      <c r="B262" s="49">
        <v>342079997726.94019</v>
      </c>
      <c r="C262" s="49">
        <v>451295000000</v>
      </c>
      <c r="D262" s="50">
        <v>0.3789982137259888</v>
      </c>
      <c r="E262" s="51" t="s">
        <v>111</v>
      </c>
      <c r="F262" s="50">
        <v>0.3789982137259888</v>
      </c>
      <c r="G262" s="51" t="s">
        <v>111</v>
      </c>
      <c r="H262" s="50">
        <v>0.3789982137259888</v>
      </c>
      <c r="I262" s="51" t="s">
        <v>111</v>
      </c>
      <c r="J262" s="50">
        <v>0.3789982137259888</v>
      </c>
      <c r="K262" s="51" t="s">
        <v>111</v>
      </c>
      <c r="L262" s="50">
        <v>0.3789982137259888</v>
      </c>
      <c r="M262" s="51" t="s">
        <v>111</v>
      </c>
    </row>
    <row r="263" spans="1:13" x14ac:dyDescent="0.25">
      <c r="A263" s="8">
        <v>259</v>
      </c>
      <c r="B263" s="24">
        <v>343220264386.03003</v>
      </c>
      <c r="C263" s="24">
        <v>451295000000</v>
      </c>
      <c r="D263" s="25">
        <v>0.38026154110507537</v>
      </c>
      <c r="E263" t="s">
        <v>111</v>
      </c>
      <c r="F263" s="25">
        <v>0.38026154110507537</v>
      </c>
      <c r="G263" t="s">
        <v>111</v>
      </c>
      <c r="H263" s="25">
        <v>0.38026154110507537</v>
      </c>
      <c r="I263" t="s">
        <v>111</v>
      </c>
      <c r="J263" s="25">
        <v>0.38026154110507537</v>
      </c>
      <c r="K263" t="s">
        <v>111</v>
      </c>
      <c r="L263" s="25">
        <v>0.38026154110507537</v>
      </c>
      <c r="M263" t="s">
        <v>111</v>
      </c>
    </row>
    <row r="264" spans="1:13" x14ac:dyDescent="0.25">
      <c r="A264" s="48">
        <v>260</v>
      </c>
      <c r="B264" s="49">
        <v>344364331933.98352</v>
      </c>
      <c r="C264" s="49">
        <v>451295000000</v>
      </c>
      <c r="D264" s="50">
        <v>0.38152907957542581</v>
      </c>
      <c r="E264" s="51" t="s">
        <v>111</v>
      </c>
      <c r="F264" s="50">
        <v>0.38152907957542581</v>
      </c>
      <c r="G264" s="51" t="s">
        <v>111</v>
      </c>
      <c r="H264" s="50">
        <v>0.38152907957542581</v>
      </c>
      <c r="I264" s="51" t="s">
        <v>111</v>
      </c>
      <c r="J264" s="50">
        <v>0.38152907957542581</v>
      </c>
      <c r="K264" s="51" t="s">
        <v>111</v>
      </c>
      <c r="L264" s="50">
        <v>0.38152907957542581</v>
      </c>
      <c r="M264" s="51" t="s">
        <v>111</v>
      </c>
    </row>
    <row r="265" spans="1:13" x14ac:dyDescent="0.25">
      <c r="A265" s="8">
        <v>261</v>
      </c>
      <c r="B265" s="24">
        <v>345512213040.43018</v>
      </c>
      <c r="C265" s="24">
        <v>451295000000</v>
      </c>
      <c r="D265" s="25">
        <v>0.38280084317401047</v>
      </c>
      <c r="E265" t="s">
        <v>111</v>
      </c>
      <c r="F265" s="25">
        <v>0.38280084317401047</v>
      </c>
      <c r="G265" t="s">
        <v>111</v>
      </c>
      <c r="H265" s="25">
        <v>0.38280084317401047</v>
      </c>
      <c r="I265" t="s">
        <v>111</v>
      </c>
      <c r="J265" s="25">
        <v>0.38280084317401047</v>
      </c>
      <c r="K265" t="s">
        <v>111</v>
      </c>
      <c r="L265" s="25">
        <v>0.38280084317401047</v>
      </c>
      <c r="M265" t="s">
        <v>111</v>
      </c>
    </row>
    <row r="266" spans="1:13" x14ac:dyDescent="0.25">
      <c r="A266" s="48">
        <v>262</v>
      </c>
      <c r="B266" s="49">
        <v>346663920417.23163</v>
      </c>
      <c r="C266" s="49">
        <v>451295000000</v>
      </c>
      <c r="D266" s="50">
        <v>0.38407684598459058</v>
      </c>
      <c r="E266" s="51" t="s">
        <v>111</v>
      </c>
      <c r="F266" s="50">
        <v>0.38407684598459058</v>
      </c>
      <c r="G266" s="51" t="s">
        <v>111</v>
      </c>
      <c r="H266" s="50">
        <v>0.38407684598459058</v>
      </c>
      <c r="I266" s="51" t="s">
        <v>111</v>
      </c>
      <c r="J266" s="50">
        <v>0.38407684598459058</v>
      </c>
      <c r="K266" s="51" t="s">
        <v>111</v>
      </c>
      <c r="L266" s="50">
        <v>0.38407684598459058</v>
      </c>
      <c r="M266" s="51" t="s">
        <v>111</v>
      </c>
    </row>
    <row r="267" spans="1:13" x14ac:dyDescent="0.25">
      <c r="A267" s="8">
        <v>263</v>
      </c>
      <c r="B267" s="24">
        <v>347819466818.62238</v>
      </c>
      <c r="C267" s="24">
        <v>451295000000</v>
      </c>
      <c r="D267" s="25">
        <v>0.38535710213787261</v>
      </c>
      <c r="E267" t="s">
        <v>111</v>
      </c>
      <c r="F267" s="25">
        <v>0.38535710213787261</v>
      </c>
      <c r="G267" t="s">
        <v>111</v>
      </c>
      <c r="H267" s="25">
        <v>0.38535710213787261</v>
      </c>
      <c r="I267" t="s">
        <v>111</v>
      </c>
      <c r="J267" s="25">
        <v>0.38535710213787261</v>
      </c>
      <c r="K267" t="s">
        <v>111</v>
      </c>
      <c r="L267" s="25">
        <v>0.38535710213787261</v>
      </c>
      <c r="M267" t="s">
        <v>111</v>
      </c>
    </row>
    <row r="268" spans="1:13" x14ac:dyDescent="0.25">
      <c r="A268" s="48">
        <v>264</v>
      </c>
      <c r="B268" s="49">
        <v>348978865041.35107</v>
      </c>
      <c r="C268" s="49">
        <v>451295000000</v>
      </c>
      <c r="D268" s="50">
        <v>0.38664162581166539</v>
      </c>
      <c r="E268" s="51" t="s">
        <v>111</v>
      </c>
      <c r="F268" s="50">
        <v>0.38664162581166539</v>
      </c>
      <c r="G268" s="51" t="s">
        <v>111</v>
      </c>
      <c r="H268" s="50">
        <v>0.38664162581166539</v>
      </c>
      <c r="I268" s="51" t="s">
        <v>111</v>
      </c>
      <c r="J268" s="50">
        <v>0.38664162581166539</v>
      </c>
      <c r="K268" s="51" t="s">
        <v>111</v>
      </c>
      <c r="L268" s="50">
        <v>0.38664162581166539</v>
      </c>
      <c r="M268" s="51" t="s">
        <v>111</v>
      </c>
    </row>
    <row r="269" spans="1:13" x14ac:dyDescent="0.25">
      <c r="A269" s="8">
        <v>265</v>
      </c>
      <c r="B269" s="24">
        <v>350142127924.82239</v>
      </c>
      <c r="C269" s="24">
        <v>451295000000</v>
      </c>
      <c r="D269" s="25">
        <v>0.38793043123103782</v>
      </c>
      <c r="E269" t="s">
        <v>111</v>
      </c>
      <c r="F269" s="25">
        <v>0.38793043123103782</v>
      </c>
      <c r="G269" t="s">
        <v>111</v>
      </c>
      <c r="H269" s="25">
        <v>0.38793043123103782</v>
      </c>
      <c r="I269" t="s">
        <v>111</v>
      </c>
      <c r="J269" s="25">
        <v>0.38793043123103782</v>
      </c>
      <c r="K269" t="s">
        <v>111</v>
      </c>
      <c r="L269" s="25">
        <v>0.38793043123103782</v>
      </c>
      <c r="M269" t="s">
        <v>111</v>
      </c>
    </row>
    <row r="270" spans="1:13" x14ac:dyDescent="0.25">
      <c r="A270" s="48">
        <v>266</v>
      </c>
      <c r="B270" s="49">
        <v>351309268351.23853</v>
      </c>
      <c r="C270" s="49">
        <v>451295000000</v>
      </c>
      <c r="D270" s="50">
        <v>0.38922353266847459</v>
      </c>
      <c r="E270" s="51" t="s">
        <v>111</v>
      </c>
      <c r="F270" s="50">
        <v>0.38922353266847459</v>
      </c>
      <c r="G270" s="51" t="s">
        <v>111</v>
      </c>
      <c r="H270" s="50">
        <v>0.38922353266847459</v>
      </c>
      <c r="I270" s="51" t="s">
        <v>111</v>
      </c>
      <c r="J270" s="50">
        <v>0.38922353266847459</v>
      </c>
      <c r="K270" s="51" t="s">
        <v>111</v>
      </c>
      <c r="L270" s="50">
        <v>0.38922353266847459</v>
      </c>
      <c r="M270" s="51" t="s">
        <v>111</v>
      </c>
    </row>
    <row r="271" spans="1:13" x14ac:dyDescent="0.25">
      <c r="A271" s="8">
        <v>267</v>
      </c>
      <c r="B271" s="24">
        <v>352480299245.74268</v>
      </c>
      <c r="C271" s="24">
        <v>451295000000</v>
      </c>
      <c r="D271" s="25">
        <v>0.39052094444403618</v>
      </c>
      <c r="E271" t="s">
        <v>111</v>
      </c>
      <c r="F271" s="25">
        <v>0.39052094444403618</v>
      </c>
      <c r="G271" t="s">
        <v>111</v>
      </c>
      <c r="H271" s="25">
        <v>0.39052094444403618</v>
      </c>
      <c r="I271" t="s">
        <v>111</v>
      </c>
      <c r="J271" s="25">
        <v>0.39052094444403618</v>
      </c>
      <c r="K271" t="s">
        <v>111</v>
      </c>
      <c r="L271" s="25">
        <v>0.39052094444403618</v>
      </c>
      <c r="M271" t="s">
        <v>111</v>
      </c>
    </row>
    <row r="272" spans="1:13" x14ac:dyDescent="0.25">
      <c r="A272" s="48">
        <v>268</v>
      </c>
      <c r="B272" s="49">
        <v>353655233576.56183</v>
      </c>
      <c r="C272" s="49">
        <v>451295000000</v>
      </c>
      <c r="D272" s="50">
        <v>0.39182268092551642</v>
      </c>
      <c r="E272" s="51" t="s">
        <v>111</v>
      </c>
      <c r="F272" s="50">
        <v>0.39182268092551642</v>
      </c>
      <c r="G272" s="51" t="s">
        <v>111</v>
      </c>
      <c r="H272" s="50">
        <v>0.39182268092551642</v>
      </c>
      <c r="I272" s="51" t="s">
        <v>111</v>
      </c>
      <c r="J272" s="50">
        <v>0.39182268092551642</v>
      </c>
      <c r="K272" s="51" t="s">
        <v>111</v>
      </c>
      <c r="L272" s="50">
        <v>0.39182268092551642</v>
      </c>
      <c r="M272" s="51" t="s">
        <v>111</v>
      </c>
    </row>
    <row r="273" spans="1:13" x14ac:dyDescent="0.25">
      <c r="A273" s="8">
        <v>269</v>
      </c>
      <c r="B273" s="24">
        <v>354834084355.15039</v>
      </c>
      <c r="C273" s="24">
        <v>451295000000</v>
      </c>
      <c r="D273" s="25">
        <v>0.39312875652860152</v>
      </c>
      <c r="E273" t="s">
        <v>111</v>
      </c>
      <c r="F273" s="25">
        <v>0.39312875652860152</v>
      </c>
      <c r="G273" t="s">
        <v>111</v>
      </c>
      <c r="H273" s="25">
        <v>0.39312875652860152</v>
      </c>
      <c r="I273" t="s">
        <v>111</v>
      </c>
      <c r="J273" s="25">
        <v>0.39312875652860152</v>
      </c>
      <c r="K273" t="s">
        <v>111</v>
      </c>
      <c r="L273" s="25">
        <v>0.39312875652860152</v>
      </c>
      <c r="M273" t="s">
        <v>111</v>
      </c>
    </row>
    <row r="274" spans="1:13" x14ac:dyDescent="0.25">
      <c r="A274" s="48">
        <v>270</v>
      </c>
      <c r="B274" s="49">
        <v>356016864636.33429</v>
      </c>
      <c r="C274" s="49">
        <v>451295000000</v>
      </c>
      <c r="D274" s="50">
        <v>0.39443918571703018</v>
      </c>
      <c r="E274" s="51" t="s">
        <v>111</v>
      </c>
      <c r="F274" s="50">
        <v>0.39443918571703018</v>
      </c>
      <c r="G274" s="51" t="s">
        <v>111</v>
      </c>
      <c r="H274" s="50">
        <v>0.39443918571703018</v>
      </c>
      <c r="I274" s="51" t="s">
        <v>111</v>
      </c>
      <c r="J274" s="50">
        <v>0.39443918571703018</v>
      </c>
      <c r="K274" s="51" t="s">
        <v>111</v>
      </c>
      <c r="L274" s="50">
        <v>0.39443918571703018</v>
      </c>
      <c r="M274" s="51" t="s">
        <v>111</v>
      </c>
    </row>
    <row r="275" spans="1:13" x14ac:dyDescent="0.25">
      <c r="A275" s="8">
        <v>271</v>
      </c>
      <c r="B275" s="24">
        <v>357203587518.45538</v>
      </c>
      <c r="C275" s="24">
        <v>451295000000</v>
      </c>
      <c r="D275" s="25">
        <v>0.39575398300275361</v>
      </c>
      <c r="E275" t="s">
        <v>111</v>
      </c>
      <c r="F275" s="25">
        <v>0.39575398300275361</v>
      </c>
      <c r="G275" t="s">
        <v>111</v>
      </c>
      <c r="H275" s="25">
        <v>0.39575398300275361</v>
      </c>
      <c r="I275" t="s">
        <v>111</v>
      </c>
      <c r="J275" s="25">
        <v>0.39575398300275361</v>
      </c>
      <c r="K275" t="s">
        <v>111</v>
      </c>
      <c r="L275" s="25">
        <v>0.39575398300275361</v>
      </c>
      <c r="M275" t="s">
        <v>111</v>
      </c>
    </row>
    <row r="276" spans="1:13" x14ac:dyDescent="0.25">
      <c r="A276" s="48">
        <v>272</v>
      </c>
      <c r="B276" s="49">
        <v>358394266143.51691</v>
      </c>
      <c r="C276" s="49">
        <v>451295000000</v>
      </c>
      <c r="D276" s="50">
        <v>0.39707316294609613</v>
      </c>
      <c r="E276" s="51" t="s">
        <v>111</v>
      </c>
      <c r="F276" s="50">
        <v>0.39707316294609613</v>
      </c>
      <c r="G276" s="51" t="s">
        <v>111</v>
      </c>
      <c r="H276" s="50">
        <v>0.39707316294609613</v>
      </c>
      <c r="I276" s="51" t="s">
        <v>111</v>
      </c>
      <c r="J276" s="50">
        <v>0.39707316294609613</v>
      </c>
      <c r="K276" s="51" t="s">
        <v>111</v>
      </c>
      <c r="L276" s="50">
        <v>0.39707316294609613</v>
      </c>
      <c r="M276" s="51" t="s">
        <v>111</v>
      </c>
    </row>
    <row r="277" spans="1:13" x14ac:dyDescent="0.25">
      <c r="A277" s="8">
        <v>273</v>
      </c>
      <c r="B277" s="24">
        <v>359588913697.32867</v>
      </c>
      <c r="C277" s="24">
        <v>451295000000</v>
      </c>
      <c r="D277" s="25">
        <v>0.39839674015591647</v>
      </c>
      <c r="E277" t="s">
        <v>111</v>
      </c>
      <c r="F277" s="25">
        <v>0.39839674015591647</v>
      </c>
      <c r="G277" t="s">
        <v>111</v>
      </c>
      <c r="H277" s="25">
        <v>0.39839674015591647</v>
      </c>
      <c r="I277" t="s">
        <v>111</v>
      </c>
      <c r="J277" s="25">
        <v>0.39839674015591647</v>
      </c>
      <c r="K277" t="s">
        <v>111</v>
      </c>
      <c r="L277" s="25">
        <v>0.39839674015591647</v>
      </c>
      <c r="M277" t="s">
        <v>111</v>
      </c>
    </row>
    <row r="278" spans="1:13" x14ac:dyDescent="0.25">
      <c r="A278" s="48">
        <v>274</v>
      </c>
      <c r="B278" s="49">
        <v>360787543409.65308</v>
      </c>
      <c r="C278" s="49">
        <v>451295000000</v>
      </c>
      <c r="D278" s="50">
        <v>0.3997247292897696</v>
      </c>
      <c r="E278" s="51" t="s">
        <v>111</v>
      </c>
      <c r="F278" s="50">
        <v>0.3997247292897696</v>
      </c>
      <c r="G278" s="51" t="s">
        <v>111</v>
      </c>
      <c r="H278" s="50">
        <v>0.3997247292897696</v>
      </c>
      <c r="I278" s="51" t="s">
        <v>111</v>
      </c>
      <c r="J278" s="50">
        <v>0.3997247292897696</v>
      </c>
      <c r="K278" s="51" t="s">
        <v>111</v>
      </c>
      <c r="L278" s="50">
        <v>0.3997247292897696</v>
      </c>
      <c r="M278" s="51" t="s">
        <v>111</v>
      </c>
    </row>
    <row r="279" spans="1:13" x14ac:dyDescent="0.25">
      <c r="A279" s="8">
        <v>275</v>
      </c>
      <c r="B279" s="24">
        <v>361990168554.35199</v>
      </c>
      <c r="C279" s="24">
        <v>451295000000</v>
      </c>
      <c r="D279" s="25">
        <v>0.40105714505406881</v>
      </c>
      <c r="E279" t="s">
        <v>111</v>
      </c>
      <c r="F279" s="25">
        <v>0.40105714505406881</v>
      </c>
      <c r="G279" t="s">
        <v>111</v>
      </c>
      <c r="H279" s="25">
        <v>0.40105714505406881</v>
      </c>
      <c r="I279" t="s">
        <v>111</v>
      </c>
      <c r="J279" s="25">
        <v>0.40105714505406881</v>
      </c>
      <c r="K279" t="s">
        <v>111</v>
      </c>
      <c r="L279" s="25">
        <v>0.40105714505406881</v>
      </c>
      <c r="M279" t="s">
        <v>111</v>
      </c>
    </row>
    <row r="280" spans="1:13" x14ac:dyDescent="0.25">
      <c r="A280" s="48">
        <v>276</v>
      </c>
      <c r="B280" s="49">
        <v>363196802449.53333</v>
      </c>
      <c r="C280" s="49">
        <v>451295000000</v>
      </c>
      <c r="D280" s="50">
        <v>0.4023940022042492</v>
      </c>
      <c r="E280" s="51" t="s">
        <v>111</v>
      </c>
      <c r="F280" s="50">
        <v>0.4023940022042492</v>
      </c>
      <c r="G280" s="51" t="s">
        <v>111</v>
      </c>
      <c r="H280" s="50">
        <v>0.4023940022042492</v>
      </c>
      <c r="I280" s="51" t="s">
        <v>111</v>
      </c>
      <c r="J280" s="50">
        <v>0.4023940022042492</v>
      </c>
      <c r="K280" s="51" t="s">
        <v>111</v>
      </c>
      <c r="L280" s="50">
        <v>0.4023940022042492</v>
      </c>
      <c r="M280" s="51" t="s">
        <v>111</v>
      </c>
    </row>
    <row r="281" spans="1:13" x14ac:dyDescent="0.25">
      <c r="A281" s="8">
        <v>277</v>
      </c>
      <c r="B281" s="24">
        <v>364407458457.69843</v>
      </c>
      <c r="C281" s="24">
        <v>451295000000</v>
      </c>
      <c r="D281" s="25">
        <v>0.40373531554492997</v>
      </c>
      <c r="E281" t="s">
        <v>111</v>
      </c>
      <c r="F281" s="25">
        <v>0.40373531554492997</v>
      </c>
      <c r="G281" t="s">
        <v>111</v>
      </c>
      <c r="H281" s="25">
        <v>0.40373531554492997</v>
      </c>
      <c r="I281" t="s">
        <v>111</v>
      </c>
      <c r="J281" s="25">
        <v>0.40373531554492997</v>
      </c>
      <c r="K281" t="s">
        <v>111</v>
      </c>
      <c r="L281" s="25">
        <v>0.40373531554492997</v>
      </c>
      <c r="M281" t="s">
        <v>111</v>
      </c>
    </row>
    <row r="282" spans="1:13" x14ac:dyDescent="0.25">
      <c r="A282" s="48">
        <v>278</v>
      </c>
      <c r="B282" s="49">
        <v>365622149985.89069</v>
      </c>
      <c r="C282" s="49">
        <v>451295000000</v>
      </c>
      <c r="D282" s="50">
        <v>0.40508109993007968</v>
      </c>
      <c r="E282" s="51" t="s">
        <v>111</v>
      </c>
      <c r="F282" s="50">
        <v>0.40508109993007968</v>
      </c>
      <c r="G282" s="51" t="s">
        <v>111</v>
      </c>
      <c r="H282" s="50">
        <v>0.40508109993007968</v>
      </c>
      <c r="I282" s="51" t="s">
        <v>111</v>
      </c>
      <c r="J282" s="50">
        <v>0.40508109993007968</v>
      </c>
      <c r="K282" s="51" t="s">
        <v>111</v>
      </c>
      <c r="L282" s="50">
        <v>0.40508109993007968</v>
      </c>
      <c r="M282" s="51" t="s">
        <v>111</v>
      </c>
    </row>
    <row r="283" spans="1:13" x14ac:dyDescent="0.25">
      <c r="A283" s="8">
        <v>279</v>
      </c>
      <c r="B283" s="24">
        <v>366840890485.84369</v>
      </c>
      <c r="C283" s="24">
        <v>451295000000</v>
      </c>
      <c r="D283" s="25">
        <v>0.40643137026317999</v>
      </c>
      <c r="E283" t="s">
        <v>111</v>
      </c>
      <c r="F283" s="25">
        <v>0.40643137026317999</v>
      </c>
      <c r="G283" t="s">
        <v>111</v>
      </c>
      <c r="H283" s="25">
        <v>0.40643137026317999</v>
      </c>
      <c r="I283" t="s">
        <v>111</v>
      </c>
      <c r="J283" s="25">
        <v>0.40643137026317999</v>
      </c>
      <c r="K283" t="s">
        <v>111</v>
      </c>
      <c r="L283" s="25">
        <v>0.40643137026317999</v>
      </c>
      <c r="M283" t="s">
        <v>111</v>
      </c>
    </row>
    <row r="284" spans="1:13" x14ac:dyDescent="0.25">
      <c r="A284" s="48">
        <v>280</v>
      </c>
      <c r="B284" s="49">
        <v>368063693454.12988</v>
      </c>
      <c r="C284" s="49">
        <v>451295000000</v>
      </c>
      <c r="D284" s="50">
        <v>0.40778614149739068</v>
      </c>
      <c r="E284" s="51" t="s">
        <v>111</v>
      </c>
      <c r="F284" s="50">
        <v>0.40778614149739068</v>
      </c>
      <c r="G284" s="51" t="s">
        <v>111</v>
      </c>
      <c r="H284" s="50">
        <v>0.40778614149739068</v>
      </c>
      <c r="I284" s="51" t="s">
        <v>111</v>
      </c>
      <c r="J284" s="50">
        <v>0.40778614149739068</v>
      </c>
      <c r="K284" s="51" t="s">
        <v>111</v>
      </c>
      <c r="L284" s="50">
        <v>0.40778614149739068</v>
      </c>
      <c r="M284" s="51" t="s">
        <v>111</v>
      </c>
    </row>
    <row r="285" spans="1:13" x14ac:dyDescent="0.25">
      <c r="A285" s="8">
        <v>281</v>
      </c>
      <c r="B285" s="24">
        <v>369290572432.3103</v>
      </c>
      <c r="C285" s="24">
        <v>451295000000</v>
      </c>
      <c r="D285" s="25">
        <v>0.40914542863571529</v>
      </c>
      <c r="E285" t="s">
        <v>111</v>
      </c>
      <c r="F285" s="25">
        <v>0.40914542863571529</v>
      </c>
      <c r="G285" t="s">
        <v>111</v>
      </c>
      <c r="H285" s="25">
        <v>0.40914542863571529</v>
      </c>
      <c r="I285" t="s">
        <v>111</v>
      </c>
      <c r="J285" s="25">
        <v>0.40914542863571529</v>
      </c>
      <c r="K285" t="s">
        <v>111</v>
      </c>
      <c r="L285" s="25">
        <v>0.40914542863571529</v>
      </c>
      <c r="M285" t="s">
        <v>111</v>
      </c>
    </row>
    <row r="286" spans="1:13" x14ac:dyDescent="0.25">
      <c r="A286" s="48">
        <v>282</v>
      </c>
      <c r="B286" s="49">
        <v>370521541007.08472</v>
      </c>
      <c r="C286" s="49">
        <v>451295000000</v>
      </c>
      <c r="D286" s="50">
        <v>0.41050924673116779</v>
      </c>
      <c r="E286" s="51" t="s">
        <v>111</v>
      </c>
      <c r="F286" s="50">
        <v>0.41050924673116779</v>
      </c>
      <c r="G286" s="51" t="s">
        <v>111</v>
      </c>
      <c r="H286" s="50">
        <v>0.41050924673116779</v>
      </c>
      <c r="I286" s="51" t="s">
        <v>111</v>
      </c>
      <c r="J286" s="50">
        <v>0.41050924673116779</v>
      </c>
      <c r="K286" s="51" t="s">
        <v>111</v>
      </c>
      <c r="L286" s="50">
        <v>0.41050924673116779</v>
      </c>
      <c r="M286" s="51" t="s">
        <v>111</v>
      </c>
    </row>
    <row r="287" spans="1:13" x14ac:dyDescent="0.25">
      <c r="A287" s="8">
        <v>283</v>
      </c>
      <c r="B287" s="24">
        <v>371756612810.44171</v>
      </c>
      <c r="C287" s="24">
        <v>451295000000</v>
      </c>
      <c r="D287" s="25">
        <v>0.41187761088693842</v>
      </c>
      <c r="E287" t="s">
        <v>111</v>
      </c>
      <c r="F287" s="25">
        <v>0.41187761088693842</v>
      </c>
      <c r="G287" t="s">
        <v>111</v>
      </c>
      <c r="H287" s="25">
        <v>0.41187761088693842</v>
      </c>
      <c r="I287" t="s">
        <v>111</v>
      </c>
      <c r="J287" s="25">
        <v>0.41187761088693842</v>
      </c>
      <c r="K287" t="s">
        <v>111</v>
      </c>
      <c r="L287" s="25">
        <v>0.41187761088693842</v>
      </c>
      <c r="M287" t="s">
        <v>111</v>
      </c>
    </row>
    <row r="288" spans="1:13" x14ac:dyDescent="0.25">
      <c r="A288" s="48">
        <v>284</v>
      </c>
      <c r="B288" s="49">
        <v>372995801519.80988</v>
      </c>
      <c r="C288" s="49">
        <v>451295000000</v>
      </c>
      <c r="D288" s="50">
        <v>0.41325053625656161</v>
      </c>
      <c r="E288" s="51" t="s">
        <v>111</v>
      </c>
      <c r="F288" s="50">
        <v>0.41325053625656161</v>
      </c>
      <c r="G288" s="51" t="s">
        <v>111</v>
      </c>
      <c r="H288" s="50">
        <v>0.41325053625656161</v>
      </c>
      <c r="I288" s="51" t="s">
        <v>111</v>
      </c>
      <c r="J288" s="50">
        <v>0.41325053625656161</v>
      </c>
      <c r="K288" s="51" t="s">
        <v>111</v>
      </c>
      <c r="L288" s="50">
        <v>0.41325053625656161</v>
      </c>
      <c r="M288" s="51" t="s">
        <v>111</v>
      </c>
    </row>
    <row r="289" spans="1:13" x14ac:dyDescent="0.25">
      <c r="A289" s="8">
        <v>285</v>
      </c>
      <c r="B289" s="24">
        <v>374239120858.20923</v>
      </c>
      <c r="C289" s="24">
        <v>451295000000</v>
      </c>
      <c r="D289" s="25">
        <v>0.41462803804408338</v>
      </c>
      <c r="E289" t="s">
        <v>111</v>
      </c>
      <c r="F289" s="25">
        <v>0.41462803804408338</v>
      </c>
      <c r="G289" t="s">
        <v>111</v>
      </c>
      <c r="H289" s="25">
        <v>0.41462803804408338</v>
      </c>
      <c r="I289" t="s">
        <v>111</v>
      </c>
      <c r="J289" s="25">
        <v>0.41462803804408338</v>
      </c>
      <c r="K289" t="s">
        <v>111</v>
      </c>
      <c r="L289" s="25">
        <v>0.41462803804408338</v>
      </c>
      <c r="M289" t="s">
        <v>111</v>
      </c>
    </row>
    <row r="290" spans="1:13" x14ac:dyDescent="0.25">
      <c r="A290" s="48">
        <v>286</v>
      </c>
      <c r="B290" s="49">
        <v>375486584594.40332</v>
      </c>
      <c r="C290" s="49">
        <v>451295000000</v>
      </c>
      <c r="D290" s="50">
        <v>0.41601013150423038</v>
      </c>
      <c r="E290" s="51" t="s">
        <v>111</v>
      </c>
      <c r="F290" s="50">
        <v>0.41601013150423038</v>
      </c>
      <c r="G290" s="51" t="s">
        <v>111</v>
      </c>
      <c r="H290" s="50">
        <v>0.41601013150423038</v>
      </c>
      <c r="I290" s="51" t="s">
        <v>111</v>
      </c>
      <c r="J290" s="50">
        <v>0.41601013150423038</v>
      </c>
      <c r="K290" s="51" t="s">
        <v>111</v>
      </c>
      <c r="L290" s="50">
        <v>0.41601013150423038</v>
      </c>
      <c r="M290" s="51" t="s">
        <v>111</v>
      </c>
    </row>
    <row r="291" spans="1:13" x14ac:dyDescent="0.25">
      <c r="A291" s="8">
        <v>287</v>
      </c>
      <c r="B291" s="24">
        <v>376738206543.05127</v>
      </c>
      <c r="C291" s="24">
        <v>451295000000</v>
      </c>
      <c r="D291" s="25">
        <v>0.41739683194257782</v>
      </c>
      <c r="E291" t="s">
        <v>111</v>
      </c>
      <c r="F291" s="25">
        <v>0.41739683194257782</v>
      </c>
      <c r="G291" t="s">
        <v>111</v>
      </c>
      <c r="H291" s="25">
        <v>0.41739683194257782</v>
      </c>
      <c r="I291" t="s">
        <v>111</v>
      </c>
      <c r="J291" s="25">
        <v>0.41739683194257782</v>
      </c>
      <c r="K291" t="s">
        <v>111</v>
      </c>
      <c r="L291" s="25">
        <v>0.41739683194257782</v>
      </c>
      <c r="M291" t="s">
        <v>111</v>
      </c>
    </row>
    <row r="292" spans="1:13" x14ac:dyDescent="0.25">
      <c r="A292" s="48">
        <v>288</v>
      </c>
      <c r="B292" s="49">
        <v>377994000564.86157</v>
      </c>
      <c r="C292" s="49">
        <v>451295000000</v>
      </c>
      <c r="D292" s="50">
        <v>0.41878815471571978</v>
      </c>
      <c r="E292" s="51" t="s">
        <v>111</v>
      </c>
      <c r="F292" s="50">
        <v>0.41878815471571978</v>
      </c>
      <c r="G292" s="51" t="s">
        <v>111</v>
      </c>
      <c r="H292" s="50">
        <v>0.41878815471571978</v>
      </c>
      <c r="I292" s="51" t="s">
        <v>111</v>
      </c>
      <c r="J292" s="50">
        <v>0.41878815471571978</v>
      </c>
      <c r="K292" s="51" t="s">
        <v>111</v>
      </c>
      <c r="L292" s="50">
        <v>0.41878815471571978</v>
      </c>
      <c r="M292" s="51" t="s">
        <v>111</v>
      </c>
    </row>
    <row r="293" spans="1:13" x14ac:dyDescent="0.25">
      <c r="A293" s="8">
        <v>289</v>
      </c>
      <c r="B293" s="24">
        <v>379253980566.74451</v>
      </c>
      <c r="C293" s="24">
        <v>451295000000</v>
      </c>
      <c r="D293" s="25">
        <v>0.420184115231439</v>
      </c>
      <c r="E293" t="s">
        <v>111</v>
      </c>
      <c r="F293" s="25">
        <v>0.420184115231439</v>
      </c>
      <c r="G293" t="s">
        <v>111</v>
      </c>
      <c r="H293" s="25">
        <v>0.420184115231439</v>
      </c>
      <c r="I293" t="s">
        <v>111</v>
      </c>
      <c r="J293" s="25">
        <v>0.420184115231439</v>
      </c>
      <c r="K293" t="s">
        <v>111</v>
      </c>
      <c r="L293" s="25">
        <v>0.420184115231439</v>
      </c>
      <c r="M293" t="s">
        <v>111</v>
      </c>
    </row>
    <row r="294" spans="1:13" x14ac:dyDescent="0.25">
      <c r="A294" s="48">
        <v>290</v>
      </c>
      <c r="B294" s="49">
        <v>380518160501.96698</v>
      </c>
      <c r="C294" s="49">
        <v>451295000000</v>
      </c>
      <c r="D294" s="50">
        <v>0.42158472894887711</v>
      </c>
      <c r="E294" s="51" t="s">
        <v>111</v>
      </c>
      <c r="F294" s="50">
        <v>0.42158472894887711</v>
      </c>
      <c r="G294" s="51" t="s">
        <v>111</v>
      </c>
      <c r="H294" s="50">
        <v>0.42158472894887711</v>
      </c>
      <c r="I294" s="51" t="s">
        <v>111</v>
      </c>
      <c r="J294" s="50">
        <v>0.42158472894887711</v>
      </c>
      <c r="K294" s="51" t="s">
        <v>111</v>
      </c>
      <c r="L294" s="50">
        <v>0.42158472894887711</v>
      </c>
      <c r="M294" s="51" t="s">
        <v>111</v>
      </c>
    </row>
    <row r="295" spans="1:13" x14ac:dyDescent="0.25">
      <c r="A295" s="8">
        <v>291</v>
      </c>
      <c r="B295" s="24">
        <v>381786554370.30688</v>
      </c>
      <c r="C295" s="24">
        <v>451295000000</v>
      </c>
      <c r="D295" s="25">
        <v>0.42299001137870679</v>
      </c>
      <c r="E295" t="s">
        <v>111</v>
      </c>
      <c r="F295" s="25">
        <v>0.42299001137870679</v>
      </c>
      <c r="G295" t="s">
        <v>111</v>
      </c>
      <c r="H295" s="25">
        <v>0.42299001137870679</v>
      </c>
      <c r="I295" t="s">
        <v>111</v>
      </c>
      <c r="J295" s="25">
        <v>0.42299001137870679</v>
      </c>
      <c r="K295" t="s">
        <v>111</v>
      </c>
      <c r="L295" s="25">
        <v>0.42299001137870679</v>
      </c>
      <c r="M295" t="s">
        <v>111</v>
      </c>
    </row>
    <row r="296" spans="1:13" x14ac:dyDescent="0.25">
      <c r="A296" s="48">
        <v>292</v>
      </c>
      <c r="B296" s="49">
        <v>383059176218.20801</v>
      </c>
      <c r="C296" s="49">
        <v>451295000000</v>
      </c>
      <c r="D296" s="50">
        <v>0.42439997808330249</v>
      </c>
      <c r="E296" s="51" t="s">
        <v>111</v>
      </c>
      <c r="F296" s="50">
        <v>0.42439997808330249</v>
      </c>
      <c r="G296" s="51" t="s">
        <v>111</v>
      </c>
      <c r="H296" s="50">
        <v>0.42439997808330249</v>
      </c>
      <c r="I296" s="51" t="s">
        <v>111</v>
      </c>
      <c r="J296" s="50">
        <v>0.42439997808330249</v>
      </c>
      <c r="K296" s="51" t="s">
        <v>111</v>
      </c>
      <c r="L296" s="50">
        <v>0.42439997808330249</v>
      </c>
      <c r="M296" s="51" t="s">
        <v>111</v>
      </c>
    </row>
    <row r="297" spans="1:13" x14ac:dyDescent="0.25">
      <c r="A297" s="8">
        <v>293</v>
      </c>
      <c r="B297" s="24">
        <v>384336040138.9353</v>
      </c>
      <c r="C297" s="24">
        <v>451295000000</v>
      </c>
      <c r="D297" s="25">
        <v>0.42581464467691338</v>
      </c>
      <c r="E297" t="s">
        <v>111</v>
      </c>
      <c r="F297" s="25">
        <v>0.42581464467691338</v>
      </c>
      <c r="G297" t="s">
        <v>111</v>
      </c>
      <c r="H297" s="25">
        <v>0.42581464467691338</v>
      </c>
      <c r="I297" t="s">
        <v>111</v>
      </c>
      <c r="J297" s="25">
        <v>0.42581464467691338</v>
      </c>
      <c r="K297" t="s">
        <v>111</v>
      </c>
      <c r="L297" s="25">
        <v>0.42581464467691338</v>
      </c>
      <c r="M297" t="s">
        <v>111</v>
      </c>
    </row>
    <row r="298" spans="1:13" x14ac:dyDescent="0.25">
      <c r="A298" s="48">
        <v>294</v>
      </c>
      <c r="B298" s="49">
        <v>385617160272.73187</v>
      </c>
      <c r="C298" s="49">
        <v>451295000000</v>
      </c>
      <c r="D298" s="50">
        <v>0.42723402682583661</v>
      </c>
      <c r="E298" s="51" t="s">
        <v>111</v>
      </c>
      <c r="F298" s="50">
        <v>0.42723402682583661</v>
      </c>
      <c r="G298" s="51" t="s">
        <v>111</v>
      </c>
      <c r="H298" s="50">
        <v>0.42723402682583661</v>
      </c>
      <c r="I298" s="51" t="s">
        <v>111</v>
      </c>
      <c r="J298" s="50">
        <v>0.42723402682583661</v>
      </c>
      <c r="K298" s="51" t="s">
        <v>111</v>
      </c>
      <c r="L298" s="50">
        <v>0.42723402682583661</v>
      </c>
      <c r="M298" s="51" t="s">
        <v>111</v>
      </c>
    </row>
    <row r="299" spans="1:13" x14ac:dyDescent="0.25">
      <c r="A299" s="8">
        <v>295</v>
      </c>
      <c r="B299" s="24">
        <v>386902550806.9743</v>
      </c>
      <c r="C299" s="24">
        <v>451295000000</v>
      </c>
      <c r="D299" s="25">
        <v>0.42865814024858939</v>
      </c>
      <c r="E299" t="s">
        <v>111</v>
      </c>
      <c r="F299" s="25">
        <v>0.42865814024858939</v>
      </c>
      <c r="G299" t="s">
        <v>111</v>
      </c>
      <c r="H299" s="25">
        <v>0.42865814024858939</v>
      </c>
      <c r="I299" t="s">
        <v>111</v>
      </c>
      <c r="J299" s="25">
        <v>0.42865814024858939</v>
      </c>
      <c r="K299" t="s">
        <v>111</v>
      </c>
      <c r="L299" s="25">
        <v>0.42865814024858939</v>
      </c>
      <c r="M299" t="s">
        <v>111</v>
      </c>
    </row>
    <row r="300" spans="1:13" x14ac:dyDescent="0.25">
      <c r="A300" s="48">
        <v>296</v>
      </c>
      <c r="B300" s="49">
        <v>388192225976.33087</v>
      </c>
      <c r="C300" s="49">
        <v>451295000000</v>
      </c>
      <c r="D300" s="50">
        <v>0.43008700071608469</v>
      </c>
      <c r="E300" s="51" t="s">
        <v>111</v>
      </c>
      <c r="F300" s="50">
        <v>0.43008700071608469</v>
      </c>
      <c r="G300" s="51" t="s">
        <v>111</v>
      </c>
      <c r="H300" s="50">
        <v>0.43008700071608469</v>
      </c>
      <c r="I300" s="51" t="s">
        <v>111</v>
      </c>
      <c r="J300" s="50">
        <v>0.43008700071608469</v>
      </c>
      <c r="K300" s="51" t="s">
        <v>111</v>
      </c>
      <c r="L300" s="50">
        <v>0.43008700071608469</v>
      </c>
      <c r="M300" s="51" t="s">
        <v>111</v>
      </c>
    </row>
    <row r="301" spans="1:13" x14ac:dyDescent="0.25">
      <c r="A301" s="8">
        <v>297</v>
      </c>
      <c r="B301" s="24">
        <v>389486200062.9187</v>
      </c>
      <c r="C301" s="24">
        <v>451295000000</v>
      </c>
      <c r="D301" s="25">
        <v>0.43152062405180502</v>
      </c>
      <c r="E301" t="s">
        <v>111</v>
      </c>
      <c r="F301" s="25">
        <v>0.43152062405180502</v>
      </c>
      <c r="G301" t="s">
        <v>111</v>
      </c>
      <c r="H301" s="25">
        <v>0.43152062405180502</v>
      </c>
      <c r="I301" t="s">
        <v>111</v>
      </c>
      <c r="J301" s="25">
        <v>0.43152062405180502</v>
      </c>
      <c r="K301" t="s">
        <v>111</v>
      </c>
      <c r="L301" s="25">
        <v>0.43152062405180502</v>
      </c>
      <c r="M301" t="s">
        <v>111</v>
      </c>
    </row>
    <row r="302" spans="1:13" x14ac:dyDescent="0.25">
      <c r="A302" s="48">
        <v>298</v>
      </c>
      <c r="B302" s="49">
        <v>390784487396.46179</v>
      </c>
      <c r="C302" s="49">
        <v>451295000000</v>
      </c>
      <c r="D302" s="50">
        <v>0.43295902613197768</v>
      </c>
      <c r="E302" s="51" t="s">
        <v>111</v>
      </c>
      <c r="F302" s="50">
        <v>0.43295902613197768</v>
      </c>
      <c r="G302" s="51" t="s">
        <v>111</v>
      </c>
      <c r="H302" s="50">
        <v>0.43295902613197768</v>
      </c>
      <c r="I302" s="51" t="s">
        <v>111</v>
      </c>
      <c r="J302" s="50">
        <v>0.43295902613197768</v>
      </c>
      <c r="K302" s="51" t="s">
        <v>111</v>
      </c>
      <c r="L302" s="50">
        <v>0.43295902613197768</v>
      </c>
      <c r="M302" s="51" t="s">
        <v>111</v>
      </c>
    </row>
    <row r="303" spans="1:13" x14ac:dyDescent="0.25">
      <c r="A303" s="8">
        <v>299</v>
      </c>
      <c r="B303" s="24">
        <v>392087102354.45001</v>
      </c>
      <c r="C303" s="24">
        <v>451295000000</v>
      </c>
      <c r="D303" s="25">
        <v>0.43440222288575098</v>
      </c>
      <c r="E303" t="s">
        <v>111</v>
      </c>
      <c r="F303" s="25">
        <v>0.43440222288575098</v>
      </c>
      <c r="G303" t="s">
        <v>111</v>
      </c>
      <c r="H303" s="25">
        <v>0.43440222288575098</v>
      </c>
      <c r="I303" t="s">
        <v>111</v>
      </c>
      <c r="J303" s="25">
        <v>0.43440222288575098</v>
      </c>
      <c r="K303" t="s">
        <v>111</v>
      </c>
      <c r="L303" s="25">
        <v>0.43440222288575098</v>
      </c>
      <c r="M303" t="s">
        <v>111</v>
      </c>
    </row>
    <row r="304" spans="1:13" x14ac:dyDescent="0.25">
      <c r="A304" s="48">
        <v>300</v>
      </c>
      <c r="B304" s="49">
        <v>393394059362.29822</v>
      </c>
      <c r="C304" s="49">
        <v>451295000000</v>
      </c>
      <c r="D304" s="50">
        <v>0.43585023029537018</v>
      </c>
      <c r="E304" s="51" t="s">
        <v>111</v>
      </c>
      <c r="F304" s="50">
        <v>0.43585023029537018</v>
      </c>
      <c r="G304" s="51" t="s">
        <v>111</v>
      </c>
      <c r="H304" s="50">
        <v>0.43585023029537018</v>
      </c>
      <c r="I304" s="51" t="s">
        <v>111</v>
      </c>
      <c r="J304" s="50">
        <v>0.43585023029537018</v>
      </c>
      <c r="K304" s="51" t="s">
        <v>111</v>
      </c>
      <c r="L304" s="50">
        <v>0.43585023029537018</v>
      </c>
      <c r="M304" s="51" t="s">
        <v>111</v>
      </c>
    </row>
    <row r="305" spans="1:13" x14ac:dyDescent="0.25">
      <c r="A305" s="8">
        <v>301</v>
      </c>
      <c r="B305" s="24">
        <v>394705372893.50592</v>
      </c>
      <c r="C305" s="24">
        <v>451295000000</v>
      </c>
      <c r="D305" s="25">
        <v>0.43730306439635491</v>
      </c>
      <c r="E305" t="s">
        <v>111</v>
      </c>
      <c r="F305" s="25">
        <v>0.43730306439635491</v>
      </c>
      <c r="G305" t="s">
        <v>111</v>
      </c>
      <c r="H305" s="25">
        <v>0.43730306439635491</v>
      </c>
      <c r="I305" t="s">
        <v>111</v>
      </c>
      <c r="J305" s="25">
        <v>0.43730306439635491</v>
      </c>
      <c r="K305" t="s">
        <v>111</v>
      </c>
      <c r="L305" s="25">
        <v>0.43730306439635491</v>
      </c>
      <c r="M305" t="s">
        <v>111</v>
      </c>
    </row>
    <row r="306" spans="1:13" x14ac:dyDescent="0.25">
      <c r="A306" s="48">
        <v>302</v>
      </c>
      <c r="B306" s="49">
        <v>396021057469.81769</v>
      </c>
      <c r="C306" s="49">
        <v>451295000000</v>
      </c>
      <c r="D306" s="50">
        <v>0.43876074127767611</v>
      </c>
      <c r="E306" s="51" t="s">
        <v>111</v>
      </c>
      <c r="F306" s="50">
        <v>0.43876074127767611</v>
      </c>
      <c r="G306" s="51" t="s">
        <v>111</v>
      </c>
      <c r="H306" s="50">
        <v>0.43876074127767611</v>
      </c>
      <c r="I306" s="51" t="s">
        <v>111</v>
      </c>
      <c r="J306" s="50">
        <v>0.43876074127767611</v>
      </c>
      <c r="K306" s="51" t="s">
        <v>111</v>
      </c>
      <c r="L306" s="50">
        <v>0.43876074127767611</v>
      </c>
      <c r="M306" s="51" t="s">
        <v>111</v>
      </c>
    </row>
    <row r="307" spans="1:13" x14ac:dyDescent="0.25">
      <c r="A307" s="8">
        <v>303</v>
      </c>
      <c r="B307" s="24">
        <v>397341127661.38373</v>
      </c>
      <c r="C307" s="24">
        <v>451295000000</v>
      </c>
      <c r="D307" s="25">
        <v>0.44022327708193498</v>
      </c>
      <c r="E307" t="s">
        <v>111</v>
      </c>
      <c r="F307" s="25">
        <v>0.44022327708193498</v>
      </c>
      <c r="G307" t="s">
        <v>111</v>
      </c>
      <c r="H307" s="25">
        <v>0.44022327708193498</v>
      </c>
      <c r="I307" t="s">
        <v>111</v>
      </c>
      <c r="J307" s="25">
        <v>0.44022327708193498</v>
      </c>
      <c r="K307" t="s">
        <v>111</v>
      </c>
      <c r="L307" s="25">
        <v>0.44022327708193498</v>
      </c>
      <c r="M307" t="s">
        <v>111</v>
      </c>
    </row>
    <row r="308" spans="1:13" x14ac:dyDescent="0.25">
      <c r="A308" s="48">
        <v>304</v>
      </c>
      <c r="B308" s="49">
        <v>398665598086.92169</v>
      </c>
      <c r="C308" s="49">
        <v>451295000000</v>
      </c>
      <c r="D308" s="50">
        <v>0.44169068800554151</v>
      </c>
      <c r="E308" s="51" t="s">
        <v>111</v>
      </c>
      <c r="F308" s="50">
        <v>0.44169068800554151</v>
      </c>
      <c r="G308" s="51" t="s">
        <v>111</v>
      </c>
      <c r="H308" s="50">
        <v>0.44169068800554151</v>
      </c>
      <c r="I308" s="51" t="s">
        <v>111</v>
      </c>
      <c r="J308" s="50">
        <v>0.44169068800554151</v>
      </c>
      <c r="K308" s="51" t="s">
        <v>111</v>
      </c>
      <c r="L308" s="50">
        <v>0.44169068800554151</v>
      </c>
      <c r="M308" s="51" t="s">
        <v>111</v>
      </c>
    </row>
    <row r="309" spans="1:13" x14ac:dyDescent="0.25">
      <c r="A309" s="8">
        <v>305</v>
      </c>
      <c r="B309" s="24">
        <v>399994483413.87811</v>
      </c>
      <c r="C309" s="24">
        <v>451295000000</v>
      </c>
      <c r="D309" s="25">
        <v>0.44316299029889328</v>
      </c>
      <c r="E309" t="s">
        <v>111</v>
      </c>
      <c r="F309" s="25">
        <v>0.44316299029889328</v>
      </c>
      <c r="G309" t="s">
        <v>111</v>
      </c>
      <c r="H309" s="25">
        <v>0.44316299029889328</v>
      </c>
      <c r="I309" t="s">
        <v>111</v>
      </c>
      <c r="J309" s="25">
        <v>0.44316299029889328</v>
      </c>
      <c r="K309" t="s">
        <v>111</v>
      </c>
      <c r="L309" s="25">
        <v>0.44316299029889328</v>
      </c>
      <c r="M309" t="s">
        <v>111</v>
      </c>
    </row>
    <row r="310" spans="1:13" x14ac:dyDescent="0.25">
      <c r="A310" s="48">
        <v>306</v>
      </c>
      <c r="B310" s="49">
        <v>401327798358.59113</v>
      </c>
      <c r="C310" s="49">
        <v>451295000000</v>
      </c>
      <c r="D310" s="50">
        <v>0.44464020026655637</v>
      </c>
      <c r="E310" s="51" t="s">
        <v>111</v>
      </c>
      <c r="F310" s="50">
        <v>0.44464020026655637</v>
      </c>
      <c r="G310" s="51" t="s">
        <v>111</v>
      </c>
      <c r="H310" s="50">
        <v>0.44464020026655637</v>
      </c>
      <c r="I310" s="51" t="s">
        <v>111</v>
      </c>
      <c r="J310" s="50">
        <v>0.44464020026655637</v>
      </c>
      <c r="K310" s="51" t="s">
        <v>111</v>
      </c>
      <c r="L310" s="50">
        <v>0.44464020026655637</v>
      </c>
      <c r="M310" s="51" t="s">
        <v>111</v>
      </c>
    </row>
    <row r="311" spans="1:13" x14ac:dyDescent="0.25">
      <c r="A311" s="8">
        <v>307</v>
      </c>
      <c r="B311" s="24">
        <v>402665557686.45313</v>
      </c>
      <c r="C311" s="24">
        <v>451295000000</v>
      </c>
      <c r="D311" s="25">
        <v>0.44612233426744491</v>
      </c>
      <c r="E311" t="s">
        <v>111</v>
      </c>
      <c r="F311" s="25">
        <v>0.44612233426744491</v>
      </c>
      <c r="G311" t="s">
        <v>111</v>
      </c>
      <c r="H311" s="25">
        <v>0.44612233426744491</v>
      </c>
      <c r="I311" t="s">
        <v>111</v>
      </c>
      <c r="J311" s="25">
        <v>0.44612233426744491</v>
      </c>
      <c r="K311" t="s">
        <v>111</v>
      </c>
      <c r="L311" s="25">
        <v>0.44612233426744491</v>
      </c>
      <c r="M311" t="s">
        <v>111</v>
      </c>
    </row>
    <row r="312" spans="1:13" x14ac:dyDescent="0.25">
      <c r="A312" s="48">
        <v>308</v>
      </c>
      <c r="B312" s="49">
        <v>404007776212.07458</v>
      </c>
      <c r="C312" s="49">
        <v>451295000000</v>
      </c>
      <c r="D312" s="50">
        <v>0.4476094087150031</v>
      </c>
      <c r="E312" s="51" t="s">
        <v>111</v>
      </c>
      <c r="F312" s="50">
        <v>0.4476094087150031</v>
      </c>
      <c r="G312" s="51" t="s">
        <v>111</v>
      </c>
      <c r="H312" s="50">
        <v>0.4476094087150031</v>
      </c>
      <c r="I312" s="51" t="s">
        <v>111</v>
      </c>
      <c r="J312" s="50">
        <v>0.4476094087150031</v>
      </c>
      <c r="K312" s="51" t="s">
        <v>111</v>
      </c>
      <c r="L312" s="50">
        <v>0.4476094087150031</v>
      </c>
      <c r="M312" s="51" t="s">
        <v>111</v>
      </c>
    </row>
    <row r="313" spans="1:13" x14ac:dyDescent="0.25">
      <c r="A313" s="8">
        <v>309</v>
      </c>
      <c r="B313" s="24">
        <v>405354468799.44818</v>
      </c>
      <c r="C313" s="24">
        <v>451295000000</v>
      </c>
      <c r="D313" s="25">
        <v>0.44910144007738639</v>
      </c>
      <c r="E313" t="s">
        <v>111</v>
      </c>
      <c r="F313" s="25">
        <v>0.44910144007738639</v>
      </c>
      <c r="G313" t="s">
        <v>111</v>
      </c>
      <c r="H313" s="25">
        <v>0.44910144007738639</v>
      </c>
      <c r="I313" t="s">
        <v>111</v>
      </c>
      <c r="J313" s="25">
        <v>0.44910144007738639</v>
      </c>
      <c r="K313" t="s">
        <v>111</v>
      </c>
      <c r="L313" s="25">
        <v>0.44910144007738639</v>
      </c>
      <c r="M313" t="s">
        <v>111</v>
      </c>
    </row>
    <row r="314" spans="1:13" x14ac:dyDescent="0.25">
      <c r="A314" s="48">
        <v>310</v>
      </c>
      <c r="B314" s="49">
        <v>406705650362.1131</v>
      </c>
      <c r="C314" s="49">
        <v>451295000000</v>
      </c>
      <c r="D314" s="50">
        <v>0.45059844487764439</v>
      </c>
      <c r="E314" s="51" t="s">
        <v>111</v>
      </c>
      <c r="F314" s="50">
        <v>0.45059844487764439</v>
      </c>
      <c r="G314" s="51" t="s">
        <v>111</v>
      </c>
      <c r="H314" s="50">
        <v>0.45059844487764439</v>
      </c>
      <c r="I314" s="51" t="s">
        <v>111</v>
      </c>
      <c r="J314" s="50">
        <v>0.45059844487764439</v>
      </c>
      <c r="K314" s="51" t="s">
        <v>111</v>
      </c>
      <c r="L314" s="50">
        <v>0.45059844487764439</v>
      </c>
      <c r="M314" s="51" t="s">
        <v>111</v>
      </c>
    </row>
    <row r="315" spans="1:13" x14ac:dyDescent="0.25">
      <c r="A315" s="8">
        <v>311</v>
      </c>
      <c r="B315" s="24">
        <v>408061335863.32013</v>
      </c>
      <c r="C315" s="24">
        <v>451295000000</v>
      </c>
      <c r="D315" s="25">
        <v>0.45210043969390318</v>
      </c>
      <c r="E315" t="s">
        <v>111</v>
      </c>
      <c r="F315" s="25">
        <v>0.45210043969390318</v>
      </c>
      <c r="G315" t="s">
        <v>111</v>
      </c>
      <c r="H315" s="25">
        <v>0.45210043969390318</v>
      </c>
      <c r="I315" t="s">
        <v>111</v>
      </c>
      <c r="J315" s="25">
        <v>0.45210043969390318</v>
      </c>
      <c r="K315" t="s">
        <v>111</v>
      </c>
      <c r="L315" s="25">
        <v>0.45210043969390318</v>
      </c>
      <c r="M315" t="s">
        <v>111</v>
      </c>
    </row>
    <row r="316" spans="1:13" x14ac:dyDescent="0.25">
      <c r="A316" s="48">
        <v>312</v>
      </c>
      <c r="B316" s="49">
        <v>409421540316.198</v>
      </c>
      <c r="C316" s="49">
        <v>451295000000</v>
      </c>
      <c r="D316" s="50">
        <v>0.45360744115954982</v>
      </c>
      <c r="E316" s="51" t="s">
        <v>111</v>
      </c>
      <c r="F316" s="50">
        <v>0.45360744115954982</v>
      </c>
      <c r="G316" s="51" t="s">
        <v>111</v>
      </c>
      <c r="H316" s="50">
        <v>0.45360744115954982</v>
      </c>
      <c r="I316" s="51" t="s">
        <v>111</v>
      </c>
      <c r="J316" s="50">
        <v>0.45360744115954982</v>
      </c>
      <c r="K316" s="51" t="s">
        <v>111</v>
      </c>
      <c r="L316" s="50">
        <v>0.45360744115954982</v>
      </c>
      <c r="M316" s="51" t="s">
        <v>111</v>
      </c>
    </row>
    <row r="317" spans="1:13" x14ac:dyDescent="0.25">
      <c r="A317" s="8">
        <v>313</v>
      </c>
      <c r="B317" s="24">
        <v>410786278783.91858</v>
      </c>
      <c r="C317" s="24">
        <v>451295000000</v>
      </c>
      <c r="D317" s="25">
        <v>0.4551194659634149</v>
      </c>
      <c r="E317" t="s">
        <v>111</v>
      </c>
      <c r="F317" s="25">
        <v>0.4551194659634149</v>
      </c>
      <c r="G317" t="s">
        <v>111</v>
      </c>
      <c r="H317" s="25">
        <v>0.4551194659634149</v>
      </c>
      <c r="I317" t="s">
        <v>111</v>
      </c>
      <c r="J317" s="25">
        <v>0.4551194659634149</v>
      </c>
      <c r="K317" t="s">
        <v>111</v>
      </c>
      <c r="L317" s="25">
        <v>0.4551194659634149</v>
      </c>
      <c r="M317" t="s">
        <v>111</v>
      </c>
    </row>
    <row r="318" spans="1:13" x14ac:dyDescent="0.25">
      <c r="A318" s="48">
        <v>314</v>
      </c>
      <c r="B318" s="49">
        <v>412155566379.86511</v>
      </c>
      <c r="C318" s="49">
        <v>451295000000</v>
      </c>
      <c r="D318" s="50">
        <v>0.4566365308499597</v>
      </c>
      <c r="E318" s="51" t="s">
        <v>111</v>
      </c>
      <c r="F318" s="50">
        <v>0.4566365308499597</v>
      </c>
      <c r="G318" s="51" t="s">
        <v>111</v>
      </c>
      <c r="H318" s="50">
        <v>0.4566365308499597</v>
      </c>
      <c r="I318" s="51" t="s">
        <v>111</v>
      </c>
      <c r="J318" s="50">
        <v>0.4566365308499597</v>
      </c>
      <c r="K318" s="51" t="s">
        <v>111</v>
      </c>
      <c r="L318" s="50">
        <v>0.4566365308499597</v>
      </c>
      <c r="M318" s="51" t="s">
        <v>111</v>
      </c>
    </row>
    <row r="319" spans="1:13" x14ac:dyDescent="0.25">
      <c r="A319" s="8">
        <v>315</v>
      </c>
      <c r="B319" s="24">
        <v>413529418267.79797</v>
      </c>
      <c r="C319" s="24">
        <v>451295000000</v>
      </c>
      <c r="D319" s="25">
        <v>0.45815865261945948</v>
      </c>
      <c r="E319" t="s">
        <v>111</v>
      </c>
      <c r="F319" s="25">
        <v>0.45815865261945948</v>
      </c>
      <c r="G319" t="s">
        <v>111</v>
      </c>
      <c r="H319" s="25">
        <v>0.45815865261945948</v>
      </c>
      <c r="I319" t="s">
        <v>111</v>
      </c>
      <c r="J319" s="25">
        <v>0.45815865261945948</v>
      </c>
      <c r="K319" t="s">
        <v>111</v>
      </c>
      <c r="L319" s="25">
        <v>0.45815865261945948</v>
      </c>
      <c r="M319" t="s">
        <v>111</v>
      </c>
    </row>
    <row r="320" spans="1:13" x14ac:dyDescent="0.25">
      <c r="A320" s="48">
        <v>316</v>
      </c>
      <c r="B320" s="49">
        <v>414907849662.02399</v>
      </c>
      <c r="C320" s="49">
        <v>451295000000</v>
      </c>
      <c r="D320" s="50">
        <v>0.45968584812819108</v>
      </c>
      <c r="E320" s="51" t="s">
        <v>111</v>
      </c>
      <c r="F320" s="50">
        <v>0.45968584812819108</v>
      </c>
      <c r="G320" s="51" t="s">
        <v>111</v>
      </c>
      <c r="H320" s="50">
        <v>0.45968584812819108</v>
      </c>
      <c r="I320" s="51" t="s">
        <v>111</v>
      </c>
      <c r="J320" s="50">
        <v>0.45968584812819108</v>
      </c>
      <c r="K320" s="51" t="s">
        <v>111</v>
      </c>
      <c r="L320" s="50">
        <v>0.45968584812819108</v>
      </c>
      <c r="M320" s="51" t="s">
        <v>111</v>
      </c>
    </row>
    <row r="321" spans="1:13" x14ac:dyDescent="0.25">
      <c r="A321" s="8">
        <v>317</v>
      </c>
      <c r="B321" s="24">
        <v>416290875827.56409</v>
      </c>
      <c r="C321" s="24">
        <v>451295000000</v>
      </c>
      <c r="D321" s="25">
        <v>0.46121813428861841</v>
      </c>
      <c r="E321" t="s">
        <v>111</v>
      </c>
      <c r="F321" s="25">
        <v>0.46121813428861841</v>
      </c>
      <c r="G321" t="s">
        <v>111</v>
      </c>
      <c r="H321" s="25">
        <v>0.46121813428861841</v>
      </c>
      <c r="I321" t="s">
        <v>111</v>
      </c>
      <c r="J321" s="25">
        <v>0.46121813428861841</v>
      </c>
      <c r="K321" t="s">
        <v>111</v>
      </c>
      <c r="L321" s="25">
        <v>0.46121813428861841</v>
      </c>
      <c r="M321" t="s">
        <v>111</v>
      </c>
    </row>
    <row r="322" spans="1:13" x14ac:dyDescent="0.25">
      <c r="A322" s="48">
        <v>318</v>
      </c>
      <c r="B322" s="49">
        <v>417678512080.32269</v>
      </c>
      <c r="C322" s="49">
        <v>451295000000</v>
      </c>
      <c r="D322" s="50">
        <v>0.46275552806958048</v>
      </c>
      <c r="E322" s="51" t="s">
        <v>111</v>
      </c>
      <c r="F322" s="50">
        <v>0.46275552806958048</v>
      </c>
      <c r="G322" s="51" t="s">
        <v>111</v>
      </c>
      <c r="H322" s="50">
        <v>0.46275552806958048</v>
      </c>
      <c r="I322" s="51" t="s">
        <v>111</v>
      </c>
      <c r="J322" s="50">
        <v>0.46275552806958048</v>
      </c>
      <c r="K322" s="51" t="s">
        <v>111</v>
      </c>
      <c r="L322" s="50">
        <v>0.46275552806958048</v>
      </c>
      <c r="M322" s="51" t="s">
        <v>111</v>
      </c>
    </row>
    <row r="323" spans="1:13" x14ac:dyDescent="0.25">
      <c r="A323" s="8">
        <v>319</v>
      </c>
      <c r="B323" s="24">
        <v>419070773787.25708</v>
      </c>
      <c r="C323" s="24">
        <v>451295000000</v>
      </c>
      <c r="D323" s="25">
        <v>0.46429804649647921</v>
      </c>
      <c r="E323" t="s">
        <v>111</v>
      </c>
      <c r="F323" s="25">
        <v>0.46429804649647921</v>
      </c>
      <c r="G323" t="s">
        <v>111</v>
      </c>
      <c r="H323" s="25">
        <v>0.46429804649647921</v>
      </c>
      <c r="I323" t="s">
        <v>111</v>
      </c>
      <c r="J323" s="25">
        <v>0.46429804649647921</v>
      </c>
      <c r="K323" t="s">
        <v>111</v>
      </c>
      <c r="L323" s="25">
        <v>0.46429804649647921</v>
      </c>
      <c r="M323" t="s">
        <v>111</v>
      </c>
    </row>
    <row r="324" spans="1:13" x14ac:dyDescent="0.25">
      <c r="A324" s="48">
        <v>320</v>
      </c>
      <c r="B324" s="49">
        <v>420467676366.54797</v>
      </c>
      <c r="C324" s="49">
        <v>451295000000</v>
      </c>
      <c r="D324" s="50">
        <v>0.46584570665146752</v>
      </c>
      <c r="E324" s="51" t="s">
        <v>111</v>
      </c>
      <c r="F324" s="50">
        <v>0.46584570665146752</v>
      </c>
      <c r="G324" s="51" t="s">
        <v>111</v>
      </c>
      <c r="H324" s="50">
        <v>0.46584570665146752</v>
      </c>
      <c r="I324" s="51" t="s">
        <v>111</v>
      </c>
      <c r="J324" s="50">
        <v>0.46584570665146752</v>
      </c>
      <c r="K324" s="51" t="s">
        <v>111</v>
      </c>
      <c r="L324" s="50">
        <v>0.46584570665146752</v>
      </c>
      <c r="M324" s="51" t="s">
        <v>111</v>
      </c>
    </row>
    <row r="325" spans="1:13" x14ac:dyDescent="0.25">
      <c r="A325" s="8">
        <v>321</v>
      </c>
      <c r="B325" s="24">
        <v>421869235287.7699</v>
      </c>
      <c r="C325" s="24">
        <v>451295000000</v>
      </c>
      <c r="D325" s="25">
        <v>0.4673985256736391</v>
      </c>
      <c r="E325" t="s">
        <v>111</v>
      </c>
      <c r="F325" s="25">
        <v>0.4673985256736391</v>
      </c>
      <c r="G325" t="s">
        <v>111</v>
      </c>
      <c r="H325" s="25">
        <v>0.4673985256736391</v>
      </c>
      <c r="I325" t="s">
        <v>111</v>
      </c>
      <c r="J325" s="25">
        <v>0.4673985256736391</v>
      </c>
      <c r="K325" t="s">
        <v>111</v>
      </c>
      <c r="L325" s="25">
        <v>0.4673985256736391</v>
      </c>
      <c r="M325" t="s">
        <v>111</v>
      </c>
    </row>
    <row r="326" spans="1:13" x14ac:dyDescent="0.25">
      <c r="A326" s="48">
        <v>322</v>
      </c>
      <c r="B326" s="49">
        <v>423275466072.0625</v>
      </c>
      <c r="C326" s="49">
        <v>451295000000</v>
      </c>
      <c r="D326" s="50">
        <v>0.4689565207592179</v>
      </c>
      <c r="E326" s="51" t="s">
        <v>111</v>
      </c>
      <c r="F326" s="50">
        <v>0.4689565207592179</v>
      </c>
      <c r="G326" s="51" t="s">
        <v>111</v>
      </c>
      <c r="H326" s="50">
        <v>0.4689565207592179</v>
      </c>
      <c r="I326" s="51" t="s">
        <v>111</v>
      </c>
      <c r="J326" s="50">
        <v>0.4689565207592179</v>
      </c>
      <c r="K326" s="51" t="s">
        <v>111</v>
      </c>
      <c r="L326" s="50">
        <v>0.4689565207592179</v>
      </c>
      <c r="M326" s="51" t="s">
        <v>111</v>
      </c>
    </row>
    <row r="327" spans="1:13" x14ac:dyDescent="0.25">
      <c r="A327" s="8">
        <v>323</v>
      </c>
      <c r="B327" s="24">
        <v>424686384292.30267</v>
      </c>
      <c r="C327" s="24">
        <v>451295000000</v>
      </c>
      <c r="D327" s="25">
        <v>0.47051970916174868</v>
      </c>
      <c r="E327" t="s">
        <v>111</v>
      </c>
      <c r="F327" s="25">
        <v>0.47051970916174868</v>
      </c>
      <c r="G327" t="s">
        <v>111</v>
      </c>
      <c r="H327" s="25">
        <v>0.47051970916174868</v>
      </c>
      <c r="I327" t="s">
        <v>111</v>
      </c>
      <c r="J327" s="25">
        <v>0.47051970916174868</v>
      </c>
      <c r="K327" t="s">
        <v>111</v>
      </c>
      <c r="L327" s="25">
        <v>0.47051970916174868</v>
      </c>
      <c r="M327" t="s">
        <v>111</v>
      </c>
    </row>
    <row r="328" spans="1:13" x14ac:dyDescent="0.25">
      <c r="A328" s="48">
        <v>324</v>
      </c>
      <c r="B328" s="49">
        <v>426102005573.2771</v>
      </c>
      <c r="C328" s="49">
        <v>451295000000</v>
      </c>
      <c r="D328" s="50">
        <v>0.47208810819228791</v>
      </c>
      <c r="E328" s="51" t="s">
        <v>111</v>
      </c>
      <c r="F328" s="50">
        <v>0.47208810819228791</v>
      </c>
      <c r="G328" s="51" t="s">
        <v>111</v>
      </c>
      <c r="H328" s="50">
        <v>0.47208810819228791</v>
      </c>
      <c r="I328" s="51" t="s">
        <v>111</v>
      </c>
      <c r="J328" s="50">
        <v>0.47208810819228791</v>
      </c>
      <c r="K328" s="51" t="s">
        <v>111</v>
      </c>
      <c r="L328" s="50">
        <v>0.47208810819228791</v>
      </c>
      <c r="M328" s="51" t="s">
        <v>111</v>
      </c>
    </row>
    <row r="329" spans="1:13" x14ac:dyDescent="0.25">
      <c r="A329" s="8">
        <v>325</v>
      </c>
      <c r="B329" s="24">
        <v>427522345591.85468</v>
      </c>
      <c r="C329" s="24">
        <v>451295000000</v>
      </c>
      <c r="D329" s="25">
        <v>0.47366173521959548</v>
      </c>
      <c r="E329" t="s">
        <v>111</v>
      </c>
      <c r="F329" s="25">
        <v>0.47366173521959548</v>
      </c>
      <c r="G329" t="s">
        <v>111</v>
      </c>
      <c r="H329" s="25">
        <v>0.47366173521959548</v>
      </c>
      <c r="I329" t="s">
        <v>111</v>
      </c>
      <c r="J329" s="25">
        <v>0.47366173521959548</v>
      </c>
      <c r="K329" t="s">
        <v>111</v>
      </c>
      <c r="L329" s="25">
        <v>0.47366173521959548</v>
      </c>
      <c r="M329" t="s">
        <v>111</v>
      </c>
    </row>
    <row r="330" spans="1:13" x14ac:dyDescent="0.25">
      <c r="A330" s="48">
        <v>326</v>
      </c>
      <c r="B330" s="49">
        <v>428947420077.16089</v>
      </c>
      <c r="C330" s="49">
        <v>451295000000</v>
      </c>
      <c r="D330" s="50">
        <v>0.47524060767032761</v>
      </c>
      <c r="E330" s="51" t="s">
        <v>111</v>
      </c>
      <c r="F330" s="50">
        <v>0.47524060767032761</v>
      </c>
      <c r="G330" s="51" t="s">
        <v>111</v>
      </c>
      <c r="H330" s="50">
        <v>0.47524060767032761</v>
      </c>
      <c r="I330" s="51" t="s">
        <v>111</v>
      </c>
      <c r="J330" s="50">
        <v>0.47524060767032761</v>
      </c>
      <c r="K330" s="51" t="s">
        <v>111</v>
      </c>
      <c r="L330" s="50">
        <v>0.47524060767032761</v>
      </c>
      <c r="M330" s="51" t="s">
        <v>111</v>
      </c>
    </row>
    <row r="331" spans="1:13" x14ac:dyDescent="0.25">
      <c r="A331" s="8">
        <v>327</v>
      </c>
      <c r="B331" s="24">
        <v>430377244810.75153</v>
      </c>
      <c r="C331" s="24">
        <v>451295000000</v>
      </c>
      <c r="D331" s="25">
        <v>0.47682474302922873</v>
      </c>
      <c r="E331" t="s">
        <v>111</v>
      </c>
      <c r="F331" s="25">
        <v>0.47682474302922873</v>
      </c>
      <c r="G331" t="s">
        <v>111</v>
      </c>
      <c r="H331" s="25">
        <v>0.47682474302922873</v>
      </c>
      <c r="I331" t="s">
        <v>111</v>
      </c>
      <c r="J331" s="25">
        <v>0.47682474302922873</v>
      </c>
      <c r="K331" t="s">
        <v>111</v>
      </c>
      <c r="L331" s="25">
        <v>0.47682474302922873</v>
      </c>
      <c r="M331" t="s">
        <v>111</v>
      </c>
    </row>
    <row r="332" spans="1:13" x14ac:dyDescent="0.25">
      <c r="A332" s="48">
        <v>328</v>
      </c>
      <c r="B332" s="49">
        <v>431811835626.78741</v>
      </c>
      <c r="C332" s="49">
        <v>451295000000</v>
      </c>
      <c r="D332" s="50">
        <v>0.4784141588393262</v>
      </c>
      <c r="E332" s="51" t="s">
        <v>111</v>
      </c>
      <c r="F332" s="50">
        <v>0.4784141588393262</v>
      </c>
      <c r="G332" s="51" t="s">
        <v>111</v>
      </c>
      <c r="H332" s="50">
        <v>0.4784141588393262</v>
      </c>
      <c r="I332" s="51" t="s">
        <v>111</v>
      </c>
      <c r="J332" s="50">
        <v>0.4784141588393262</v>
      </c>
      <c r="K332" s="51" t="s">
        <v>111</v>
      </c>
      <c r="L332" s="50">
        <v>0.4784141588393262</v>
      </c>
      <c r="M332" s="51" t="s">
        <v>111</v>
      </c>
    </row>
    <row r="333" spans="1:13" x14ac:dyDescent="0.25">
      <c r="A333" s="8">
        <v>329</v>
      </c>
      <c r="B333" s="24">
        <v>433251208412.21002</v>
      </c>
      <c r="C333" s="24">
        <v>451295000000</v>
      </c>
      <c r="D333" s="25">
        <v>0.48000887270212389</v>
      </c>
      <c r="E333" t="s">
        <v>111</v>
      </c>
      <c r="F333" s="25">
        <v>0.48000887270212389</v>
      </c>
      <c r="G333" t="s">
        <v>111</v>
      </c>
      <c r="H333" s="25">
        <v>0.48000887270212389</v>
      </c>
      <c r="I333" t="s">
        <v>111</v>
      </c>
      <c r="J333" s="25">
        <v>0.48000887270212389</v>
      </c>
      <c r="K333" t="s">
        <v>111</v>
      </c>
      <c r="L333" s="25">
        <v>0.48000887270212389</v>
      </c>
      <c r="M333" t="s">
        <v>111</v>
      </c>
    </row>
    <row r="334" spans="1:13" x14ac:dyDescent="0.25">
      <c r="A334" s="48">
        <v>330</v>
      </c>
      <c r="B334" s="49">
        <v>434695379106.91748</v>
      </c>
      <c r="C334" s="49">
        <v>451295000000</v>
      </c>
      <c r="D334" s="50">
        <v>0.48160890227779768</v>
      </c>
      <c r="E334" s="51" t="s">
        <v>111</v>
      </c>
      <c r="F334" s="50">
        <v>0.48160890227779768</v>
      </c>
      <c r="G334" s="51" t="s">
        <v>111</v>
      </c>
      <c r="H334" s="50">
        <v>0.48160890227779768</v>
      </c>
      <c r="I334" s="51" t="s">
        <v>111</v>
      </c>
      <c r="J334" s="50">
        <v>0.48160890227779768</v>
      </c>
      <c r="K334" s="51" t="s">
        <v>111</v>
      </c>
      <c r="L334" s="50">
        <v>0.48160890227779768</v>
      </c>
      <c r="M334" s="51" t="s">
        <v>111</v>
      </c>
    </row>
    <row r="335" spans="1:13" x14ac:dyDescent="0.25">
      <c r="A335" s="8">
        <v>331</v>
      </c>
      <c r="B335" s="24">
        <v>436144363703.94061</v>
      </c>
      <c r="C335" s="24">
        <v>451295000000</v>
      </c>
      <c r="D335" s="25">
        <v>0.48321426528539041</v>
      </c>
      <c r="E335" t="s">
        <v>111</v>
      </c>
      <c r="F335" s="25">
        <v>0.48321426528539041</v>
      </c>
      <c r="G335" t="s">
        <v>111</v>
      </c>
      <c r="H335" s="25">
        <v>0.48321426528539041</v>
      </c>
      <c r="I335" t="s">
        <v>111</v>
      </c>
      <c r="J335" s="25">
        <v>0.48321426528539041</v>
      </c>
      <c r="K335" t="s">
        <v>111</v>
      </c>
      <c r="L335" s="25">
        <v>0.48321426528539041</v>
      </c>
      <c r="M335" t="s">
        <v>111</v>
      </c>
    </row>
    <row r="336" spans="1:13" x14ac:dyDescent="0.25">
      <c r="A336" s="48">
        <v>332</v>
      </c>
      <c r="B336" s="49">
        <v>437598178249.62042</v>
      </c>
      <c r="C336" s="49">
        <v>451295000000</v>
      </c>
      <c r="D336" s="50">
        <v>0.4848249795030084</v>
      </c>
      <c r="E336" s="51" t="s">
        <v>111</v>
      </c>
      <c r="F336" s="50">
        <v>0.4848249795030084</v>
      </c>
      <c r="G336" s="51" t="s">
        <v>111</v>
      </c>
      <c r="H336" s="50">
        <v>0.4848249795030084</v>
      </c>
      <c r="I336" s="51" t="s">
        <v>111</v>
      </c>
      <c r="J336" s="50">
        <v>0.4848249795030084</v>
      </c>
      <c r="K336" s="51" t="s">
        <v>111</v>
      </c>
      <c r="L336" s="50">
        <v>0.4848249795030084</v>
      </c>
      <c r="M336" s="51" t="s">
        <v>111</v>
      </c>
    </row>
    <row r="337" spans="1:13" x14ac:dyDescent="0.25">
      <c r="A337" s="8">
        <v>333</v>
      </c>
      <c r="B337" s="24">
        <v>439056838843.78583</v>
      </c>
      <c r="C337" s="24">
        <v>451295000000</v>
      </c>
      <c r="D337" s="25">
        <v>0.48644106276801852</v>
      </c>
      <c r="E337" t="s">
        <v>111</v>
      </c>
      <c r="F337" s="25">
        <v>0.48644106276801852</v>
      </c>
      <c r="G337" t="s">
        <v>111</v>
      </c>
      <c r="H337" s="25">
        <v>0.48644106276801852</v>
      </c>
      <c r="I337" t="s">
        <v>111</v>
      </c>
      <c r="J337" s="25">
        <v>0.48644106276801852</v>
      </c>
      <c r="K337" t="s">
        <v>111</v>
      </c>
      <c r="L337" s="25">
        <v>0.48644106276801852</v>
      </c>
      <c r="M337" t="s">
        <v>111</v>
      </c>
    </row>
    <row r="338" spans="1:13" x14ac:dyDescent="0.25">
      <c r="A338" s="48">
        <v>334</v>
      </c>
      <c r="B338" s="49">
        <v>440520361639.93182</v>
      </c>
      <c r="C338" s="49">
        <v>451295000000</v>
      </c>
      <c r="D338" s="50">
        <v>0.48806253297724528</v>
      </c>
      <c r="E338" s="51" t="s">
        <v>111</v>
      </c>
      <c r="F338" s="50">
        <v>0.48806253297724528</v>
      </c>
      <c r="G338" s="51" t="s">
        <v>111</v>
      </c>
      <c r="H338" s="50">
        <v>0.48806253297724528</v>
      </c>
      <c r="I338" s="51" t="s">
        <v>111</v>
      </c>
      <c r="J338" s="50">
        <v>0.48806253297724528</v>
      </c>
      <c r="K338" s="51" t="s">
        <v>111</v>
      </c>
      <c r="L338" s="50">
        <v>0.48806253297724528</v>
      </c>
      <c r="M338" s="51" t="s">
        <v>111</v>
      </c>
    </row>
    <row r="339" spans="1:13" x14ac:dyDescent="0.25">
      <c r="A339" s="8">
        <v>335</v>
      </c>
      <c r="B339" s="24">
        <v>441988762845.39832</v>
      </c>
      <c r="C339" s="24">
        <v>451295000000</v>
      </c>
      <c r="D339" s="25">
        <v>0.48968940808716938</v>
      </c>
      <c r="E339" t="s">
        <v>111</v>
      </c>
      <c r="F339" s="25">
        <v>0.48968940808716938</v>
      </c>
      <c r="G339" t="s">
        <v>111</v>
      </c>
      <c r="H339" s="25">
        <v>0.48968940808716938</v>
      </c>
      <c r="I339" t="s">
        <v>111</v>
      </c>
      <c r="J339" s="25">
        <v>0.48968940808716938</v>
      </c>
      <c r="K339" t="s">
        <v>111</v>
      </c>
      <c r="L339" s="25">
        <v>0.48968940808716938</v>
      </c>
      <c r="M339" t="s">
        <v>111</v>
      </c>
    </row>
    <row r="340" spans="1:13" x14ac:dyDescent="0.25">
      <c r="A340" s="48">
        <v>336</v>
      </c>
      <c r="B340" s="49">
        <v>443462058721.54962</v>
      </c>
      <c r="C340" s="49">
        <v>451295000000</v>
      </c>
      <c r="D340" s="50">
        <v>0.49132170611412668</v>
      </c>
      <c r="E340" s="51" t="s">
        <v>111</v>
      </c>
      <c r="F340" s="50">
        <v>0.49132170611412668</v>
      </c>
      <c r="G340" s="51" t="s">
        <v>111</v>
      </c>
      <c r="H340" s="50">
        <v>0.49132170611412668</v>
      </c>
      <c r="I340" s="51" t="s">
        <v>111</v>
      </c>
      <c r="J340" s="50">
        <v>0.49132170611412668</v>
      </c>
      <c r="K340" s="51" t="s">
        <v>111</v>
      </c>
      <c r="L340" s="50">
        <v>0.49132170611412668</v>
      </c>
      <c r="M340" s="51" t="s">
        <v>111</v>
      </c>
    </row>
    <row r="341" spans="1:13" x14ac:dyDescent="0.25">
      <c r="A341" s="8">
        <v>337</v>
      </c>
      <c r="B341" s="24">
        <v>444940265583.95477</v>
      </c>
      <c r="C341" s="24">
        <v>451295000000</v>
      </c>
      <c r="D341" s="25">
        <v>0.49295944513450712</v>
      </c>
      <c r="E341" t="s">
        <v>111</v>
      </c>
      <c r="F341" s="25">
        <v>0.49295944513450712</v>
      </c>
      <c r="G341" t="s">
        <v>111</v>
      </c>
      <c r="H341" s="25">
        <v>0.49295944513450712</v>
      </c>
      <c r="I341" t="s">
        <v>111</v>
      </c>
      <c r="J341" s="25">
        <v>0.49295944513450712</v>
      </c>
      <c r="K341" t="s">
        <v>111</v>
      </c>
      <c r="L341" s="25">
        <v>0.49295944513450712</v>
      </c>
      <c r="M341" t="s">
        <v>111</v>
      </c>
    </row>
    <row r="342" spans="1:13" x14ac:dyDescent="0.25">
      <c r="A342" s="48">
        <v>338</v>
      </c>
      <c r="B342" s="49">
        <v>446423399802.56812</v>
      </c>
      <c r="C342" s="49">
        <v>451295000000</v>
      </c>
      <c r="D342" s="50">
        <v>0.49460264328495562</v>
      </c>
      <c r="E342" s="51" t="s">
        <v>111</v>
      </c>
      <c r="F342" s="50">
        <v>0.49460264328495562</v>
      </c>
      <c r="G342" s="51" t="s">
        <v>111</v>
      </c>
      <c r="H342" s="50">
        <v>0.49460264328495562</v>
      </c>
      <c r="I342" s="51" t="s">
        <v>111</v>
      </c>
      <c r="J342" s="50">
        <v>0.49460264328495562</v>
      </c>
      <c r="K342" s="51" t="s">
        <v>111</v>
      </c>
      <c r="L342" s="50">
        <v>0.49460264328495562</v>
      </c>
      <c r="M342" s="51" t="s">
        <v>111</v>
      </c>
    </row>
    <row r="343" spans="1:13" x14ac:dyDescent="0.25">
      <c r="A343" s="8">
        <v>339</v>
      </c>
      <c r="B343" s="24">
        <v>447911477801.90997</v>
      </c>
      <c r="C343" s="24">
        <v>451295000000</v>
      </c>
      <c r="D343" s="25">
        <v>0.49625131876257211</v>
      </c>
      <c r="E343" t="s">
        <v>111</v>
      </c>
      <c r="F343" s="25">
        <v>0.49625131876257211</v>
      </c>
      <c r="G343" t="s">
        <v>111</v>
      </c>
      <c r="H343" s="25">
        <v>0.49625131876257211</v>
      </c>
      <c r="I343" t="s">
        <v>111</v>
      </c>
      <c r="J343" s="25">
        <v>0.49625131876257211</v>
      </c>
      <c r="K343" t="s">
        <v>111</v>
      </c>
      <c r="L343" s="25">
        <v>0.49625131876257211</v>
      </c>
      <c r="M343" t="s">
        <v>111</v>
      </c>
    </row>
    <row r="344" spans="1:13" x14ac:dyDescent="0.25">
      <c r="A344" s="48">
        <v>340</v>
      </c>
      <c r="B344" s="49">
        <v>449404516061.24969</v>
      </c>
      <c r="C344" s="49">
        <v>451295000000</v>
      </c>
      <c r="D344" s="50">
        <v>0.49790548982511412</v>
      </c>
      <c r="E344" s="51" t="s">
        <v>111</v>
      </c>
      <c r="F344" s="50">
        <v>0.49790548982511412</v>
      </c>
      <c r="G344" s="51" t="s">
        <v>111</v>
      </c>
      <c r="H344" s="50">
        <v>0.49790548982511412</v>
      </c>
      <c r="I344" s="51" t="s">
        <v>111</v>
      </c>
      <c r="J344" s="50">
        <v>0.49790548982511412</v>
      </c>
      <c r="K344" s="51" t="s">
        <v>111</v>
      </c>
      <c r="L344" s="50">
        <v>0.49790548982511412</v>
      </c>
      <c r="M344" s="51" t="s">
        <v>111</v>
      </c>
    </row>
    <row r="345" spans="1:13" x14ac:dyDescent="0.25">
      <c r="A345" s="8">
        <v>341</v>
      </c>
      <c r="B345" s="24">
        <v>450902531114.78717</v>
      </c>
      <c r="C345" s="24">
        <v>451295000000</v>
      </c>
      <c r="D345" s="25">
        <v>0.49956517479119777</v>
      </c>
      <c r="E345" t="s">
        <v>111</v>
      </c>
      <c r="F345" s="25">
        <v>0.49956517479119777</v>
      </c>
      <c r="G345" t="s">
        <v>111</v>
      </c>
      <c r="H345" s="25">
        <v>0.49956517479119777</v>
      </c>
      <c r="I345" t="s">
        <v>111</v>
      </c>
      <c r="J345" s="25">
        <v>0.49956517479119777</v>
      </c>
      <c r="K345" t="s">
        <v>111</v>
      </c>
      <c r="L345" s="25">
        <v>0.49956517479119777</v>
      </c>
      <c r="M345" t="s">
        <v>111</v>
      </c>
    </row>
    <row r="346" spans="1:13" x14ac:dyDescent="0.25">
      <c r="A346" s="48">
        <v>342</v>
      </c>
      <c r="B346" s="49">
        <v>452405539551.83661</v>
      </c>
      <c r="C346" s="49">
        <v>451295000000</v>
      </c>
      <c r="D346" s="50">
        <v>0.5012303920405019</v>
      </c>
      <c r="E346" s="51" t="s">
        <v>111</v>
      </c>
      <c r="F346" s="50">
        <v>0.5012303920405019</v>
      </c>
      <c r="G346" s="51" t="s">
        <v>111</v>
      </c>
      <c r="H346" s="50">
        <v>0.5012303920405019</v>
      </c>
      <c r="I346" s="51" t="s">
        <v>111</v>
      </c>
      <c r="J346" s="50">
        <v>0.5012303920405019</v>
      </c>
      <c r="K346" s="51" t="s">
        <v>111</v>
      </c>
      <c r="L346" s="50">
        <v>0.5012303920405019</v>
      </c>
      <c r="M346" s="51" t="s">
        <v>111</v>
      </c>
    </row>
    <row r="347" spans="1:13" x14ac:dyDescent="0.25">
      <c r="A347" s="8">
        <v>343</v>
      </c>
      <c r="B347" s="24">
        <v>453913558017.00928</v>
      </c>
      <c r="C347" s="24">
        <v>451295000000</v>
      </c>
      <c r="D347" s="25">
        <v>0.50290116001397023</v>
      </c>
      <c r="E347" t="s">
        <v>111</v>
      </c>
      <c r="F347" s="25">
        <v>0.50290116001397023</v>
      </c>
      <c r="G347" t="s">
        <v>111</v>
      </c>
      <c r="H347" s="25">
        <v>0.50290116001397023</v>
      </c>
      <c r="I347" t="s">
        <v>111</v>
      </c>
      <c r="J347" s="25">
        <v>0.50290116001397023</v>
      </c>
      <c r="K347" t="s">
        <v>111</v>
      </c>
      <c r="L347" s="25">
        <v>0.50290116001397023</v>
      </c>
      <c r="M347" t="s">
        <v>111</v>
      </c>
    </row>
    <row r="348" spans="1:13" x14ac:dyDescent="0.25">
      <c r="A348" s="48">
        <v>344</v>
      </c>
      <c r="B348" s="49">
        <v>455426603210.39941</v>
      </c>
      <c r="C348" s="49">
        <v>451295000000</v>
      </c>
      <c r="D348" s="50">
        <v>0.50457749721401679</v>
      </c>
      <c r="E348" s="51" t="s">
        <v>111</v>
      </c>
      <c r="F348" s="50">
        <v>0.50457749721401679</v>
      </c>
      <c r="G348" s="51" t="s">
        <v>111</v>
      </c>
      <c r="H348" s="50">
        <v>0.50457749721401679</v>
      </c>
      <c r="I348" s="51" t="s">
        <v>111</v>
      </c>
      <c r="J348" s="50">
        <v>0.50457749721401679</v>
      </c>
      <c r="K348" s="51" t="s">
        <v>111</v>
      </c>
      <c r="L348" s="50">
        <v>0.50457749721401679</v>
      </c>
      <c r="M348" s="51" t="s">
        <v>111</v>
      </c>
    </row>
    <row r="349" spans="1:13" x14ac:dyDescent="0.25">
      <c r="A349" s="8">
        <v>345</v>
      </c>
      <c r="B349" s="24">
        <v>456944691887.76752</v>
      </c>
      <c r="C349" s="24">
        <v>451295000000</v>
      </c>
      <c r="D349" s="25">
        <v>0.50625942220473019</v>
      </c>
      <c r="E349" t="s">
        <v>111</v>
      </c>
      <c r="F349" s="25">
        <v>0.50625942220473019</v>
      </c>
      <c r="G349" t="s">
        <v>111</v>
      </c>
      <c r="H349" s="25">
        <v>0.50625942220473019</v>
      </c>
      <c r="I349" t="s">
        <v>111</v>
      </c>
      <c r="J349" s="25">
        <v>0.50625942220473019</v>
      </c>
      <c r="K349" t="s">
        <v>111</v>
      </c>
      <c r="L349" s="25">
        <v>0.50625942220473019</v>
      </c>
      <c r="M349" t="s">
        <v>111</v>
      </c>
    </row>
    <row r="350" spans="1:13" x14ac:dyDescent="0.25">
      <c r="A350" s="48">
        <v>346</v>
      </c>
      <c r="B350" s="49">
        <v>458467840860.72668</v>
      </c>
      <c r="C350" s="49">
        <v>451295000000</v>
      </c>
      <c r="D350" s="50">
        <v>0.50794695361207942</v>
      </c>
      <c r="E350" s="51" t="s">
        <v>111</v>
      </c>
      <c r="F350" s="50">
        <v>0.50794695361207942</v>
      </c>
      <c r="G350" s="51" t="s">
        <v>111</v>
      </c>
      <c r="H350" s="50">
        <v>0.50794695361207942</v>
      </c>
      <c r="I350" s="51" t="s">
        <v>111</v>
      </c>
      <c r="J350" s="50">
        <v>0.50794695361207942</v>
      </c>
      <c r="K350" s="51" t="s">
        <v>111</v>
      </c>
      <c r="L350" s="50">
        <v>0.50794695361207942</v>
      </c>
      <c r="M350" s="51" t="s">
        <v>111</v>
      </c>
    </row>
    <row r="351" spans="1:13" x14ac:dyDescent="0.25">
      <c r="A351" s="8">
        <v>347</v>
      </c>
      <c r="B351" s="24">
        <v>459996066996.9292</v>
      </c>
      <c r="C351" s="24">
        <v>451295000000</v>
      </c>
      <c r="D351" s="25">
        <v>0.50964011012411969</v>
      </c>
      <c r="E351" t="s">
        <v>111</v>
      </c>
      <c r="F351" s="25">
        <v>0.50964011012411969</v>
      </c>
      <c r="G351" t="s">
        <v>111</v>
      </c>
      <c r="H351" s="25">
        <v>0.50964011012411969</v>
      </c>
      <c r="I351" t="s">
        <v>111</v>
      </c>
      <c r="J351" s="25">
        <v>0.50964011012411969</v>
      </c>
      <c r="K351" t="s">
        <v>111</v>
      </c>
      <c r="L351" s="25">
        <v>0.50964011012411969</v>
      </c>
      <c r="M351" t="s">
        <v>111</v>
      </c>
    </row>
    <row r="352" spans="1:13" x14ac:dyDescent="0.25">
      <c r="A352" s="48">
        <v>348</v>
      </c>
      <c r="B352" s="49">
        <v>461529387220.25232</v>
      </c>
      <c r="C352" s="49">
        <v>451295000000</v>
      </c>
      <c r="D352" s="50">
        <v>0.51133891049120017</v>
      </c>
      <c r="E352" s="51" t="s">
        <v>111</v>
      </c>
      <c r="F352" s="50">
        <v>0.51133891049120017</v>
      </c>
      <c r="G352" s="51" t="s">
        <v>111</v>
      </c>
      <c r="H352" s="50">
        <v>0.51133891049120017</v>
      </c>
      <c r="I352" s="51" t="s">
        <v>111</v>
      </c>
      <c r="J352" s="50">
        <v>0.51133891049120017</v>
      </c>
      <c r="K352" s="51" t="s">
        <v>111</v>
      </c>
      <c r="L352" s="50">
        <v>0.51133891049120017</v>
      </c>
      <c r="M352" s="51" t="s">
        <v>111</v>
      </c>
    </row>
    <row r="353" spans="1:13" x14ac:dyDescent="0.25">
      <c r="A353" s="8">
        <v>349</v>
      </c>
      <c r="B353" s="24">
        <v>463067818510.98651</v>
      </c>
      <c r="C353" s="24">
        <v>451295000000</v>
      </c>
      <c r="D353" s="25">
        <v>0.5130433735261708</v>
      </c>
      <c r="E353" t="s">
        <v>111</v>
      </c>
      <c r="F353" s="25">
        <v>0.5130433735261708</v>
      </c>
      <c r="G353" t="s">
        <v>111</v>
      </c>
      <c r="H353" s="25">
        <v>0.5130433735261708</v>
      </c>
      <c r="I353" t="s">
        <v>111</v>
      </c>
      <c r="J353" s="25">
        <v>0.5130433735261708</v>
      </c>
      <c r="K353" t="s">
        <v>111</v>
      </c>
      <c r="L353" s="25">
        <v>0.5130433735261708</v>
      </c>
      <c r="M353" t="s">
        <v>111</v>
      </c>
    </row>
    <row r="354" spans="1:13" x14ac:dyDescent="0.25">
      <c r="A354" s="48">
        <v>350</v>
      </c>
      <c r="B354" s="49">
        <v>464611377906.02319</v>
      </c>
      <c r="C354" s="49">
        <v>451295000000</v>
      </c>
      <c r="D354" s="50">
        <v>0.51475351810459147</v>
      </c>
      <c r="E354" s="51" t="s">
        <v>111</v>
      </c>
      <c r="F354" s="50">
        <v>0.51475351810459147</v>
      </c>
      <c r="G354" s="51" t="s">
        <v>111</v>
      </c>
      <c r="H354" s="50">
        <v>0.51475351810459147</v>
      </c>
      <c r="I354" s="51" t="s">
        <v>111</v>
      </c>
      <c r="J354" s="50">
        <v>0.51475351810459147</v>
      </c>
      <c r="K354" s="51" t="s">
        <v>111</v>
      </c>
      <c r="L354" s="50">
        <v>0.51475351810459147</v>
      </c>
      <c r="M354" s="51" t="s">
        <v>111</v>
      </c>
    </row>
    <row r="355" spans="1:13" x14ac:dyDescent="0.25">
      <c r="A355" s="8">
        <v>351</v>
      </c>
      <c r="B355" s="24">
        <v>466160082499.04327</v>
      </c>
      <c r="C355" s="24">
        <v>451295000000</v>
      </c>
      <c r="D355" s="25">
        <v>0.51646936316494008</v>
      </c>
      <c r="E355" t="s">
        <v>111</v>
      </c>
      <c r="F355" s="25">
        <v>0.51646936316494008</v>
      </c>
      <c r="G355" t="s">
        <v>111</v>
      </c>
      <c r="H355" s="25">
        <v>0.51646936316494008</v>
      </c>
      <c r="I355" t="s">
        <v>111</v>
      </c>
      <c r="J355" s="25">
        <v>0.51646936316494008</v>
      </c>
      <c r="K355" t="s">
        <v>111</v>
      </c>
      <c r="L355" s="25">
        <v>0.51646936316494008</v>
      </c>
      <c r="M355" t="s">
        <v>111</v>
      </c>
    </row>
    <row r="356" spans="1:13" x14ac:dyDescent="0.25">
      <c r="A356" s="48">
        <v>352</v>
      </c>
      <c r="B356" s="49">
        <v>467713949440.70679</v>
      </c>
      <c r="C356" s="49">
        <v>451295000000</v>
      </c>
      <c r="D356" s="50">
        <v>0.51819092770882336</v>
      </c>
      <c r="E356" s="51" t="s">
        <v>111</v>
      </c>
      <c r="F356" s="50">
        <v>0.51819092770882336</v>
      </c>
      <c r="G356" s="51" t="s">
        <v>111</v>
      </c>
      <c r="H356" s="50">
        <v>0.51819092770882336</v>
      </c>
      <c r="I356" s="51" t="s">
        <v>111</v>
      </c>
      <c r="J356" s="50">
        <v>0.51819092770882336</v>
      </c>
      <c r="K356" s="51" t="s">
        <v>111</v>
      </c>
      <c r="L356" s="50">
        <v>0.51819092770882336</v>
      </c>
      <c r="M356" s="51" t="s">
        <v>111</v>
      </c>
    </row>
    <row r="357" spans="1:13" x14ac:dyDescent="0.25">
      <c r="A357" s="8">
        <v>353</v>
      </c>
      <c r="B357" s="24">
        <v>469272995938.84259</v>
      </c>
      <c r="C357" s="24">
        <v>451295000000</v>
      </c>
      <c r="D357" s="25">
        <v>0.51991823080118615</v>
      </c>
      <c r="E357" t="s">
        <v>111</v>
      </c>
      <c r="F357" s="25">
        <v>0.51991823080118615</v>
      </c>
      <c r="G357" t="s">
        <v>111</v>
      </c>
      <c r="H357" s="25">
        <v>0.51991823080118615</v>
      </c>
      <c r="I357" t="s">
        <v>111</v>
      </c>
      <c r="J357" s="25">
        <v>0.51991823080118615</v>
      </c>
      <c r="K357" t="s">
        <v>111</v>
      </c>
      <c r="L357" s="25">
        <v>0.51991823080118615</v>
      </c>
      <c r="M357" t="s">
        <v>111</v>
      </c>
    </row>
    <row r="358" spans="1:13" x14ac:dyDescent="0.25">
      <c r="A358" s="48">
        <v>354</v>
      </c>
      <c r="B358" s="49">
        <v>470837239258.63867</v>
      </c>
      <c r="C358" s="49">
        <v>451295000000</v>
      </c>
      <c r="D358" s="50">
        <v>0.52165129157052337</v>
      </c>
      <c r="E358" s="51" t="s">
        <v>111</v>
      </c>
      <c r="F358" s="50">
        <v>0.52165129157052337</v>
      </c>
      <c r="G358" s="51" t="s">
        <v>111</v>
      </c>
      <c r="H358" s="50">
        <v>0.52165129157052337</v>
      </c>
      <c r="I358" s="51" t="s">
        <v>111</v>
      </c>
      <c r="J358" s="50">
        <v>0.52165129157052337</v>
      </c>
      <c r="K358" s="51" t="s">
        <v>111</v>
      </c>
      <c r="L358" s="50">
        <v>0.52165129157052337</v>
      </c>
      <c r="M358" s="51" t="s">
        <v>111</v>
      </c>
    </row>
    <row r="359" spans="1:13" x14ac:dyDescent="0.25">
      <c r="A359" s="8">
        <v>355</v>
      </c>
      <c r="B359" s="24">
        <v>472406696722.83423</v>
      </c>
      <c r="C359" s="24">
        <v>451295000000</v>
      </c>
      <c r="D359" s="25">
        <v>0.52339012920909189</v>
      </c>
      <c r="E359" t="s">
        <v>111</v>
      </c>
      <c r="F359" s="25">
        <v>0.52339012920909189</v>
      </c>
      <c r="G359" t="s">
        <v>111</v>
      </c>
      <c r="H359" s="25">
        <v>0.52339012920909189</v>
      </c>
      <c r="I359" t="s">
        <v>111</v>
      </c>
      <c r="J359" s="25">
        <v>0.52339012920909189</v>
      </c>
      <c r="K359" t="s">
        <v>111</v>
      </c>
      <c r="L359" s="25">
        <v>0.52339012920909189</v>
      </c>
      <c r="M359" t="s">
        <v>111</v>
      </c>
    </row>
    <row r="360" spans="1:13" x14ac:dyDescent="0.25">
      <c r="A360" s="48">
        <v>356</v>
      </c>
      <c r="B360" s="49">
        <v>473981385711.9104</v>
      </c>
      <c r="C360" s="49">
        <v>451295000000</v>
      </c>
      <c r="D360" s="50">
        <v>0.52513476297312223</v>
      </c>
      <c r="E360" s="51" t="s">
        <v>111</v>
      </c>
      <c r="F360" s="50">
        <v>0.52513476297312223</v>
      </c>
      <c r="G360" s="51" t="s">
        <v>111</v>
      </c>
      <c r="H360" s="50">
        <v>0.52513476297312223</v>
      </c>
      <c r="I360" s="51" t="s">
        <v>111</v>
      </c>
      <c r="J360" s="50">
        <v>0.52513476297312223</v>
      </c>
      <c r="K360" s="51" t="s">
        <v>111</v>
      </c>
      <c r="L360" s="50">
        <v>0.52513476297312223</v>
      </c>
      <c r="M360" s="51" t="s">
        <v>111</v>
      </c>
    </row>
    <row r="361" spans="1:13" x14ac:dyDescent="0.25">
      <c r="A361" s="8">
        <v>357</v>
      </c>
      <c r="B361" s="24">
        <v>475561323664.28339</v>
      </c>
      <c r="C361" s="24">
        <v>451295000000</v>
      </c>
      <c r="D361" s="25">
        <v>0.52688521218303264</v>
      </c>
      <c r="E361" t="s">
        <v>111</v>
      </c>
      <c r="F361" s="25">
        <v>0.52688521218303264</v>
      </c>
      <c r="G361" t="s">
        <v>111</v>
      </c>
      <c r="H361" s="25">
        <v>0.52688521218303264</v>
      </c>
      <c r="I361" t="s">
        <v>111</v>
      </c>
      <c r="J361" s="25">
        <v>0.52688521218303264</v>
      </c>
      <c r="K361" t="s">
        <v>111</v>
      </c>
      <c r="L361" s="25">
        <v>0.52688521218303264</v>
      </c>
      <c r="M361" t="s">
        <v>111</v>
      </c>
    </row>
    <row r="362" spans="1:13" x14ac:dyDescent="0.25">
      <c r="A362" s="48">
        <v>358</v>
      </c>
      <c r="B362" s="49">
        <v>477146528076.4978</v>
      </c>
      <c r="C362" s="49">
        <v>451295000000</v>
      </c>
      <c r="D362" s="50">
        <v>0.52864149622364287</v>
      </c>
      <c r="E362" s="51" t="s">
        <v>111</v>
      </c>
      <c r="F362" s="50">
        <v>0.52864149622364287</v>
      </c>
      <c r="G362" s="51" t="s">
        <v>111</v>
      </c>
      <c r="H362" s="50">
        <v>0.52864149622364287</v>
      </c>
      <c r="I362" s="51" t="s">
        <v>111</v>
      </c>
      <c r="J362" s="50">
        <v>0.52864149622364287</v>
      </c>
      <c r="K362" s="51" t="s">
        <v>111</v>
      </c>
      <c r="L362" s="50">
        <v>0.52864149622364287</v>
      </c>
      <c r="M362" s="51" t="s">
        <v>111</v>
      </c>
    </row>
    <row r="363" spans="1:13" x14ac:dyDescent="0.25">
      <c r="A363" s="8">
        <v>359</v>
      </c>
      <c r="B363" s="24">
        <v>478737016503.41937</v>
      </c>
      <c r="C363" s="24">
        <v>451295000000</v>
      </c>
      <c r="D363" s="25">
        <v>0.53040363454438832</v>
      </c>
      <c r="E363" t="s">
        <v>111</v>
      </c>
      <c r="F363" s="25">
        <v>0.53040363454438832</v>
      </c>
      <c r="G363" t="s">
        <v>111</v>
      </c>
      <c r="H363" s="25">
        <v>0.53040363454438832</v>
      </c>
      <c r="I363" t="s">
        <v>111</v>
      </c>
      <c r="J363" s="25">
        <v>0.53040363454438832</v>
      </c>
      <c r="K363" t="s">
        <v>111</v>
      </c>
      <c r="L363" s="25">
        <v>0.53040363454438832</v>
      </c>
      <c r="M363" t="s">
        <v>111</v>
      </c>
    </row>
    <row r="364" spans="1:13" x14ac:dyDescent="0.25">
      <c r="A364" s="48">
        <v>360</v>
      </c>
      <c r="B364" s="49">
        <v>480332806558.43091</v>
      </c>
      <c r="C364" s="49">
        <v>451295000000</v>
      </c>
      <c r="D364" s="50">
        <v>0.53217164665953631</v>
      </c>
      <c r="E364" s="51" t="s">
        <v>111</v>
      </c>
      <c r="F364" s="50">
        <v>0.53217164665953631</v>
      </c>
      <c r="G364" s="51" t="s">
        <v>111</v>
      </c>
      <c r="H364" s="50">
        <v>0.53217164665953631</v>
      </c>
      <c r="I364" s="51" t="s">
        <v>111</v>
      </c>
      <c r="J364" s="50">
        <v>0.53217164665953631</v>
      </c>
      <c r="K364" s="51" t="s">
        <v>111</v>
      </c>
      <c r="L364" s="50">
        <v>0.53217164665953631</v>
      </c>
      <c r="M364" s="51" t="s">
        <v>111</v>
      </c>
    </row>
    <row r="365" spans="1:13" x14ac:dyDescent="0.25">
      <c r="A365" s="8">
        <v>361</v>
      </c>
      <c r="B365" s="24">
        <v>481933915913.62567</v>
      </c>
      <c r="C365" s="24">
        <v>451295000000</v>
      </c>
      <c r="D365" s="25">
        <v>0.53394555214840156</v>
      </c>
      <c r="E365" t="s">
        <v>111</v>
      </c>
      <c r="F365" s="25">
        <v>0.53394555214840156</v>
      </c>
      <c r="G365" t="s">
        <v>111</v>
      </c>
      <c r="H365" s="25">
        <v>0.53394555214840156</v>
      </c>
      <c r="I365" t="s">
        <v>111</v>
      </c>
      <c r="J365" s="25">
        <v>0.53394555214840156</v>
      </c>
      <c r="K365" t="s">
        <v>111</v>
      </c>
      <c r="L365" s="25">
        <v>0.53394555214840156</v>
      </c>
      <c r="M365" t="s">
        <v>111</v>
      </c>
    </row>
    <row r="366" spans="1:13" x14ac:dyDescent="0.25">
      <c r="A366" s="48">
        <v>362</v>
      </c>
      <c r="B366" s="49">
        <v>483540362300.00452</v>
      </c>
      <c r="C366" s="49">
        <v>451295000000</v>
      </c>
      <c r="D366" s="50">
        <v>0.53572537065556292</v>
      </c>
      <c r="E366" s="51" t="s">
        <v>111</v>
      </c>
      <c r="F366" s="50">
        <v>0.53572537065556292</v>
      </c>
      <c r="G366" s="51" t="s">
        <v>111</v>
      </c>
      <c r="H366" s="50">
        <v>0.53572537065556292</v>
      </c>
      <c r="I366" s="51" t="s">
        <v>111</v>
      </c>
      <c r="J366" s="50">
        <v>0.53572537065556292</v>
      </c>
      <c r="K366" s="51" t="s">
        <v>111</v>
      </c>
      <c r="L366" s="50">
        <v>0.53572537065556292</v>
      </c>
      <c r="M366" s="51" t="s">
        <v>111</v>
      </c>
    </row>
    <row r="367" spans="1:13" x14ac:dyDescent="0.25">
      <c r="A367" s="8">
        <v>363</v>
      </c>
      <c r="B367" s="24">
        <v>485152163507.67133</v>
      </c>
      <c r="C367" s="24">
        <v>451295000000</v>
      </c>
      <c r="D367" s="25">
        <v>0.53751112189108152</v>
      </c>
      <c r="E367" t="s">
        <v>111</v>
      </c>
      <c r="F367" s="25">
        <v>0.53751112189108152</v>
      </c>
      <c r="G367" t="s">
        <v>111</v>
      </c>
      <c r="H367" s="25">
        <v>0.53751112189108152</v>
      </c>
      <c r="I367" t="s">
        <v>111</v>
      </c>
      <c r="J367" s="25">
        <v>0.53751112189108152</v>
      </c>
      <c r="K367" t="s">
        <v>111</v>
      </c>
      <c r="L367" s="25">
        <v>0.53751112189108152</v>
      </c>
      <c r="M367" t="s">
        <v>111</v>
      </c>
    </row>
    <row r="368" spans="1:13" x14ac:dyDescent="0.25">
      <c r="A368" s="48">
        <v>364</v>
      </c>
      <c r="B368" s="49">
        <v>486769337386.03021</v>
      </c>
      <c r="C368" s="49">
        <v>451295000000</v>
      </c>
      <c r="D368" s="50">
        <v>0.53930282563071841</v>
      </c>
      <c r="E368" s="51" t="s">
        <v>111</v>
      </c>
      <c r="F368" s="50">
        <v>0.53930282563071841</v>
      </c>
      <c r="G368" s="51" t="s">
        <v>111</v>
      </c>
      <c r="H368" s="50">
        <v>0.53930282563071841</v>
      </c>
      <c r="I368" s="51" t="s">
        <v>111</v>
      </c>
      <c r="J368" s="50">
        <v>0.53930282563071841</v>
      </c>
      <c r="K368" s="51" t="s">
        <v>111</v>
      </c>
      <c r="L368" s="50">
        <v>0.53930282563071841</v>
      </c>
      <c r="M368" s="51" t="s">
        <v>111</v>
      </c>
    </row>
    <row r="369" spans="1:13" x14ac:dyDescent="0.25">
      <c r="A369" s="8">
        <v>365</v>
      </c>
      <c r="B369" s="24">
        <v>488391901843.98358</v>
      </c>
      <c r="C369" s="24">
        <v>451295000000</v>
      </c>
      <c r="D369" s="25">
        <v>0.5411005017161542</v>
      </c>
      <c r="E369" t="s">
        <v>111</v>
      </c>
      <c r="F369" s="25">
        <v>0.5411005017161542</v>
      </c>
      <c r="G369" t="s">
        <v>111</v>
      </c>
      <c r="H369" s="25">
        <v>0.5411005017161542</v>
      </c>
      <c r="I369" t="s">
        <v>111</v>
      </c>
      <c r="J369" s="25">
        <v>0.5411005017161542</v>
      </c>
      <c r="K369" t="s">
        <v>111</v>
      </c>
      <c r="L369" s="25">
        <v>0.5411005017161542</v>
      </c>
      <c r="M369" t="s">
        <v>111</v>
      </c>
    </row>
    <row r="370" spans="1:13" x14ac:dyDescent="0.25">
      <c r="A370" s="48">
        <v>366</v>
      </c>
      <c r="B370" s="49">
        <v>490019874850.13019</v>
      </c>
      <c r="C370" s="49">
        <v>451295000000</v>
      </c>
      <c r="D370" s="50">
        <v>0.54290417005520808</v>
      </c>
      <c r="E370" s="51" t="s">
        <v>111</v>
      </c>
      <c r="F370" s="50">
        <v>0.54290417005520808</v>
      </c>
      <c r="G370" s="51" t="s">
        <v>111</v>
      </c>
      <c r="H370" s="50">
        <v>0.54290417005520808</v>
      </c>
      <c r="I370" s="51" t="s">
        <v>111</v>
      </c>
      <c r="J370" s="50">
        <v>0.54290417005520808</v>
      </c>
      <c r="K370" s="51" t="s">
        <v>111</v>
      </c>
      <c r="L370" s="50">
        <v>0.54290417005520808</v>
      </c>
      <c r="M370" s="51" t="s">
        <v>111</v>
      </c>
    </row>
    <row r="371" spans="1:13" x14ac:dyDescent="0.25">
      <c r="A371" s="8">
        <v>367</v>
      </c>
      <c r="B371" s="24">
        <v>491653274432.96411</v>
      </c>
      <c r="C371" s="24">
        <v>451295000000</v>
      </c>
      <c r="D371" s="25">
        <v>0.5447138506220589</v>
      </c>
      <c r="E371" t="s">
        <v>111</v>
      </c>
      <c r="F371" s="25">
        <v>0.5447138506220589</v>
      </c>
      <c r="G371" t="s">
        <v>111</v>
      </c>
      <c r="H371" s="25">
        <v>0.5447138506220589</v>
      </c>
      <c r="I371" t="s">
        <v>111</v>
      </c>
      <c r="J371" s="25">
        <v>0.5447138506220589</v>
      </c>
      <c r="K371" t="s">
        <v>111</v>
      </c>
      <c r="L371" s="25">
        <v>0.5447138506220589</v>
      </c>
      <c r="M371" t="s">
        <v>111</v>
      </c>
    </row>
    <row r="372" spans="1:13" x14ac:dyDescent="0.25">
      <c r="A372" s="48">
        <v>368</v>
      </c>
      <c r="B372" s="49">
        <v>493292118681.07397</v>
      </c>
      <c r="C372" s="49">
        <v>451295000000</v>
      </c>
      <c r="D372" s="50">
        <v>0.54652956345746573</v>
      </c>
      <c r="E372" s="51" t="s">
        <v>111</v>
      </c>
      <c r="F372" s="50">
        <v>0.54652956345746573</v>
      </c>
      <c r="G372" s="51" t="s">
        <v>111</v>
      </c>
      <c r="H372" s="50">
        <v>0.54652956345746573</v>
      </c>
      <c r="I372" s="51" t="s">
        <v>111</v>
      </c>
      <c r="J372" s="50">
        <v>0.54652956345746573</v>
      </c>
      <c r="K372" s="51" t="s">
        <v>111</v>
      </c>
      <c r="L372" s="50">
        <v>0.54652956345746573</v>
      </c>
      <c r="M372" s="51" t="s">
        <v>111</v>
      </c>
    </row>
    <row r="373" spans="1:13" x14ac:dyDescent="0.25">
      <c r="A373" s="8">
        <v>369</v>
      </c>
      <c r="B373" s="24">
        <v>494936425743.34418</v>
      </c>
      <c r="C373" s="24">
        <v>451295000000</v>
      </c>
      <c r="D373" s="25">
        <v>0.54835132866899061</v>
      </c>
      <c r="E373" t="s">
        <v>111</v>
      </c>
      <c r="F373" s="25">
        <v>0.54835132866899061</v>
      </c>
      <c r="G373" t="s">
        <v>111</v>
      </c>
      <c r="H373" s="25">
        <v>0.54835132866899061</v>
      </c>
      <c r="I373" t="s">
        <v>111</v>
      </c>
      <c r="J373" s="25">
        <v>0.54835132866899061</v>
      </c>
      <c r="K373" t="s">
        <v>111</v>
      </c>
      <c r="L373" s="25">
        <v>0.54835132866899061</v>
      </c>
      <c r="M373" t="s">
        <v>111</v>
      </c>
    </row>
    <row r="374" spans="1:13" x14ac:dyDescent="0.25">
      <c r="A374" s="48">
        <v>370</v>
      </c>
      <c r="B374" s="49">
        <v>496586213829.15552</v>
      </c>
      <c r="C374" s="49">
        <v>451295000000</v>
      </c>
      <c r="D374" s="50">
        <v>0.55017916643122067</v>
      </c>
      <c r="E374" s="51" t="s">
        <v>111</v>
      </c>
      <c r="F374" s="50">
        <v>0.55017916643122067</v>
      </c>
      <c r="G374" s="51" t="s">
        <v>111</v>
      </c>
      <c r="H374" s="50">
        <v>0.55017916643122067</v>
      </c>
      <c r="I374" s="51" t="s">
        <v>111</v>
      </c>
      <c r="J374" s="50">
        <v>0.55017916643122067</v>
      </c>
      <c r="K374" s="51" t="s">
        <v>111</v>
      </c>
      <c r="L374" s="50">
        <v>0.55017916643122067</v>
      </c>
      <c r="M374" s="51" t="s">
        <v>111</v>
      </c>
    </row>
    <row r="375" spans="1:13" x14ac:dyDescent="0.25">
      <c r="A375" s="8">
        <v>371</v>
      </c>
      <c r="B375" s="24">
        <v>498241501208.58612</v>
      </c>
      <c r="C375" s="24">
        <v>451295000000</v>
      </c>
      <c r="D375" s="25">
        <v>0.55201309698599144</v>
      </c>
      <c r="E375" t="s">
        <v>111</v>
      </c>
      <c r="F375" s="25">
        <v>0.55201309698599144</v>
      </c>
      <c r="G375" t="s">
        <v>111</v>
      </c>
      <c r="H375" s="25">
        <v>0.55201309698599144</v>
      </c>
      <c r="I375" t="s">
        <v>111</v>
      </c>
      <c r="J375" s="25">
        <v>0.55201309698599144</v>
      </c>
      <c r="K375" t="s">
        <v>111</v>
      </c>
      <c r="L375" s="25">
        <v>0.55201309698599144</v>
      </c>
      <c r="M375" t="s">
        <v>111</v>
      </c>
    </row>
    <row r="376" spans="1:13" x14ac:dyDescent="0.25">
      <c r="A376" s="48">
        <v>372</v>
      </c>
      <c r="B376" s="49">
        <v>499902306212.61469</v>
      </c>
      <c r="C376" s="49">
        <v>451295000000</v>
      </c>
      <c r="D376" s="50">
        <v>0.55385314064261149</v>
      </c>
      <c r="E376" s="51" t="s">
        <v>111</v>
      </c>
      <c r="F376" s="50">
        <v>0.55385314064261149</v>
      </c>
      <c r="G376" s="51" t="s">
        <v>111</v>
      </c>
      <c r="H376" s="50">
        <v>0.55385314064261149</v>
      </c>
      <c r="I376" s="51" t="s">
        <v>111</v>
      </c>
      <c r="J376" s="50">
        <v>0.55385314064261149</v>
      </c>
      <c r="K376" s="51" t="s">
        <v>111</v>
      </c>
      <c r="L376" s="50">
        <v>0.55385314064261149</v>
      </c>
      <c r="M376" s="51" t="s">
        <v>111</v>
      </c>
    </row>
    <row r="377" spans="1:13" x14ac:dyDescent="0.25">
      <c r="A377" s="8">
        <v>373</v>
      </c>
      <c r="B377" s="24">
        <v>501568647233.32349</v>
      </c>
      <c r="C377" s="24">
        <v>451295000000</v>
      </c>
      <c r="D377" s="25">
        <v>0.5556993177780869</v>
      </c>
      <c r="E377" t="s">
        <v>111</v>
      </c>
      <c r="F377" s="25">
        <v>0.5556993177780869</v>
      </c>
      <c r="G377" t="s">
        <v>111</v>
      </c>
      <c r="H377" s="25">
        <v>0.5556993177780869</v>
      </c>
      <c r="I377" t="s">
        <v>111</v>
      </c>
      <c r="J377" s="25">
        <v>0.5556993177780869</v>
      </c>
      <c r="K377" t="s">
        <v>111</v>
      </c>
      <c r="L377" s="25">
        <v>0.5556993177780869</v>
      </c>
      <c r="M377" t="s">
        <v>111</v>
      </c>
    </row>
    <row r="378" spans="1:13" x14ac:dyDescent="0.25">
      <c r="A378" s="48">
        <v>374</v>
      </c>
      <c r="B378" s="49">
        <v>503240542724.1012</v>
      </c>
      <c r="C378" s="49">
        <v>451295000000</v>
      </c>
      <c r="D378" s="50">
        <v>0.5575516488373472</v>
      </c>
      <c r="E378" s="51" t="s">
        <v>111</v>
      </c>
      <c r="F378" s="50">
        <v>0.5575516488373472</v>
      </c>
      <c r="G378" s="51" t="s">
        <v>111</v>
      </c>
      <c r="H378" s="50">
        <v>0.5575516488373472</v>
      </c>
      <c r="I378" s="51" t="s">
        <v>111</v>
      </c>
      <c r="J378" s="50">
        <v>0.5575516488373472</v>
      </c>
      <c r="K378" s="51" t="s">
        <v>111</v>
      </c>
      <c r="L378" s="50">
        <v>0.5575516488373472</v>
      </c>
      <c r="M378" s="51" t="s">
        <v>111</v>
      </c>
    </row>
    <row r="379" spans="1:13" x14ac:dyDescent="0.25">
      <c r="A379" s="8">
        <v>375</v>
      </c>
      <c r="B379" s="24">
        <v>504918011199.84833</v>
      </c>
      <c r="C379" s="24">
        <v>451295000000</v>
      </c>
      <c r="D379" s="25">
        <v>0.55941015433347174</v>
      </c>
      <c r="E379" t="s">
        <v>111</v>
      </c>
      <c r="F379" s="25">
        <v>0.55941015433347174</v>
      </c>
      <c r="G379" t="s">
        <v>111</v>
      </c>
      <c r="H379" s="25">
        <v>0.55941015433347174</v>
      </c>
      <c r="I379" t="s">
        <v>111</v>
      </c>
      <c r="J379" s="25">
        <v>0.55941015433347174</v>
      </c>
      <c r="K379" t="s">
        <v>111</v>
      </c>
      <c r="L379" s="25">
        <v>0.55941015433347174</v>
      </c>
      <c r="M379" t="s">
        <v>111</v>
      </c>
    </row>
    <row r="380" spans="1:13" x14ac:dyDescent="0.25">
      <c r="A380" s="48">
        <v>376</v>
      </c>
      <c r="B380" s="49">
        <v>506601071237.18109</v>
      </c>
      <c r="C380" s="49">
        <v>451295000000</v>
      </c>
      <c r="D380" s="50">
        <v>0.56127485484791662</v>
      </c>
      <c r="E380" s="51" t="s">
        <v>111</v>
      </c>
      <c r="F380" s="50">
        <v>0.56127485484791662</v>
      </c>
      <c r="G380" s="51" t="s">
        <v>111</v>
      </c>
      <c r="H380" s="50">
        <v>0.56127485484791662</v>
      </c>
      <c r="I380" s="51" t="s">
        <v>111</v>
      </c>
      <c r="J380" s="50">
        <v>0.56127485484791662</v>
      </c>
      <c r="K380" s="51" t="s">
        <v>111</v>
      </c>
      <c r="L380" s="50">
        <v>0.56127485484791662</v>
      </c>
      <c r="M380" s="51" t="s">
        <v>111</v>
      </c>
    </row>
    <row r="381" spans="1:13" x14ac:dyDescent="0.25">
      <c r="A381" s="8">
        <v>377</v>
      </c>
      <c r="B381" s="24">
        <v>508289741474.63843</v>
      </c>
      <c r="C381" s="24">
        <v>451295000000</v>
      </c>
      <c r="D381" s="25">
        <v>0.56314577103074315</v>
      </c>
      <c r="E381" t="s">
        <v>111</v>
      </c>
      <c r="F381" s="25">
        <v>0.56314577103074315</v>
      </c>
      <c r="G381" t="s">
        <v>111</v>
      </c>
      <c r="H381" s="25">
        <v>0.56314577103074315</v>
      </c>
      <c r="I381" t="s">
        <v>111</v>
      </c>
      <c r="J381" s="25">
        <v>0.56314577103074315</v>
      </c>
      <c r="K381" t="s">
        <v>111</v>
      </c>
      <c r="L381" s="25">
        <v>0.56314577103074315</v>
      </c>
      <c r="M381" t="s">
        <v>111</v>
      </c>
    </row>
    <row r="382" spans="1:13" x14ac:dyDescent="0.25">
      <c r="A382" s="48">
        <v>378</v>
      </c>
      <c r="B382" s="49">
        <v>509984040612.88733</v>
      </c>
      <c r="C382" s="49">
        <v>451295000000</v>
      </c>
      <c r="D382" s="50">
        <v>0.56502292360084561</v>
      </c>
      <c r="E382" s="51" t="s">
        <v>111</v>
      </c>
      <c r="F382" s="50">
        <v>0.56502292360084561</v>
      </c>
      <c r="G382" s="51" t="s">
        <v>111</v>
      </c>
      <c r="H382" s="50">
        <v>0.56502292360084561</v>
      </c>
      <c r="I382" s="51" t="s">
        <v>111</v>
      </c>
      <c r="J382" s="50">
        <v>0.56502292360084561</v>
      </c>
      <c r="K382" s="51" t="s">
        <v>111</v>
      </c>
      <c r="L382" s="50">
        <v>0.56502292360084561</v>
      </c>
      <c r="M382" s="51" t="s">
        <v>111</v>
      </c>
    </row>
    <row r="383" spans="1:13" x14ac:dyDescent="0.25">
      <c r="A383" s="8">
        <v>379</v>
      </c>
      <c r="B383" s="24">
        <v>511683987414.9303</v>
      </c>
      <c r="C383" s="24">
        <v>451295000000</v>
      </c>
      <c r="D383" s="25">
        <v>0.5669063333461819</v>
      </c>
      <c r="E383" t="s">
        <v>111</v>
      </c>
      <c r="F383" s="25">
        <v>0.5669063333461819</v>
      </c>
      <c r="G383" t="s">
        <v>111</v>
      </c>
      <c r="H383" s="25">
        <v>0.5669063333461819</v>
      </c>
      <c r="I383" t="s">
        <v>111</v>
      </c>
      <c r="J383" s="25">
        <v>0.5669063333461819</v>
      </c>
      <c r="K383" t="s">
        <v>111</v>
      </c>
      <c r="L383" s="25">
        <v>0.5669063333461819</v>
      </c>
      <c r="M383" t="s">
        <v>111</v>
      </c>
    </row>
    <row r="384" spans="1:13" x14ac:dyDescent="0.25">
      <c r="A384" s="48">
        <v>380</v>
      </c>
      <c r="B384" s="49">
        <v>513389600706.31342</v>
      </c>
      <c r="C384" s="49">
        <v>451295000000</v>
      </c>
      <c r="D384" s="50">
        <v>0.5687960211240024</v>
      </c>
      <c r="E384" s="51" t="s">
        <v>111</v>
      </c>
      <c r="F384" s="50">
        <v>0.5687960211240024</v>
      </c>
      <c r="G384" s="51" t="s">
        <v>111</v>
      </c>
      <c r="H384" s="50">
        <v>0.5687960211240024</v>
      </c>
      <c r="I384" s="51" t="s">
        <v>111</v>
      </c>
      <c r="J384" s="50">
        <v>0.5687960211240024</v>
      </c>
      <c r="K384" s="51" t="s">
        <v>111</v>
      </c>
      <c r="L384" s="50">
        <v>0.5687960211240024</v>
      </c>
      <c r="M384" s="51" t="s">
        <v>111</v>
      </c>
    </row>
    <row r="385" spans="1:13" x14ac:dyDescent="0.25">
      <c r="A385" s="8">
        <v>381</v>
      </c>
      <c r="B385" s="24">
        <v>515100899375.33447</v>
      </c>
      <c r="C385" s="24">
        <v>451295000000</v>
      </c>
      <c r="D385" s="25">
        <v>0.57069200786108254</v>
      </c>
      <c r="E385" t="s">
        <v>111</v>
      </c>
      <c r="F385" s="25">
        <v>0.57069200786108254</v>
      </c>
      <c r="G385" t="s">
        <v>111</v>
      </c>
      <c r="H385" s="25">
        <v>0.57069200786108254</v>
      </c>
      <c r="I385" t="s">
        <v>111</v>
      </c>
      <c r="J385" s="25">
        <v>0.57069200786108254</v>
      </c>
      <c r="K385" t="s">
        <v>111</v>
      </c>
      <c r="L385" s="25">
        <v>0.57069200786108254</v>
      </c>
      <c r="M385" t="s">
        <v>111</v>
      </c>
    </row>
    <row r="386" spans="1:13" x14ac:dyDescent="0.25">
      <c r="A386" s="48">
        <v>382</v>
      </c>
      <c r="B386" s="49">
        <v>516817902373.25232</v>
      </c>
      <c r="C386" s="49">
        <v>451295000000</v>
      </c>
      <c r="D386" s="50">
        <v>0.57259431455395282</v>
      </c>
      <c r="E386" s="51" t="s">
        <v>111</v>
      </c>
      <c r="F386" s="50">
        <v>0.57259431455395282</v>
      </c>
      <c r="G386" s="51" t="s">
        <v>111</v>
      </c>
      <c r="H386" s="50">
        <v>0.57259431455395282</v>
      </c>
      <c r="I386" s="51" t="s">
        <v>111</v>
      </c>
      <c r="J386" s="50">
        <v>0.57259431455395282</v>
      </c>
      <c r="K386" s="51" t="s">
        <v>111</v>
      </c>
      <c r="L386" s="50">
        <v>0.57259431455395282</v>
      </c>
      <c r="M386" s="51" t="s">
        <v>111</v>
      </c>
    </row>
    <row r="387" spans="1:13" x14ac:dyDescent="0.25">
      <c r="A387" s="8">
        <v>383</v>
      </c>
      <c r="B387" s="24">
        <v>518540628714.49652</v>
      </c>
      <c r="C387" s="24">
        <v>451295000000</v>
      </c>
      <c r="D387" s="25">
        <v>0.57450296226913278</v>
      </c>
      <c r="E387" t="s">
        <v>111</v>
      </c>
      <c r="F387" s="25">
        <v>0.57450296226913278</v>
      </c>
      <c r="G387" t="s">
        <v>111</v>
      </c>
      <c r="H387" s="25">
        <v>0.57450296226913278</v>
      </c>
      <c r="I387" t="s">
        <v>111</v>
      </c>
      <c r="J387" s="25">
        <v>0.57450296226913278</v>
      </c>
      <c r="K387" t="s">
        <v>111</v>
      </c>
      <c r="L387" s="25">
        <v>0.57450296226913278</v>
      </c>
      <c r="M387" t="s">
        <v>111</v>
      </c>
    </row>
    <row r="388" spans="1:13" x14ac:dyDescent="0.25">
      <c r="A388" s="48">
        <v>384</v>
      </c>
      <c r="B388" s="49">
        <v>520269097476.87817</v>
      </c>
      <c r="C388" s="49">
        <v>451295000000</v>
      </c>
      <c r="D388" s="50">
        <v>0.57641797214336321</v>
      </c>
      <c r="E388" s="51" t="s">
        <v>111</v>
      </c>
      <c r="F388" s="50">
        <v>0.57641797214336321</v>
      </c>
      <c r="G388" s="51" t="s">
        <v>111</v>
      </c>
      <c r="H388" s="50">
        <v>0.57641797214336321</v>
      </c>
      <c r="I388" s="51" t="s">
        <v>111</v>
      </c>
      <c r="J388" s="50">
        <v>0.57641797214336321</v>
      </c>
      <c r="K388" s="51" t="s">
        <v>111</v>
      </c>
      <c r="L388" s="50">
        <v>0.57641797214336321</v>
      </c>
      <c r="M388" s="51" t="s">
        <v>111</v>
      </c>
    </row>
    <row r="389" spans="1:13" x14ac:dyDescent="0.25">
      <c r="A389" s="8">
        <v>385</v>
      </c>
      <c r="B389" s="24">
        <v>522003327801.80121</v>
      </c>
      <c r="C389" s="24">
        <v>451295000000</v>
      </c>
      <c r="D389" s="25">
        <v>0.57833936538384123</v>
      </c>
      <c r="E389" t="s">
        <v>111</v>
      </c>
      <c r="F389" s="25">
        <v>0.57833936538384123</v>
      </c>
      <c r="G389" t="s">
        <v>111</v>
      </c>
      <c r="H389" s="25">
        <v>0.57833936538384123</v>
      </c>
      <c r="I389" t="s">
        <v>111</v>
      </c>
      <c r="J389" s="25">
        <v>0.57833936538384123</v>
      </c>
      <c r="K389" t="s">
        <v>111</v>
      </c>
      <c r="L389" s="25">
        <v>0.57833936538384123</v>
      </c>
      <c r="M389" t="s">
        <v>111</v>
      </c>
    </row>
    <row r="390" spans="1:13" x14ac:dyDescent="0.25">
      <c r="A390" s="48">
        <v>386</v>
      </c>
      <c r="B390" s="49">
        <v>523743338894.47388</v>
      </c>
      <c r="C390" s="49">
        <v>451295000000</v>
      </c>
      <c r="D390" s="50">
        <v>0.58026716326845396</v>
      </c>
      <c r="E390" s="51" t="s">
        <v>111</v>
      </c>
      <c r="F390" s="50">
        <v>0.58026716326845396</v>
      </c>
      <c r="G390" s="51" t="s">
        <v>111</v>
      </c>
      <c r="H390" s="50">
        <v>0.58026716326845396</v>
      </c>
      <c r="I390" s="51" t="s">
        <v>111</v>
      </c>
      <c r="J390" s="50">
        <v>0.58026716326845396</v>
      </c>
      <c r="K390" s="51" t="s">
        <v>111</v>
      </c>
      <c r="L390" s="50">
        <v>0.58026716326845396</v>
      </c>
      <c r="M390" s="51" t="s">
        <v>111</v>
      </c>
    </row>
    <row r="391" spans="1:13" x14ac:dyDescent="0.25">
      <c r="A391" s="8">
        <v>387</v>
      </c>
      <c r="B391" s="24">
        <v>525489150024.12219</v>
      </c>
      <c r="C391" s="24">
        <v>451295000000</v>
      </c>
      <c r="D391" s="25">
        <v>0.58220138714601555</v>
      </c>
      <c r="E391" t="s">
        <v>111</v>
      </c>
      <c r="F391" s="25">
        <v>0.58220138714601555</v>
      </c>
      <c r="G391" t="s">
        <v>111</v>
      </c>
      <c r="H391" s="25">
        <v>0.58220138714601555</v>
      </c>
      <c r="I391" t="s">
        <v>111</v>
      </c>
      <c r="J391" s="25">
        <v>0.58220138714601555</v>
      </c>
      <c r="K391" t="s">
        <v>111</v>
      </c>
      <c r="L391" s="25">
        <v>0.58220138714601555</v>
      </c>
      <c r="M391" t="s">
        <v>111</v>
      </c>
    </row>
    <row r="392" spans="1:13" x14ac:dyDescent="0.25">
      <c r="A392" s="48">
        <v>388</v>
      </c>
      <c r="B392" s="49">
        <v>527240780524.20258</v>
      </c>
      <c r="C392" s="49">
        <v>451295000000</v>
      </c>
      <c r="D392" s="50">
        <v>0.58414205843650235</v>
      </c>
      <c r="E392" s="51" t="s">
        <v>111</v>
      </c>
      <c r="F392" s="50">
        <v>0.58414205843650235</v>
      </c>
      <c r="G392" s="51" t="s">
        <v>111</v>
      </c>
      <c r="H392" s="50">
        <v>0.58414205843650235</v>
      </c>
      <c r="I392" s="51" t="s">
        <v>111</v>
      </c>
      <c r="J392" s="50">
        <v>0.58414205843650235</v>
      </c>
      <c r="K392" s="51" t="s">
        <v>111</v>
      </c>
      <c r="L392" s="50">
        <v>0.58414205843650235</v>
      </c>
      <c r="M392" s="51" t="s">
        <v>111</v>
      </c>
    </row>
    <row r="393" spans="1:13" x14ac:dyDescent="0.25">
      <c r="A393" s="8">
        <v>389</v>
      </c>
      <c r="B393" s="24">
        <v>528998249792.6167</v>
      </c>
      <c r="C393" s="24">
        <v>451295000000</v>
      </c>
      <c r="D393" s="25">
        <v>0.58608919863129072</v>
      </c>
      <c r="E393" t="s">
        <v>111</v>
      </c>
      <c r="F393" s="25">
        <v>0.58608919863129072</v>
      </c>
      <c r="G393" t="s">
        <v>111</v>
      </c>
      <c r="H393" s="25">
        <v>0.58608919863129072</v>
      </c>
      <c r="I393" t="s">
        <v>111</v>
      </c>
      <c r="J393" s="25">
        <v>0.58608919863129072</v>
      </c>
      <c r="K393" t="s">
        <v>111</v>
      </c>
      <c r="L393" s="25">
        <v>0.58608919863129072</v>
      </c>
      <c r="M393" t="s">
        <v>111</v>
      </c>
    </row>
    <row r="394" spans="1:13" x14ac:dyDescent="0.25">
      <c r="A394" s="48">
        <v>390</v>
      </c>
      <c r="B394" s="49">
        <v>530761577291.92542</v>
      </c>
      <c r="C394" s="49">
        <v>451295000000</v>
      </c>
      <c r="D394" s="50">
        <v>0.58804282929339502</v>
      </c>
      <c r="E394" s="51" t="s">
        <v>111</v>
      </c>
      <c r="F394" s="50">
        <v>0.58804282929339502</v>
      </c>
      <c r="G394" s="51" t="s">
        <v>111</v>
      </c>
      <c r="H394" s="50">
        <v>0.58804282929339502</v>
      </c>
      <c r="I394" s="51" t="s">
        <v>111</v>
      </c>
      <c r="J394" s="50">
        <v>0.58804282929339502</v>
      </c>
      <c r="K394" s="51" t="s">
        <v>111</v>
      </c>
      <c r="L394" s="50">
        <v>0.58804282929339502</v>
      </c>
      <c r="M394" s="51" t="s">
        <v>111</v>
      </c>
    </row>
    <row r="395" spans="1:13" x14ac:dyDescent="0.25">
      <c r="A395" s="8">
        <v>391</v>
      </c>
      <c r="B395" s="24">
        <v>532530782549.56531</v>
      </c>
      <c r="C395" s="24">
        <v>451295000000</v>
      </c>
      <c r="D395" s="25">
        <v>0.59000297205770647</v>
      </c>
      <c r="E395" t="s">
        <v>111</v>
      </c>
      <c r="F395" s="25">
        <v>0.59000297205770647</v>
      </c>
      <c r="G395" t="s">
        <v>111</v>
      </c>
      <c r="H395" s="25">
        <v>0.59000297205770647</v>
      </c>
      <c r="I395" t="s">
        <v>111</v>
      </c>
      <c r="J395" s="25">
        <v>0.59000297205770647</v>
      </c>
      <c r="K395" t="s">
        <v>111</v>
      </c>
      <c r="L395" s="25">
        <v>0.59000297205770647</v>
      </c>
      <c r="M395" t="s">
        <v>111</v>
      </c>
    </row>
    <row r="396" spans="1:13" x14ac:dyDescent="0.25">
      <c r="A396" s="48">
        <v>392</v>
      </c>
      <c r="B396" s="49">
        <v>534305885158.06378</v>
      </c>
      <c r="C396" s="49">
        <v>451295000000</v>
      </c>
      <c r="D396" s="50">
        <v>0.59196964863123214</v>
      </c>
      <c r="E396" s="51" t="s">
        <v>111</v>
      </c>
      <c r="F396" s="50">
        <v>0.59196964863123214</v>
      </c>
      <c r="G396" s="51" t="s">
        <v>111</v>
      </c>
      <c r="H396" s="50">
        <v>0.59196964863123214</v>
      </c>
      <c r="I396" s="51" t="s">
        <v>111</v>
      </c>
      <c r="J396" s="50">
        <v>0.59196964863123214</v>
      </c>
      <c r="K396" s="51" t="s">
        <v>111</v>
      </c>
      <c r="L396" s="50">
        <v>0.59196964863123214</v>
      </c>
      <c r="M396" s="51" t="s">
        <v>111</v>
      </c>
    </row>
    <row r="397" spans="1:13" x14ac:dyDescent="0.25">
      <c r="A397" s="8">
        <v>393</v>
      </c>
      <c r="B397" s="24">
        <v>536086904775.25739</v>
      </c>
      <c r="C397" s="24">
        <v>451295000000</v>
      </c>
      <c r="D397" s="25">
        <v>0.59394288079333635</v>
      </c>
      <c r="E397" t="s">
        <v>111</v>
      </c>
      <c r="F397" s="25">
        <v>0.59394288079333635</v>
      </c>
      <c r="G397" t="s">
        <v>111</v>
      </c>
      <c r="H397" s="25">
        <v>0.59394288079333635</v>
      </c>
      <c r="I397" t="s">
        <v>111</v>
      </c>
      <c r="J397" s="25">
        <v>0.59394288079333635</v>
      </c>
      <c r="K397" t="s">
        <v>111</v>
      </c>
      <c r="L397" s="25">
        <v>0.59394288079333635</v>
      </c>
      <c r="M397" t="s">
        <v>111</v>
      </c>
    </row>
    <row r="398" spans="1:13" x14ac:dyDescent="0.25">
      <c r="A398" s="48">
        <v>394</v>
      </c>
      <c r="B398" s="49">
        <v>537873861124.50842</v>
      </c>
      <c r="C398" s="49">
        <v>451295000000</v>
      </c>
      <c r="D398" s="50">
        <v>0.59592269039598089</v>
      </c>
      <c r="E398" s="51" t="s">
        <v>111</v>
      </c>
      <c r="F398" s="50">
        <v>0.59592269039598089</v>
      </c>
      <c r="G398" s="51" t="s">
        <v>111</v>
      </c>
      <c r="H398" s="50">
        <v>0.59592269039598089</v>
      </c>
      <c r="I398" s="51" t="s">
        <v>111</v>
      </c>
      <c r="J398" s="50">
        <v>0.59592269039598089</v>
      </c>
      <c r="K398" s="51" t="s">
        <v>111</v>
      </c>
      <c r="L398" s="50">
        <v>0.59592269039598089</v>
      </c>
      <c r="M398" s="51" t="s">
        <v>111</v>
      </c>
    </row>
    <row r="399" spans="1:13" x14ac:dyDescent="0.25">
      <c r="A399" s="8">
        <v>395</v>
      </c>
      <c r="B399" s="24">
        <v>539666773994.9234</v>
      </c>
      <c r="C399" s="24">
        <v>451295000000</v>
      </c>
      <c r="D399" s="25">
        <v>0.59790909936396752</v>
      </c>
      <c r="E399" t="s">
        <v>111</v>
      </c>
      <c r="F399" s="25">
        <v>0.59790909936396752</v>
      </c>
      <c r="G399" t="s">
        <v>111</v>
      </c>
      <c r="H399" s="25">
        <v>0.59790909936396752</v>
      </c>
      <c r="I399" t="s">
        <v>111</v>
      </c>
      <c r="J399" s="25">
        <v>0.59790909936396752</v>
      </c>
      <c r="K399" t="s">
        <v>111</v>
      </c>
      <c r="L399" s="25">
        <v>0.59790909936396752</v>
      </c>
      <c r="M399" t="s">
        <v>111</v>
      </c>
    </row>
    <row r="400" spans="1:13" x14ac:dyDescent="0.25">
      <c r="A400" s="48">
        <v>396</v>
      </c>
      <c r="B400" s="49">
        <v>541465663241.57318</v>
      </c>
      <c r="C400" s="49">
        <v>451295000000</v>
      </c>
      <c r="D400" s="50">
        <v>0.59990212969518075</v>
      </c>
      <c r="E400" s="51" t="s">
        <v>111</v>
      </c>
      <c r="F400" s="50">
        <v>0.59990212969518075</v>
      </c>
      <c r="G400" s="51" t="s">
        <v>111</v>
      </c>
      <c r="H400" s="50">
        <v>0.59990212969518075</v>
      </c>
      <c r="I400" s="51" t="s">
        <v>111</v>
      </c>
      <c r="J400" s="50">
        <v>0.59990212969518075</v>
      </c>
      <c r="K400" s="51" t="s">
        <v>111</v>
      </c>
      <c r="L400" s="50">
        <v>0.59990212969518075</v>
      </c>
      <c r="M400" s="51" t="s">
        <v>111</v>
      </c>
    </row>
    <row r="401" spans="1:13" x14ac:dyDescent="0.25">
      <c r="A401" s="8">
        <v>397</v>
      </c>
      <c r="B401" s="24">
        <v>543270548785.71179</v>
      </c>
      <c r="C401" s="24">
        <v>451295000000</v>
      </c>
      <c r="D401" s="25">
        <v>0.60190180346083133</v>
      </c>
      <c r="E401" t="s">
        <v>111</v>
      </c>
      <c r="F401" s="25">
        <v>0.60190180346083133</v>
      </c>
      <c r="G401" t="s">
        <v>111</v>
      </c>
      <c r="H401" s="25">
        <v>0.60190180346083133</v>
      </c>
      <c r="I401" t="s">
        <v>111</v>
      </c>
      <c r="J401" s="25">
        <v>0.60190180346083133</v>
      </c>
      <c r="K401" t="s">
        <v>111</v>
      </c>
      <c r="L401" s="25">
        <v>0.60190180346083133</v>
      </c>
      <c r="M401" t="s">
        <v>111</v>
      </c>
    </row>
    <row r="402" spans="1:13" x14ac:dyDescent="0.25">
      <c r="A402" s="48">
        <v>398</v>
      </c>
      <c r="B402" s="49">
        <v>545081450614.9975</v>
      </c>
      <c r="C402" s="49">
        <v>451295000000</v>
      </c>
      <c r="D402" s="50">
        <v>0.60390814280570082</v>
      </c>
      <c r="E402" s="51" t="s">
        <v>111</v>
      </c>
      <c r="F402" s="50">
        <v>0.60390814280570082</v>
      </c>
      <c r="G402" s="51" t="s">
        <v>111</v>
      </c>
      <c r="H402" s="50">
        <v>0.60390814280570082</v>
      </c>
      <c r="I402" s="51" t="s">
        <v>111</v>
      </c>
      <c r="J402" s="50">
        <v>0.60390814280570082</v>
      </c>
      <c r="K402" s="51" t="s">
        <v>111</v>
      </c>
      <c r="L402" s="50">
        <v>0.60390814280570082</v>
      </c>
      <c r="M402" s="51" t="s">
        <v>111</v>
      </c>
    </row>
    <row r="403" spans="1:13" x14ac:dyDescent="0.25">
      <c r="A403" s="8">
        <v>399</v>
      </c>
      <c r="B403" s="24">
        <v>546898388783.71417</v>
      </c>
      <c r="C403" s="24">
        <v>451295000000</v>
      </c>
      <c r="D403" s="25">
        <v>0.60592116994838652</v>
      </c>
      <c r="E403" t="s">
        <v>111</v>
      </c>
      <c r="F403" s="25">
        <v>0.60592116994838652</v>
      </c>
      <c r="G403" t="s">
        <v>111</v>
      </c>
      <c r="H403" s="25">
        <v>0.60592116994838652</v>
      </c>
      <c r="I403" t="s">
        <v>111</v>
      </c>
      <c r="J403" s="25">
        <v>0.60592116994838652</v>
      </c>
      <c r="K403" t="s">
        <v>111</v>
      </c>
      <c r="L403" s="25">
        <v>0.60592116994838652</v>
      </c>
      <c r="M403" t="s">
        <v>111</v>
      </c>
    </row>
    <row r="404" spans="1:13" x14ac:dyDescent="0.25">
      <c r="A404" s="48">
        <v>400</v>
      </c>
      <c r="B404" s="49">
        <v>548721383412.99329</v>
      </c>
      <c r="C404" s="49">
        <v>451295000000</v>
      </c>
      <c r="D404" s="50">
        <v>0.60794090718154792</v>
      </c>
      <c r="E404" s="51" t="s">
        <v>111</v>
      </c>
      <c r="F404" s="50">
        <v>0.60794090718154792</v>
      </c>
      <c r="G404" s="51" t="s">
        <v>111</v>
      </c>
      <c r="H404" s="50">
        <v>0.60794090718154792</v>
      </c>
      <c r="I404" s="51" t="s">
        <v>111</v>
      </c>
      <c r="J404" s="50">
        <v>0.60794090718154792</v>
      </c>
      <c r="K404" s="51" t="s">
        <v>111</v>
      </c>
      <c r="L404" s="50">
        <v>0.60794090718154792</v>
      </c>
      <c r="M404" s="51" t="s">
        <v>111</v>
      </c>
    </row>
    <row r="405" spans="1:13" x14ac:dyDescent="0.25">
      <c r="A405" s="8">
        <v>401</v>
      </c>
      <c r="B405" s="24">
        <v>550550454691.03674</v>
      </c>
      <c r="C405" s="24">
        <v>451295000000</v>
      </c>
      <c r="D405" s="25">
        <v>0.60996737687215319</v>
      </c>
      <c r="E405" t="s">
        <v>111</v>
      </c>
      <c r="F405" s="25">
        <v>0.60996737687215319</v>
      </c>
      <c r="G405" t="s">
        <v>111</v>
      </c>
      <c r="H405" s="25">
        <v>0.60996737687215319</v>
      </c>
      <c r="I405" t="s">
        <v>111</v>
      </c>
      <c r="J405" s="25">
        <v>0.60996737687215319</v>
      </c>
      <c r="K405" t="s">
        <v>111</v>
      </c>
      <c r="L405" s="25">
        <v>0.60996737687215319</v>
      </c>
      <c r="M405" t="s">
        <v>111</v>
      </c>
    </row>
    <row r="406" spans="1:13" x14ac:dyDescent="0.25">
      <c r="A406" s="48">
        <v>402</v>
      </c>
      <c r="B406" s="49">
        <v>552385622873.34021</v>
      </c>
      <c r="C406" s="49">
        <v>451295000000</v>
      </c>
      <c r="D406" s="50">
        <v>0.61200060146172708</v>
      </c>
      <c r="E406" s="51" t="s">
        <v>111</v>
      </c>
      <c r="F406" s="50">
        <v>0.61200060146172708</v>
      </c>
      <c r="G406" s="51" t="s">
        <v>111</v>
      </c>
      <c r="H406" s="50">
        <v>0.61200060146172708</v>
      </c>
      <c r="I406" s="51" t="s">
        <v>111</v>
      </c>
      <c r="J406" s="50">
        <v>0.61200060146172708</v>
      </c>
      <c r="K406" s="51" t="s">
        <v>111</v>
      </c>
      <c r="L406" s="50">
        <v>0.61200060146172708</v>
      </c>
      <c r="M406" s="51" t="s">
        <v>111</v>
      </c>
    </row>
    <row r="407" spans="1:13" x14ac:dyDescent="0.25">
      <c r="A407" s="8">
        <v>403</v>
      </c>
      <c r="B407" s="24">
        <v>554226908282.91809</v>
      </c>
      <c r="C407" s="24">
        <v>451295000000</v>
      </c>
      <c r="D407" s="25">
        <v>0.6140406034665995</v>
      </c>
      <c r="E407" t="s">
        <v>111</v>
      </c>
      <c r="F407" s="25">
        <v>0.6140406034665995</v>
      </c>
      <c r="G407" t="s">
        <v>111</v>
      </c>
      <c r="H407" s="25">
        <v>0.6140406034665995</v>
      </c>
      <c r="I407" t="s">
        <v>111</v>
      </c>
      <c r="J407" s="25">
        <v>0.6140406034665995</v>
      </c>
      <c r="K407" t="s">
        <v>111</v>
      </c>
      <c r="L407" s="25">
        <v>0.6140406034665995</v>
      </c>
      <c r="M407" t="s">
        <v>111</v>
      </c>
    </row>
    <row r="408" spans="1:13" x14ac:dyDescent="0.25">
      <c r="A408" s="48">
        <v>404</v>
      </c>
      <c r="B408" s="49">
        <v>556074331310.52783</v>
      </c>
      <c r="C408" s="49">
        <v>451295000000</v>
      </c>
      <c r="D408" s="50">
        <v>0.61608740547815488</v>
      </c>
      <c r="E408" s="51" t="s">
        <v>111</v>
      </c>
      <c r="F408" s="50">
        <v>0.61608740547815488</v>
      </c>
      <c r="G408" s="51" t="s">
        <v>111</v>
      </c>
      <c r="H408" s="50">
        <v>0.61608740547815488</v>
      </c>
      <c r="I408" s="51" t="s">
        <v>111</v>
      </c>
      <c r="J408" s="50">
        <v>0.61608740547815488</v>
      </c>
      <c r="K408" s="51" t="s">
        <v>111</v>
      </c>
      <c r="L408" s="50">
        <v>0.61608740547815488</v>
      </c>
      <c r="M408" s="51" t="s">
        <v>111</v>
      </c>
    </row>
    <row r="409" spans="1:13" x14ac:dyDescent="0.25">
      <c r="A409" s="8">
        <v>405</v>
      </c>
      <c r="B409" s="24">
        <v>557927912414.89624</v>
      </c>
      <c r="C409" s="24">
        <v>451295000000</v>
      </c>
      <c r="D409" s="25">
        <v>0.61814103016308208</v>
      </c>
      <c r="E409" t="s">
        <v>111</v>
      </c>
      <c r="F409" s="25">
        <v>0.61814103016308208</v>
      </c>
      <c r="G409" t="s">
        <v>111</v>
      </c>
      <c r="H409" s="25">
        <v>0.61814103016308208</v>
      </c>
      <c r="I409" t="s">
        <v>111</v>
      </c>
      <c r="J409" s="25">
        <v>0.61814103016308208</v>
      </c>
      <c r="K409" t="s">
        <v>111</v>
      </c>
      <c r="L409" s="25">
        <v>0.61814103016308208</v>
      </c>
      <c r="M409" t="s">
        <v>111</v>
      </c>
    </row>
    <row r="410" spans="1:13" x14ac:dyDescent="0.25">
      <c r="A410" s="48">
        <v>406</v>
      </c>
      <c r="B410" s="49">
        <v>559787672122.94592</v>
      </c>
      <c r="C410" s="49">
        <v>451295000000</v>
      </c>
      <c r="D410" s="50">
        <v>0.62020150026362575</v>
      </c>
      <c r="E410" s="51" t="s">
        <v>111</v>
      </c>
      <c r="F410" s="50">
        <v>0.62020150026362575</v>
      </c>
      <c r="G410" s="51" t="s">
        <v>111</v>
      </c>
      <c r="H410" s="50">
        <v>0.62020150026362575</v>
      </c>
      <c r="I410" s="51" t="s">
        <v>111</v>
      </c>
      <c r="J410" s="50">
        <v>0.62020150026362575</v>
      </c>
      <c r="K410" s="51" t="s">
        <v>111</v>
      </c>
      <c r="L410" s="50">
        <v>0.62020150026362575</v>
      </c>
      <c r="M410" s="51" t="s">
        <v>111</v>
      </c>
    </row>
    <row r="411" spans="1:13" x14ac:dyDescent="0.25">
      <c r="A411" s="8">
        <v>407</v>
      </c>
      <c r="B411" s="24">
        <v>561653631030.02246</v>
      </c>
      <c r="C411" s="24">
        <v>451295000000</v>
      </c>
      <c r="D411" s="25">
        <v>0.62226883859783788</v>
      </c>
      <c r="E411" t="s">
        <v>111</v>
      </c>
      <c r="F411" s="25">
        <v>0.62226883859783788</v>
      </c>
      <c r="G411" t="s">
        <v>111</v>
      </c>
      <c r="H411" s="25">
        <v>0.62226883859783788</v>
      </c>
      <c r="I411" t="s">
        <v>111</v>
      </c>
      <c r="J411" s="25">
        <v>0.62226883859783788</v>
      </c>
      <c r="K411" t="s">
        <v>111</v>
      </c>
      <c r="L411" s="25">
        <v>0.62226883859783788</v>
      </c>
      <c r="M411" t="s">
        <v>111</v>
      </c>
    </row>
    <row r="412" spans="1:13" x14ac:dyDescent="0.25">
      <c r="A412" s="48">
        <v>408</v>
      </c>
      <c r="B412" s="49">
        <v>563525809800.12256</v>
      </c>
      <c r="C412" s="49">
        <v>451295000000</v>
      </c>
      <c r="D412" s="50">
        <v>0.62434306805983064</v>
      </c>
      <c r="E412" s="51" t="s">
        <v>111</v>
      </c>
      <c r="F412" s="50">
        <v>0.62434306805983064</v>
      </c>
      <c r="G412" s="51" t="s">
        <v>111</v>
      </c>
      <c r="H412" s="50">
        <v>0.62434306805983064</v>
      </c>
      <c r="I412" s="51" t="s">
        <v>111</v>
      </c>
      <c r="J412" s="50">
        <v>0.62434306805983064</v>
      </c>
      <c r="K412" s="51" t="s">
        <v>111</v>
      </c>
      <c r="L412" s="50">
        <v>0.62434306805983064</v>
      </c>
      <c r="M412" s="51" t="s">
        <v>111</v>
      </c>
    </row>
    <row r="413" spans="1:13" x14ac:dyDescent="0.25">
      <c r="A413" s="8">
        <v>409</v>
      </c>
      <c r="B413" s="24">
        <v>565404229166.12305</v>
      </c>
      <c r="C413" s="24">
        <v>451295000000</v>
      </c>
      <c r="D413" s="25">
        <v>0.62642421162003015</v>
      </c>
      <c r="E413" t="s">
        <v>111</v>
      </c>
      <c r="F413" s="25">
        <v>0.62642421162003015</v>
      </c>
      <c r="G413" t="s">
        <v>111</v>
      </c>
      <c r="H413" s="25">
        <v>0.62642421162003015</v>
      </c>
      <c r="I413" t="s">
        <v>111</v>
      </c>
      <c r="J413" s="25">
        <v>0.62642421162003015</v>
      </c>
      <c r="K413" t="s">
        <v>111</v>
      </c>
      <c r="L413" s="25">
        <v>0.62642421162003015</v>
      </c>
      <c r="M413" t="s">
        <v>111</v>
      </c>
    </row>
    <row r="414" spans="1:13" x14ac:dyDescent="0.25">
      <c r="A414" s="48">
        <v>410</v>
      </c>
      <c r="B414" s="49">
        <v>567288909930.01025</v>
      </c>
      <c r="C414" s="49">
        <v>451295000000</v>
      </c>
      <c r="D414" s="50">
        <v>0.62851229232543038</v>
      </c>
      <c r="E414" s="51" t="s">
        <v>111</v>
      </c>
      <c r="F414" s="50">
        <v>0.62851229232543038</v>
      </c>
      <c r="G414" s="51" t="s">
        <v>111</v>
      </c>
      <c r="H414" s="50">
        <v>0.62851229232543038</v>
      </c>
      <c r="I414" s="51" t="s">
        <v>111</v>
      </c>
      <c r="J414" s="50">
        <v>0.62851229232543038</v>
      </c>
      <c r="K414" s="51" t="s">
        <v>111</v>
      </c>
      <c r="L414" s="50">
        <v>0.62851229232543038</v>
      </c>
      <c r="M414" s="51" t="s">
        <v>111</v>
      </c>
    </row>
    <row r="415" spans="1:13" x14ac:dyDescent="0.25">
      <c r="A415" s="8">
        <v>411</v>
      </c>
      <c r="B415" s="24">
        <v>569179872963.11023</v>
      </c>
      <c r="C415" s="24">
        <v>451295000000</v>
      </c>
      <c r="D415" s="25">
        <v>0.63060733329984842</v>
      </c>
      <c r="E415" t="s">
        <v>111</v>
      </c>
      <c r="F415" s="25">
        <v>0.63060733329984842</v>
      </c>
      <c r="G415" t="s">
        <v>111</v>
      </c>
      <c r="H415" s="25">
        <v>0.63060733329984842</v>
      </c>
      <c r="I415" t="s">
        <v>111</v>
      </c>
      <c r="J415" s="25">
        <v>0.63060733329984842</v>
      </c>
      <c r="K415" t="s">
        <v>111</v>
      </c>
      <c r="L415" s="25">
        <v>0.63060733329984842</v>
      </c>
      <c r="M415" t="s">
        <v>111</v>
      </c>
    </row>
    <row r="416" spans="1:13" x14ac:dyDescent="0.25">
      <c r="A416" s="48">
        <v>412</v>
      </c>
      <c r="B416" s="49">
        <v>571077139206.32068</v>
      </c>
      <c r="C416" s="49">
        <v>451295000000</v>
      </c>
      <c r="D416" s="50">
        <v>0.63270935774418136</v>
      </c>
      <c r="E416" s="51" t="s">
        <v>111</v>
      </c>
      <c r="F416" s="50">
        <v>0.63270935774418136</v>
      </c>
      <c r="G416" s="51" t="s">
        <v>111</v>
      </c>
      <c r="H416" s="50">
        <v>0.63270935774418136</v>
      </c>
      <c r="I416" s="51" t="s">
        <v>111</v>
      </c>
      <c r="J416" s="50">
        <v>0.63270935774418136</v>
      </c>
      <c r="K416" s="51" t="s">
        <v>111</v>
      </c>
      <c r="L416" s="50">
        <v>0.63270935774418136</v>
      </c>
      <c r="M416" s="51" t="s">
        <v>111</v>
      </c>
    </row>
    <row r="417" spans="1:13" x14ac:dyDescent="0.25">
      <c r="A417" s="8">
        <v>413</v>
      </c>
      <c r="B417" s="24">
        <v>572980729670.3418</v>
      </c>
      <c r="C417" s="24">
        <v>451295000000</v>
      </c>
      <c r="D417" s="25">
        <v>0.63481838893666209</v>
      </c>
      <c r="E417" t="s">
        <v>111</v>
      </c>
      <c r="F417" s="25">
        <v>0.63481838893666209</v>
      </c>
      <c r="G417" t="s">
        <v>111</v>
      </c>
      <c r="H417" s="25">
        <v>0.63481838893666209</v>
      </c>
      <c r="I417" t="s">
        <v>111</v>
      </c>
      <c r="J417" s="25">
        <v>0.63481838893666209</v>
      </c>
      <c r="K417" t="s">
        <v>111</v>
      </c>
      <c r="L417" s="25">
        <v>0.63481838893666209</v>
      </c>
      <c r="M417" t="s">
        <v>111</v>
      </c>
    </row>
    <row r="418" spans="1:13" x14ac:dyDescent="0.25">
      <c r="A418" s="48">
        <v>414</v>
      </c>
      <c r="B418" s="49">
        <v>574890665435.90967</v>
      </c>
      <c r="C418" s="49">
        <v>451295000000</v>
      </c>
      <c r="D418" s="50">
        <v>0.63693445023311768</v>
      </c>
      <c r="E418" s="51" t="s">
        <v>111</v>
      </c>
      <c r="F418" s="50">
        <v>0.63693445023311768</v>
      </c>
      <c r="G418" s="51" t="s">
        <v>111</v>
      </c>
      <c r="H418" s="50">
        <v>0.63693445023311768</v>
      </c>
      <c r="I418" s="51" t="s">
        <v>111</v>
      </c>
      <c r="J418" s="50">
        <v>0.63693445023311768</v>
      </c>
      <c r="K418" s="51" t="s">
        <v>111</v>
      </c>
      <c r="L418" s="50">
        <v>0.63693445023311768</v>
      </c>
      <c r="M418" s="51" t="s">
        <v>111</v>
      </c>
    </row>
    <row r="419" spans="1:13" x14ac:dyDescent="0.25">
      <c r="A419" s="8">
        <v>415</v>
      </c>
      <c r="B419" s="24">
        <v>576806967654.0293</v>
      </c>
      <c r="C419" s="24">
        <v>451295000000</v>
      </c>
      <c r="D419" s="25">
        <v>0.639057565067228</v>
      </c>
      <c r="E419" t="s">
        <v>111</v>
      </c>
      <c r="F419" s="25">
        <v>0.639057565067228</v>
      </c>
      <c r="G419" t="s">
        <v>111</v>
      </c>
      <c r="H419" s="25">
        <v>0.639057565067228</v>
      </c>
      <c r="I419" t="s">
        <v>111</v>
      </c>
      <c r="J419" s="25">
        <v>0.639057565067228</v>
      </c>
      <c r="K419" t="s">
        <v>111</v>
      </c>
      <c r="L419" s="25">
        <v>0.639057565067228</v>
      </c>
      <c r="M419" t="s">
        <v>111</v>
      </c>
    </row>
    <row r="420" spans="1:13" x14ac:dyDescent="0.25">
      <c r="A420" s="48">
        <v>416</v>
      </c>
      <c r="B420" s="49">
        <v>578729657546.20947</v>
      </c>
      <c r="C420" s="49">
        <v>451295000000</v>
      </c>
      <c r="D420" s="50">
        <v>0.64118775695078545</v>
      </c>
      <c r="E420" s="51" t="s">
        <v>111</v>
      </c>
      <c r="F420" s="50">
        <v>0.64118775695078545</v>
      </c>
      <c r="G420" s="51" t="s">
        <v>111</v>
      </c>
      <c r="H420" s="50">
        <v>0.64118775695078545</v>
      </c>
      <c r="I420" s="51" t="s">
        <v>111</v>
      </c>
      <c r="J420" s="50">
        <v>0.64118775695078545</v>
      </c>
      <c r="K420" s="51" t="s">
        <v>111</v>
      </c>
      <c r="L420" s="50">
        <v>0.64118775695078545</v>
      </c>
      <c r="M420" s="51" t="s">
        <v>111</v>
      </c>
    </row>
    <row r="421" spans="1:13" x14ac:dyDescent="0.25">
      <c r="A421" s="8">
        <v>417</v>
      </c>
      <c r="B421" s="24">
        <v>580658756404.69702</v>
      </c>
      <c r="C421" s="24">
        <v>451295000000</v>
      </c>
      <c r="D421" s="25">
        <v>0.64332504947395497</v>
      </c>
      <c r="E421" t="s">
        <v>111</v>
      </c>
      <c r="F421" s="25">
        <v>0.64332504947395497</v>
      </c>
      <c r="G421" t="s">
        <v>111</v>
      </c>
      <c r="H421" s="25">
        <v>0.64332504947395497</v>
      </c>
      <c r="I421" t="s">
        <v>111</v>
      </c>
      <c r="J421" s="25">
        <v>0.64332504947395497</v>
      </c>
      <c r="K421" t="s">
        <v>111</v>
      </c>
      <c r="L421" s="25">
        <v>0.64332504947395497</v>
      </c>
      <c r="M421" t="s">
        <v>111</v>
      </c>
    </row>
    <row r="422" spans="1:13" x14ac:dyDescent="0.25">
      <c r="A422" s="48">
        <v>418</v>
      </c>
      <c r="B422" s="49">
        <v>582594285592.71252</v>
      </c>
      <c r="C422" s="49">
        <v>451295000000</v>
      </c>
      <c r="D422" s="50">
        <v>0.6454694663055347</v>
      </c>
      <c r="E422" s="51" t="s">
        <v>111</v>
      </c>
      <c r="F422" s="50">
        <v>0.6454694663055347</v>
      </c>
      <c r="G422" s="51" t="s">
        <v>111</v>
      </c>
      <c r="H422" s="50">
        <v>0.6454694663055347</v>
      </c>
      <c r="I422" s="51" t="s">
        <v>111</v>
      </c>
      <c r="J422" s="50">
        <v>0.6454694663055347</v>
      </c>
      <c r="K422" s="51" t="s">
        <v>111</v>
      </c>
      <c r="L422" s="50">
        <v>0.6454694663055347</v>
      </c>
      <c r="M422" s="51" t="s">
        <v>111</v>
      </c>
    </row>
    <row r="423" spans="1:13" x14ac:dyDescent="0.25">
      <c r="A423" s="8">
        <v>419</v>
      </c>
      <c r="B423" s="24">
        <v>584536266544.68848</v>
      </c>
      <c r="C423" s="24">
        <v>451295000000</v>
      </c>
      <c r="D423" s="25">
        <v>0.64762103119322001</v>
      </c>
      <c r="E423" t="s">
        <v>111</v>
      </c>
      <c r="F423" s="25">
        <v>0.64762103119322001</v>
      </c>
      <c r="G423" t="s">
        <v>111</v>
      </c>
      <c r="H423" s="25">
        <v>0.64762103119322001</v>
      </c>
      <c r="I423" t="s">
        <v>111</v>
      </c>
      <c r="J423" s="25">
        <v>0.64762103119322001</v>
      </c>
      <c r="K423" t="s">
        <v>111</v>
      </c>
      <c r="L423" s="25">
        <v>0.64762103119322001</v>
      </c>
      <c r="M423" t="s">
        <v>111</v>
      </c>
    </row>
    <row r="424" spans="1:13" x14ac:dyDescent="0.25">
      <c r="A424" s="48">
        <v>420</v>
      </c>
      <c r="B424" s="49">
        <v>586484720766.50415</v>
      </c>
      <c r="C424" s="49">
        <v>451295000000</v>
      </c>
      <c r="D424" s="50">
        <v>0.64977976796386416</v>
      </c>
      <c r="E424" s="51" t="s">
        <v>111</v>
      </c>
      <c r="F424" s="50">
        <v>0.64977976796386416</v>
      </c>
      <c r="G424" s="51" t="s">
        <v>111</v>
      </c>
      <c r="H424" s="50">
        <v>0.64977976796386416</v>
      </c>
      <c r="I424" s="51" t="s">
        <v>111</v>
      </c>
      <c r="J424" s="50">
        <v>0.64977976796386416</v>
      </c>
      <c r="K424" s="51" t="s">
        <v>111</v>
      </c>
      <c r="L424" s="50">
        <v>0.64977976796386416</v>
      </c>
      <c r="M424" s="51" t="s">
        <v>111</v>
      </c>
    </row>
    <row r="425" spans="1:13" x14ac:dyDescent="0.25">
      <c r="A425" s="8">
        <v>421</v>
      </c>
      <c r="B425" s="24">
        <v>588439669835.72583</v>
      </c>
      <c r="C425" s="24">
        <v>451295000000</v>
      </c>
      <c r="D425" s="25">
        <v>0.65194570052374368</v>
      </c>
      <c r="E425" t="s">
        <v>111</v>
      </c>
      <c r="F425" s="25">
        <v>0.65194570052374368</v>
      </c>
      <c r="G425" t="s">
        <v>111</v>
      </c>
      <c r="H425" s="25">
        <v>0.65194570052374368</v>
      </c>
      <c r="I425" t="s">
        <v>111</v>
      </c>
      <c r="J425" s="25">
        <v>0.65194570052374368</v>
      </c>
      <c r="K425" t="s">
        <v>111</v>
      </c>
      <c r="L425" s="25">
        <v>0.65194570052374368</v>
      </c>
      <c r="M425" t="s">
        <v>111</v>
      </c>
    </row>
    <row r="426" spans="1:13" x14ac:dyDescent="0.25">
      <c r="A426" s="48">
        <v>422</v>
      </c>
      <c r="B426" s="49">
        <v>590401135401.84497</v>
      </c>
      <c r="C426" s="49">
        <v>451295000000</v>
      </c>
      <c r="D426" s="50">
        <v>0.65411885285882287</v>
      </c>
      <c r="E426" s="51" t="s">
        <v>111</v>
      </c>
      <c r="F426" s="50">
        <v>0.65411885285882287</v>
      </c>
      <c r="G426" s="51" t="s">
        <v>111</v>
      </c>
      <c r="H426" s="50">
        <v>0.65411885285882287</v>
      </c>
      <c r="I426" s="51" t="s">
        <v>111</v>
      </c>
      <c r="J426" s="50">
        <v>0.65411885285882287</v>
      </c>
      <c r="K426" s="51" t="s">
        <v>111</v>
      </c>
      <c r="L426" s="50">
        <v>0.65411885285882287</v>
      </c>
      <c r="M426" s="51" t="s">
        <v>111</v>
      </c>
    </row>
    <row r="427" spans="1:13" x14ac:dyDescent="0.25">
      <c r="A427" s="8">
        <v>423</v>
      </c>
      <c r="B427" s="24">
        <v>592369139186.5177</v>
      </c>
      <c r="C427" s="24">
        <v>451295000000</v>
      </c>
      <c r="D427" s="25">
        <v>0.65629924903501891</v>
      </c>
      <c r="E427" t="s">
        <v>111</v>
      </c>
      <c r="F427" s="25">
        <v>0.65629924903501891</v>
      </c>
      <c r="G427" t="s">
        <v>111</v>
      </c>
      <c r="H427" s="25">
        <v>0.65629924903501891</v>
      </c>
      <c r="I427" t="s">
        <v>111</v>
      </c>
      <c r="J427" s="25">
        <v>0.65629924903501891</v>
      </c>
      <c r="K427" t="s">
        <v>111</v>
      </c>
      <c r="L427" s="25">
        <v>0.65629924903501891</v>
      </c>
      <c r="M427" t="s">
        <v>111</v>
      </c>
    </row>
    <row r="428" spans="1:13" x14ac:dyDescent="0.25">
      <c r="A428" s="48">
        <v>424</v>
      </c>
      <c r="B428" s="49">
        <v>594343702983.80627</v>
      </c>
      <c r="C428" s="49">
        <v>451295000000</v>
      </c>
      <c r="D428" s="50">
        <v>0.65848691319846919</v>
      </c>
      <c r="E428" s="51" t="s">
        <v>111</v>
      </c>
      <c r="F428" s="50">
        <v>0.65848691319846919</v>
      </c>
      <c r="G428" s="51" t="s">
        <v>111</v>
      </c>
      <c r="H428" s="50">
        <v>0.65848691319846919</v>
      </c>
      <c r="I428" s="51" t="s">
        <v>111</v>
      </c>
      <c r="J428" s="50">
        <v>0.65848691319846919</v>
      </c>
      <c r="K428" s="51" t="s">
        <v>111</v>
      </c>
      <c r="L428" s="50">
        <v>0.65848691319846919</v>
      </c>
      <c r="M428" s="51" t="s">
        <v>111</v>
      </c>
    </row>
    <row r="429" spans="1:13" x14ac:dyDescent="0.25">
      <c r="A429" s="8">
        <v>425</v>
      </c>
      <c r="B429" s="24">
        <v>596324848660.41895</v>
      </c>
      <c r="C429" s="24">
        <v>451295000000</v>
      </c>
      <c r="D429" s="25">
        <v>0.66068186957579733</v>
      </c>
      <c r="E429" t="s">
        <v>111</v>
      </c>
      <c r="F429" s="25">
        <v>0.66068186957579733</v>
      </c>
      <c r="G429" t="s">
        <v>111</v>
      </c>
      <c r="H429" s="25">
        <v>0.66068186957579733</v>
      </c>
      <c r="I429" t="s">
        <v>111</v>
      </c>
      <c r="J429" s="25">
        <v>0.66068186957579733</v>
      </c>
      <c r="K429" t="s">
        <v>111</v>
      </c>
      <c r="L429" s="25">
        <v>0.66068186957579733</v>
      </c>
      <c r="M429" t="s">
        <v>111</v>
      </c>
    </row>
    <row r="430" spans="1:13" x14ac:dyDescent="0.25">
      <c r="A430" s="48">
        <v>426</v>
      </c>
      <c r="B430" s="49">
        <v>598312598155.95374</v>
      </c>
      <c r="C430" s="49">
        <v>451295000000</v>
      </c>
      <c r="D430" s="50">
        <v>0.66288414247438343</v>
      </c>
      <c r="E430" s="51" t="s">
        <v>111</v>
      </c>
      <c r="F430" s="50">
        <v>0.66288414247438343</v>
      </c>
      <c r="G430" s="51" t="s">
        <v>111</v>
      </c>
      <c r="H430" s="50">
        <v>0.66288414247438343</v>
      </c>
      <c r="I430" s="51" t="s">
        <v>111</v>
      </c>
      <c r="J430" s="50">
        <v>0.66288414247438343</v>
      </c>
      <c r="K430" s="51" t="s">
        <v>111</v>
      </c>
      <c r="L430" s="50">
        <v>0.66288414247438343</v>
      </c>
      <c r="M430" s="51" t="s">
        <v>111</v>
      </c>
    </row>
    <row r="431" spans="1:13" x14ac:dyDescent="0.25">
      <c r="A431" s="8">
        <v>427</v>
      </c>
      <c r="B431" s="24">
        <v>600306973483.14026</v>
      </c>
      <c r="C431" s="24">
        <v>451295000000</v>
      </c>
      <c r="D431" s="25">
        <v>0.66509375628263134</v>
      </c>
      <c r="E431" t="s">
        <v>111</v>
      </c>
      <c r="F431" s="25">
        <v>0.66509375628263134</v>
      </c>
      <c r="G431" t="s">
        <v>111</v>
      </c>
      <c r="H431" s="25">
        <v>0.66509375628263134</v>
      </c>
      <c r="I431" t="s">
        <v>111</v>
      </c>
      <c r="J431" s="25">
        <v>0.66509375628263134</v>
      </c>
      <c r="K431" t="s">
        <v>111</v>
      </c>
      <c r="L431" s="25">
        <v>0.66509375628263134</v>
      </c>
      <c r="M431" t="s">
        <v>111</v>
      </c>
    </row>
    <row r="432" spans="1:13" x14ac:dyDescent="0.25">
      <c r="A432" s="48">
        <v>428</v>
      </c>
      <c r="B432" s="49">
        <v>602307996728.08423</v>
      </c>
      <c r="C432" s="49">
        <v>451295000000</v>
      </c>
      <c r="D432" s="50">
        <v>0.66731073547024033</v>
      </c>
      <c r="E432" s="51" t="s">
        <v>111</v>
      </c>
      <c r="F432" s="50">
        <v>0.66731073547024033</v>
      </c>
      <c r="G432" s="51" t="s">
        <v>111</v>
      </c>
      <c r="H432" s="50">
        <v>0.66731073547024033</v>
      </c>
      <c r="I432" s="51" t="s">
        <v>111</v>
      </c>
      <c r="J432" s="50">
        <v>0.66731073547024033</v>
      </c>
      <c r="K432" s="51" t="s">
        <v>111</v>
      </c>
      <c r="L432" s="50">
        <v>0.66731073547024033</v>
      </c>
      <c r="M432" s="51" t="s">
        <v>111</v>
      </c>
    </row>
    <row r="433" spans="1:13" x14ac:dyDescent="0.25">
      <c r="A433" s="8">
        <v>429</v>
      </c>
      <c r="B433" s="24">
        <v>604315690050.51123</v>
      </c>
      <c r="C433" s="24">
        <v>451295000000</v>
      </c>
      <c r="D433" s="25">
        <v>0.66953510458847454</v>
      </c>
      <c r="E433" t="s">
        <v>111</v>
      </c>
      <c r="F433" s="25">
        <v>0.66953510458847454</v>
      </c>
      <c r="G433" t="s">
        <v>111</v>
      </c>
      <c r="H433" s="25">
        <v>0.66953510458847454</v>
      </c>
      <c r="I433" t="s">
        <v>111</v>
      </c>
      <c r="J433" s="25">
        <v>0.66953510458847454</v>
      </c>
      <c r="K433" t="s">
        <v>111</v>
      </c>
      <c r="L433" s="25">
        <v>0.66953510458847454</v>
      </c>
      <c r="M433" t="s">
        <v>111</v>
      </c>
    </row>
    <row r="434" spans="1:13" x14ac:dyDescent="0.25">
      <c r="A434" s="48">
        <v>430</v>
      </c>
      <c r="B434" s="49">
        <v>606330075684.01294</v>
      </c>
      <c r="C434" s="49">
        <v>451295000000</v>
      </c>
      <c r="D434" s="50">
        <v>0.67176688827043607</v>
      </c>
      <c r="E434" s="51" t="s">
        <v>111</v>
      </c>
      <c r="F434" s="50">
        <v>0.67176688827043607</v>
      </c>
      <c r="G434" s="51" t="s">
        <v>111</v>
      </c>
      <c r="H434" s="50">
        <v>0.67176688827043607</v>
      </c>
      <c r="I434" s="51" t="s">
        <v>111</v>
      </c>
      <c r="J434" s="50">
        <v>0.67176688827043607</v>
      </c>
      <c r="K434" s="51" t="s">
        <v>111</v>
      </c>
      <c r="L434" s="50">
        <v>0.67176688827043607</v>
      </c>
      <c r="M434" s="51" t="s">
        <v>111</v>
      </c>
    </row>
    <row r="435" spans="1:13" x14ac:dyDescent="0.25">
      <c r="A435" s="8">
        <v>431</v>
      </c>
      <c r="B435" s="24">
        <v>608351175936.29297</v>
      </c>
      <c r="C435" s="24">
        <v>451295000000</v>
      </c>
      <c r="D435" s="25">
        <v>0.67400611123133758</v>
      </c>
      <c r="E435" t="s">
        <v>111</v>
      </c>
      <c r="F435" s="25">
        <v>0.67400611123133758</v>
      </c>
      <c r="G435" t="s">
        <v>111</v>
      </c>
      <c r="H435" s="25">
        <v>0.67400611123133758</v>
      </c>
      <c r="I435" t="s">
        <v>111</v>
      </c>
      <c r="J435" s="25">
        <v>0.67400611123133758</v>
      </c>
      <c r="K435" t="s">
        <v>111</v>
      </c>
      <c r="L435" s="25">
        <v>0.67400611123133758</v>
      </c>
      <c r="M435" t="s">
        <v>111</v>
      </c>
    </row>
    <row r="436" spans="1:13" x14ac:dyDescent="0.25">
      <c r="A436" s="48">
        <v>432</v>
      </c>
      <c r="B436" s="49">
        <v>610379013189.41394</v>
      </c>
      <c r="C436" s="49">
        <v>451295000000</v>
      </c>
      <c r="D436" s="50">
        <v>0.67625279826877538</v>
      </c>
      <c r="E436" s="51" t="s">
        <v>111</v>
      </c>
      <c r="F436" s="50">
        <v>0.67625279826877538</v>
      </c>
      <c r="G436" s="51" t="s">
        <v>111</v>
      </c>
      <c r="H436" s="50">
        <v>0.67625279826877538</v>
      </c>
      <c r="I436" s="51" t="s">
        <v>111</v>
      </c>
      <c r="J436" s="50">
        <v>0.67625279826877538</v>
      </c>
      <c r="K436" s="51" t="s">
        <v>111</v>
      </c>
      <c r="L436" s="50">
        <v>0.67625279826877538</v>
      </c>
      <c r="M436" s="51" t="s">
        <v>111</v>
      </c>
    </row>
    <row r="437" spans="1:13" x14ac:dyDescent="0.25">
      <c r="A437" s="8">
        <v>433</v>
      </c>
      <c r="B437" s="24">
        <v>612413609900.04541</v>
      </c>
      <c r="C437" s="24">
        <v>451295000000</v>
      </c>
      <c r="D437" s="25">
        <v>0.67850697426300466</v>
      </c>
      <c r="E437" t="s">
        <v>111</v>
      </c>
      <c r="F437" s="25">
        <v>0.67850697426300466</v>
      </c>
      <c r="G437" t="s">
        <v>111</v>
      </c>
      <c r="H437" s="25">
        <v>0.67850697426300466</v>
      </c>
      <c r="I437" t="s">
        <v>111</v>
      </c>
      <c r="J437" s="25">
        <v>0.67850697426300466</v>
      </c>
      <c r="K437" t="s">
        <v>111</v>
      </c>
      <c r="L437" s="25">
        <v>0.67850697426300466</v>
      </c>
      <c r="M437" t="s">
        <v>111</v>
      </c>
    </row>
    <row r="438" spans="1:13" x14ac:dyDescent="0.25">
      <c r="A438" s="48">
        <v>434</v>
      </c>
      <c r="B438" s="49">
        <v>614454988599.71228</v>
      </c>
      <c r="C438" s="49">
        <v>451295000000</v>
      </c>
      <c r="D438" s="50">
        <v>0.68076866417721482</v>
      </c>
      <c r="E438" s="51" t="s">
        <v>111</v>
      </c>
      <c r="F438" s="50">
        <v>0.68076866417721482</v>
      </c>
      <c r="G438" s="51" t="s">
        <v>111</v>
      </c>
      <c r="H438" s="50">
        <v>0.68076866417721482</v>
      </c>
      <c r="I438" s="51" t="s">
        <v>111</v>
      </c>
      <c r="J438" s="50">
        <v>0.68076866417721482</v>
      </c>
      <c r="K438" s="51" t="s">
        <v>111</v>
      </c>
      <c r="L438" s="50">
        <v>0.68076866417721482</v>
      </c>
      <c r="M438" s="51" t="s">
        <v>111</v>
      </c>
    </row>
    <row r="439" spans="1:13" x14ac:dyDescent="0.25">
      <c r="A439" s="8">
        <v>435</v>
      </c>
      <c r="B439" s="24">
        <v>616503171895.04468</v>
      </c>
      <c r="C439" s="24">
        <v>451295000000</v>
      </c>
      <c r="D439" s="25">
        <v>0.68303789305780549</v>
      </c>
      <c r="E439" t="s">
        <v>111</v>
      </c>
      <c r="F439" s="25">
        <v>0.68303789305780549</v>
      </c>
      <c r="G439" t="s">
        <v>111</v>
      </c>
      <c r="H439" s="25">
        <v>0.68303789305780549</v>
      </c>
      <c r="I439" t="s">
        <v>111</v>
      </c>
      <c r="J439" s="25">
        <v>0.68303789305780549</v>
      </c>
      <c r="K439" t="s">
        <v>111</v>
      </c>
      <c r="L439" s="25">
        <v>0.68303789305780549</v>
      </c>
      <c r="M439" t="s">
        <v>111</v>
      </c>
    </row>
    <row r="440" spans="1:13" x14ac:dyDescent="0.25">
      <c r="A440" s="48">
        <v>436</v>
      </c>
      <c r="B440" s="49">
        <v>618558182468.02832</v>
      </c>
      <c r="C440" s="49">
        <v>451295000000</v>
      </c>
      <c r="D440" s="50">
        <v>0.68531468603466505</v>
      </c>
      <c r="E440" s="51" t="s">
        <v>111</v>
      </c>
      <c r="F440" s="50">
        <v>0.68531468603466505</v>
      </c>
      <c r="G440" s="51" t="s">
        <v>111</v>
      </c>
      <c r="H440" s="50">
        <v>0.68531468603466505</v>
      </c>
      <c r="I440" s="51" t="s">
        <v>111</v>
      </c>
      <c r="J440" s="50">
        <v>0.68531468603466505</v>
      </c>
      <c r="K440" s="51" t="s">
        <v>111</v>
      </c>
      <c r="L440" s="50">
        <v>0.68531468603466505</v>
      </c>
      <c r="M440" s="51" t="s">
        <v>111</v>
      </c>
    </row>
    <row r="441" spans="1:13" x14ac:dyDescent="0.25">
      <c r="A441" s="8">
        <v>437</v>
      </c>
      <c r="B441" s="24">
        <v>620620043076.25513</v>
      </c>
      <c r="C441" s="24">
        <v>451295000000</v>
      </c>
      <c r="D441" s="25">
        <v>0.68759906832144735</v>
      </c>
      <c r="E441" t="s">
        <v>111</v>
      </c>
      <c r="F441" s="25">
        <v>0.68759906832144735</v>
      </c>
      <c r="G441" t="s">
        <v>111</v>
      </c>
      <c r="H441" s="25">
        <v>0.68759906832144735</v>
      </c>
      <c r="I441" t="s">
        <v>111</v>
      </c>
      <c r="J441" s="25">
        <v>0.68759906832144735</v>
      </c>
      <c r="K441" t="s">
        <v>111</v>
      </c>
      <c r="L441" s="25">
        <v>0.68759906832144735</v>
      </c>
      <c r="M441" t="s">
        <v>111</v>
      </c>
    </row>
    <row r="442" spans="1:13" x14ac:dyDescent="0.25">
      <c r="A442" s="48">
        <v>438</v>
      </c>
      <c r="B442" s="49">
        <v>622688776553.1759</v>
      </c>
      <c r="C442" s="49">
        <v>451295000000</v>
      </c>
      <c r="D442" s="50">
        <v>0.68989106521585208</v>
      </c>
      <c r="E442" s="51" t="s">
        <v>111</v>
      </c>
      <c r="F442" s="50">
        <v>0.68989106521585208</v>
      </c>
      <c r="G442" s="51" t="s">
        <v>111</v>
      </c>
      <c r="H442" s="50">
        <v>0.68989106521585208</v>
      </c>
      <c r="I442" s="51" t="s">
        <v>111</v>
      </c>
      <c r="J442" s="50">
        <v>0.68989106521585208</v>
      </c>
      <c r="K442" s="51" t="s">
        <v>111</v>
      </c>
      <c r="L442" s="50">
        <v>0.68989106521585208</v>
      </c>
      <c r="M442" s="51" t="s">
        <v>111</v>
      </c>
    </row>
    <row r="443" spans="1:13" x14ac:dyDescent="0.25">
      <c r="A443" s="8">
        <v>439</v>
      </c>
      <c r="B443" s="24">
        <v>624764405808.35315</v>
      </c>
      <c r="C443" s="24">
        <v>451295000000</v>
      </c>
      <c r="D443" s="25">
        <v>0.69219070209990485</v>
      </c>
      <c r="E443" t="s">
        <v>111</v>
      </c>
      <c r="F443" s="25">
        <v>0.69219070209990485</v>
      </c>
      <c r="G443" t="s">
        <v>111</v>
      </c>
      <c r="H443" s="25">
        <v>0.69219070209990485</v>
      </c>
      <c r="I443" t="s">
        <v>111</v>
      </c>
      <c r="J443" s="25">
        <v>0.69219070209990485</v>
      </c>
      <c r="K443" t="s">
        <v>111</v>
      </c>
      <c r="L443" s="25">
        <v>0.69219070209990485</v>
      </c>
      <c r="M443" t="s">
        <v>111</v>
      </c>
    </row>
    <row r="444" spans="1:13" x14ac:dyDescent="0.25">
      <c r="A444" s="48">
        <v>440</v>
      </c>
      <c r="B444" s="49">
        <v>626846953827.71448</v>
      </c>
      <c r="C444" s="49">
        <v>451295000000</v>
      </c>
      <c r="D444" s="50">
        <v>0.69449800444023801</v>
      </c>
      <c r="E444" s="51" t="s">
        <v>111</v>
      </c>
      <c r="F444" s="50">
        <v>0.69449800444023801</v>
      </c>
      <c r="G444" s="51" t="s">
        <v>111</v>
      </c>
      <c r="H444" s="50">
        <v>0.69449800444023801</v>
      </c>
      <c r="I444" s="51" t="s">
        <v>111</v>
      </c>
      <c r="J444" s="50">
        <v>0.69449800444023801</v>
      </c>
      <c r="K444" s="51" t="s">
        <v>111</v>
      </c>
      <c r="L444" s="50">
        <v>0.69449800444023801</v>
      </c>
      <c r="M444" s="51" t="s">
        <v>111</v>
      </c>
    </row>
    <row r="445" spans="1:13" x14ac:dyDescent="0.25">
      <c r="A445" s="8">
        <v>441</v>
      </c>
      <c r="B445" s="24">
        <v>628936443673.80688</v>
      </c>
      <c r="C445" s="24">
        <v>451295000000</v>
      </c>
      <c r="D445" s="25">
        <v>0.69681299778837225</v>
      </c>
      <c r="E445" t="s">
        <v>111</v>
      </c>
      <c r="F445" s="25">
        <v>0.69681299778837225</v>
      </c>
      <c r="G445" t="s">
        <v>111</v>
      </c>
      <c r="H445" s="25">
        <v>0.69681299778837225</v>
      </c>
      <c r="I445" t="s">
        <v>111</v>
      </c>
      <c r="J445" s="25">
        <v>0.69681299778837225</v>
      </c>
      <c r="K445" t="s">
        <v>111</v>
      </c>
      <c r="L445" s="25">
        <v>0.69681299778837225</v>
      </c>
      <c r="M445" t="s">
        <v>111</v>
      </c>
    </row>
    <row r="446" spans="1:13" x14ac:dyDescent="0.25">
      <c r="A446" s="48">
        <v>442</v>
      </c>
      <c r="B446" s="49">
        <v>631032898486.05298</v>
      </c>
      <c r="C446" s="49">
        <v>451295000000</v>
      </c>
      <c r="D446" s="50">
        <v>0.6991357077810002</v>
      </c>
      <c r="E446" s="51" t="s">
        <v>111</v>
      </c>
      <c r="F446" s="50">
        <v>0.6991357077810002</v>
      </c>
      <c r="G446" s="51" t="s">
        <v>111</v>
      </c>
      <c r="H446" s="50">
        <v>0.6991357077810002</v>
      </c>
      <c r="I446" s="51" t="s">
        <v>111</v>
      </c>
      <c r="J446" s="50">
        <v>0.6991357077810002</v>
      </c>
      <c r="K446" s="51" t="s">
        <v>111</v>
      </c>
      <c r="L446" s="50">
        <v>0.6991357077810002</v>
      </c>
      <c r="M446" s="51" t="s">
        <v>111</v>
      </c>
    </row>
    <row r="447" spans="1:13" x14ac:dyDescent="0.25">
      <c r="A447" s="8">
        <v>443</v>
      </c>
      <c r="B447" s="24">
        <v>633136341481.00647</v>
      </c>
      <c r="C447" s="24">
        <v>451295000000</v>
      </c>
      <c r="D447" s="25">
        <v>0.70146616014027019</v>
      </c>
      <c r="E447" t="s">
        <v>111</v>
      </c>
      <c r="F447" s="25">
        <v>0.70146616014027019</v>
      </c>
      <c r="G447" t="s">
        <v>111</v>
      </c>
      <c r="H447" s="25">
        <v>0.70146616014027019</v>
      </c>
      <c r="I447" t="s">
        <v>111</v>
      </c>
      <c r="J447" s="25">
        <v>0.70146616014027019</v>
      </c>
      <c r="K447" t="s">
        <v>111</v>
      </c>
      <c r="L447" s="25">
        <v>0.70146616014027019</v>
      </c>
      <c r="M447" t="s">
        <v>111</v>
      </c>
    </row>
    <row r="448" spans="1:13" x14ac:dyDescent="0.25">
      <c r="A448" s="48">
        <v>444</v>
      </c>
      <c r="B448" s="49">
        <v>635246795952.60999</v>
      </c>
      <c r="C448" s="49">
        <v>451295000000</v>
      </c>
      <c r="D448" s="50">
        <v>0.70380438067407125</v>
      </c>
      <c r="E448" s="51" t="s">
        <v>111</v>
      </c>
      <c r="F448" s="50">
        <v>0.70380438067407125</v>
      </c>
      <c r="G448" s="51" t="s">
        <v>111</v>
      </c>
      <c r="H448" s="50">
        <v>0.70380438067407125</v>
      </c>
      <c r="I448" s="51" t="s">
        <v>111</v>
      </c>
      <c r="J448" s="50">
        <v>0.70380438067407125</v>
      </c>
      <c r="K448" s="51" t="s">
        <v>111</v>
      </c>
      <c r="L448" s="50">
        <v>0.70380438067407125</v>
      </c>
      <c r="M448" s="51" t="s">
        <v>111</v>
      </c>
    </row>
    <row r="449" spans="1:13" x14ac:dyDescent="0.25">
      <c r="A449" s="8">
        <v>445</v>
      </c>
      <c r="B449" s="24">
        <v>637364285272.45203</v>
      </c>
      <c r="C449" s="24">
        <v>451295000000</v>
      </c>
      <c r="D449" s="25">
        <v>0.70615039527631818</v>
      </c>
      <c r="E449" t="s">
        <v>111</v>
      </c>
      <c r="F449" s="25">
        <v>0.70615039527631818</v>
      </c>
      <c r="G449" t="s">
        <v>111</v>
      </c>
      <c r="H449" s="25">
        <v>0.70615039527631818</v>
      </c>
      <c r="I449" t="s">
        <v>111</v>
      </c>
      <c r="J449" s="25">
        <v>0.70615039527631818</v>
      </c>
      <c r="K449" t="s">
        <v>111</v>
      </c>
      <c r="L449" s="25">
        <v>0.70615039527631818</v>
      </c>
      <c r="M449" t="s">
        <v>111</v>
      </c>
    </row>
    <row r="450" spans="1:13" x14ac:dyDescent="0.25">
      <c r="A450" s="48">
        <v>446</v>
      </c>
      <c r="B450" s="49">
        <v>639488832890.02686</v>
      </c>
      <c r="C450" s="49">
        <v>451295000000</v>
      </c>
      <c r="D450" s="50">
        <v>0.70850422992723927</v>
      </c>
      <c r="E450" s="51" t="s">
        <v>111</v>
      </c>
      <c r="F450" s="50">
        <v>0.70850422992723927</v>
      </c>
      <c r="G450" s="51" t="s">
        <v>111</v>
      </c>
      <c r="H450" s="50">
        <v>0.70850422992723927</v>
      </c>
      <c r="I450" s="51" t="s">
        <v>111</v>
      </c>
      <c r="J450" s="50">
        <v>0.70850422992723927</v>
      </c>
      <c r="K450" s="51" t="s">
        <v>111</v>
      </c>
      <c r="L450" s="50">
        <v>0.70850422992723927</v>
      </c>
      <c r="M450" s="51" t="s">
        <v>111</v>
      </c>
    </row>
    <row r="451" spans="1:13" x14ac:dyDescent="0.25">
      <c r="A451" s="8">
        <v>447</v>
      </c>
      <c r="B451" s="24">
        <v>641620462332.99365</v>
      </c>
      <c r="C451" s="24">
        <v>451295000000</v>
      </c>
      <c r="D451" s="25">
        <v>0.71086591069366345</v>
      </c>
      <c r="E451" t="s">
        <v>111</v>
      </c>
      <c r="F451" s="25">
        <v>0.71086591069366345</v>
      </c>
      <c r="G451" t="s">
        <v>111</v>
      </c>
      <c r="H451" s="25">
        <v>0.71086591069366345</v>
      </c>
      <c r="I451" t="s">
        <v>111</v>
      </c>
      <c r="J451" s="25">
        <v>0.71086591069366345</v>
      </c>
      <c r="K451" t="s">
        <v>111</v>
      </c>
      <c r="L451" s="25">
        <v>0.71086591069366345</v>
      </c>
      <c r="M451" t="s">
        <v>111</v>
      </c>
    </row>
    <row r="452" spans="1:13" x14ac:dyDescent="0.25">
      <c r="A452" s="48">
        <v>448</v>
      </c>
      <c r="B452" s="49">
        <v>643759197207.43701</v>
      </c>
      <c r="C452" s="49">
        <v>451295000000</v>
      </c>
      <c r="D452" s="50">
        <v>0.71323546372930902</v>
      </c>
      <c r="E452" s="51" t="s">
        <v>111</v>
      </c>
      <c r="F452" s="50">
        <v>0.71323546372930902</v>
      </c>
      <c r="G452" s="51" t="s">
        <v>111</v>
      </c>
      <c r="H452" s="50">
        <v>0.71323546372930902</v>
      </c>
      <c r="I452" s="51" t="s">
        <v>111</v>
      </c>
      <c r="J452" s="50">
        <v>0.71323546372930902</v>
      </c>
      <c r="K452" s="51" t="s">
        <v>111</v>
      </c>
      <c r="L452" s="50">
        <v>0.71323546372930902</v>
      </c>
      <c r="M452" s="51" t="s">
        <v>111</v>
      </c>
    </row>
    <row r="453" spans="1:13" x14ac:dyDescent="0.25">
      <c r="A453" s="8">
        <v>449</v>
      </c>
      <c r="B453" s="24">
        <v>645905061198.12866</v>
      </c>
      <c r="C453" s="24">
        <v>451295000000</v>
      </c>
      <c r="D453" s="25">
        <v>0.71561291527507354</v>
      </c>
      <c r="E453" t="s">
        <v>111</v>
      </c>
      <c r="F453" s="25">
        <v>0.71561291527507354</v>
      </c>
      <c r="G453" t="s">
        <v>111</v>
      </c>
      <c r="H453" s="25">
        <v>0.71561291527507354</v>
      </c>
      <c r="I453" t="s">
        <v>111</v>
      </c>
      <c r="J453" s="25">
        <v>0.71561291527507354</v>
      </c>
      <c r="K453" t="s">
        <v>111</v>
      </c>
      <c r="L453" s="25">
        <v>0.71561291527507354</v>
      </c>
      <c r="M453" t="s">
        <v>111</v>
      </c>
    </row>
    <row r="454" spans="1:13" x14ac:dyDescent="0.25">
      <c r="A454" s="48">
        <v>450</v>
      </c>
      <c r="B454" s="49">
        <v>648058078068.78894</v>
      </c>
      <c r="C454" s="49">
        <v>451295000000</v>
      </c>
      <c r="D454" s="50">
        <v>0.71799829165932361</v>
      </c>
      <c r="E454" s="51" t="s">
        <v>111</v>
      </c>
      <c r="F454" s="50">
        <v>0.71799829165932361</v>
      </c>
      <c r="G454" s="51" t="s">
        <v>111</v>
      </c>
      <c r="H454" s="50">
        <v>0.71799829165932361</v>
      </c>
      <c r="I454" s="51" t="s">
        <v>111</v>
      </c>
      <c r="J454" s="50">
        <v>0.71799829165932361</v>
      </c>
      <c r="K454" s="51" t="s">
        <v>111</v>
      </c>
      <c r="L454" s="50">
        <v>0.71799829165932361</v>
      </c>
      <c r="M454" s="51" t="s">
        <v>111</v>
      </c>
    </row>
    <row r="455" spans="1:13" x14ac:dyDescent="0.25">
      <c r="A455" s="8">
        <v>451</v>
      </c>
      <c r="B455" s="24">
        <v>650218271662.35168</v>
      </c>
      <c r="C455" s="24">
        <v>451295000000</v>
      </c>
      <c r="D455" s="25">
        <v>0.72039161929818818</v>
      </c>
      <c r="E455" t="s">
        <v>111</v>
      </c>
      <c r="F455" s="25">
        <v>0.72039161929818818</v>
      </c>
      <c r="G455" t="s">
        <v>111</v>
      </c>
      <c r="H455" s="25">
        <v>0.72039161929818818</v>
      </c>
      <c r="I455" t="s">
        <v>111</v>
      </c>
      <c r="J455" s="25">
        <v>0.72039161929818818</v>
      </c>
      <c r="K455" t="s">
        <v>111</v>
      </c>
      <c r="L455" s="25">
        <v>0.72039161929818818</v>
      </c>
      <c r="M455" t="s">
        <v>111</v>
      </c>
    </row>
    <row r="456" spans="1:13" x14ac:dyDescent="0.25">
      <c r="A456" s="48">
        <v>452</v>
      </c>
      <c r="B456" s="49">
        <v>652385665901.22632</v>
      </c>
      <c r="C456" s="49">
        <v>451295000000</v>
      </c>
      <c r="D456" s="50">
        <v>0.72279292469584899</v>
      </c>
      <c r="E456" s="51" t="s">
        <v>111</v>
      </c>
      <c r="F456" s="50">
        <v>0.72279292469584899</v>
      </c>
      <c r="G456" s="51" t="s">
        <v>111</v>
      </c>
      <c r="H456" s="50">
        <v>0.72279292469584899</v>
      </c>
      <c r="I456" s="51" t="s">
        <v>111</v>
      </c>
      <c r="J456" s="50">
        <v>0.72279292469584899</v>
      </c>
      <c r="K456" s="51" t="s">
        <v>111</v>
      </c>
      <c r="L456" s="50">
        <v>0.72279292469584899</v>
      </c>
      <c r="M456" s="51" t="s">
        <v>111</v>
      </c>
    </row>
    <row r="457" spans="1:13" x14ac:dyDescent="0.25">
      <c r="A457" s="8">
        <v>453</v>
      </c>
      <c r="B457" s="24">
        <v>654560284787.56372</v>
      </c>
      <c r="C457" s="24">
        <v>451295000000</v>
      </c>
      <c r="D457" s="25">
        <v>0.72520223444483511</v>
      </c>
      <c r="E457" t="s">
        <v>111</v>
      </c>
      <c r="F457" s="25">
        <v>0.72520223444483511</v>
      </c>
      <c r="G457" t="s">
        <v>111</v>
      </c>
      <c r="H457" s="25">
        <v>0.72520223444483511</v>
      </c>
      <c r="I457" t="s">
        <v>111</v>
      </c>
      <c r="J457" s="25">
        <v>0.72520223444483511</v>
      </c>
      <c r="K457" t="s">
        <v>111</v>
      </c>
      <c r="L457" s="25">
        <v>0.72520223444483511</v>
      </c>
      <c r="M457" t="s">
        <v>111</v>
      </c>
    </row>
    <row r="458" spans="1:13" x14ac:dyDescent="0.25">
      <c r="A458" s="48">
        <v>454</v>
      </c>
      <c r="B458" s="49">
        <v>656742152403.52234</v>
      </c>
      <c r="C458" s="49">
        <v>451295000000</v>
      </c>
      <c r="D458" s="50">
        <v>0.72761957522631793</v>
      </c>
      <c r="E458" s="51" t="s">
        <v>111</v>
      </c>
      <c r="F458" s="50">
        <v>0.72761957522631793</v>
      </c>
      <c r="G458" s="51" t="s">
        <v>111</v>
      </c>
      <c r="H458" s="50">
        <v>0.72761957522631793</v>
      </c>
      <c r="I458" s="51" t="s">
        <v>111</v>
      </c>
      <c r="J458" s="50">
        <v>0.72761957522631793</v>
      </c>
      <c r="K458" s="51" t="s">
        <v>111</v>
      </c>
      <c r="L458" s="50">
        <v>0.72761957522631793</v>
      </c>
      <c r="M458" s="51" t="s">
        <v>111</v>
      </c>
    </row>
    <row r="459" spans="1:13" x14ac:dyDescent="0.25">
      <c r="A459" s="8">
        <v>455</v>
      </c>
      <c r="B459" s="24">
        <v>658931292911.53418</v>
      </c>
      <c r="C459" s="24">
        <v>451295000000</v>
      </c>
      <c r="D459" s="25">
        <v>0.73004497381040578</v>
      </c>
      <c r="E459" t="s">
        <v>111</v>
      </c>
      <c r="F459" s="25">
        <v>0.73004497381040578</v>
      </c>
      <c r="G459" t="s">
        <v>111</v>
      </c>
      <c r="H459" s="25">
        <v>0.73004497381040578</v>
      </c>
      <c r="I459" t="s">
        <v>111</v>
      </c>
      <c r="J459" s="25">
        <v>0.73004497381040578</v>
      </c>
      <c r="K459" t="s">
        <v>111</v>
      </c>
      <c r="L459" s="25">
        <v>0.73004497381040578</v>
      </c>
      <c r="M459" t="s">
        <v>111</v>
      </c>
    </row>
    <row r="460" spans="1:13" x14ac:dyDescent="0.25">
      <c r="A460" s="48">
        <v>456</v>
      </c>
      <c r="B460" s="49">
        <v>661127730554.57263</v>
      </c>
      <c r="C460" s="49">
        <v>451295000000</v>
      </c>
      <c r="D460" s="50">
        <v>0.73247845705644055</v>
      </c>
      <c r="E460" s="51" t="s">
        <v>111</v>
      </c>
      <c r="F460" s="50">
        <v>0.73247845705644055</v>
      </c>
      <c r="G460" s="51" t="s">
        <v>111</v>
      </c>
      <c r="H460" s="50">
        <v>0.73247845705644055</v>
      </c>
      <c r="I460" s="51" t="s">
        <v>111</v>
      </c>
      <c r="J460" s="50">
        <v>0.73247845705644055</v>
      </c>
      <c r="K460" s="51" t="s">
        <v>111</v>
      </c>
      <c r="L460" s="50">
        <v>0.73247845705644055</v>
      </c>
      <c r="M460" s="51" t="s">
        <v>111</v>
      </c>
    </row>
    <row r="461" spans="1:13" x14ac:dyDescent="0.25">
      <c r="A461" s="8">
        <v>457</v>
      </c>
      <c r="B461" s="24">
        <v>663331489656.42126</v>
      </c>
      <c r="C461" s="24">
        <v>451295000000</v>
      </c>
      <c r="D461" s="25">
        <v>0.73492005191329535</v>
      </c>
      <c r="E461" t="s">
        <v>111</v>
      </c>
      <c r="F461" s="25">
        <v>0.73492005191329535</v>
      </c>
      <c r="G461" t="s">
        <v>111</v>
      </c>
      <c r="H461" s="25">
        <v>0.73492005191329535</v>
      </c>
      <c r="I461" t="s">
        <v>111</v>
      </c>
      <c r="J461" s="25">
        <v>0.73492005191329535</v>
      </c>
      <c r="K461" t="s">
        <v>111</v>
      </c>
      <c r="L461" s="25">
        <v>0.73492005191329535</v>
      </c>
      <c r="M461" t="s">
        <v>111</v>
      </c>
    </row>
    <row r="462" spans="1:13" x14ac:dyDescent="0.25">
      <c r="A462" s="48">
        <v>458</v>
      </c>
      <c r="B462" s="49">
        <v>665542594621.94275</v>
      </c>
      <c r="C462" s="49">
        <v>451295000000</v>
      </c>
      <c r="D462" s="50">
        <v>0.73736978541967313</v>
      </c>
      <c r="E462" s="51" t="s">
        <v>111</v>
      </c>
      <c r="F462" s="50">
        <v>0.73736978541967313</v>
      </c>
      <c r="G462" s="51" t="s">
        <v>111</v>
      </c>
      <c r="H462" s="50">
        <v>0.73736978541967313</v>
      </c>
      <c r="I462" s="51" t="s">
        <v>111</v>
      </c>
      <c r="J462" s="50">
        <v>0.73736978541967313</v>
      </c>
      <c r="K462" s="51" t="s">
        <v>111</v>
      </c>
      <c r="L462" s="50">
        <v>0.73736978541967313</v>
      </c>
      <c r="M462" s="51" t="s">
        <v>111</v>
      </c>
    </row>
    <row r="463" spans="1:13" x14ac:dyDescent="0.25">
      <c r="A463" s="8">
        <v>459</v>
      </c>
      <c r="B463" s="24">
        <v>667761069937.34924</v>
      </c>
      <c r="C463" s="24">
        <v>451295000000</v>
      </c>
      <c r="D463" s="25">
        <v>0.73982768470440541</v>
      </c>
      <c r="E463" t="s">
        <v>111</v>
      </c>
      <c r="F463" s="25">
        <v>0.73982768470440541</v>
      </c>
      <c r="G463" t="s">
        <v>111</v>
      </c>
      <c r="H463" s="25">
        <v>0.73982768470440541</v>
      </c>
      <c r="I463" t="s">
        <v>111</v>
      </c>
      <c r="J463" s="25">
        <v>0.73982768470440541</v>
      </c>
      <c r="K463" t="s">
        <v>111</v>
      </c>
      <c r="L463" s="25">
        <v>0.73982768470440541</v>
      </c>
      <c r="M463" t="s">
        <v>111</v>
      </c>
    </row>
    <row r="464" spans="1:13" x14ac:dyDescent="0.25">
      <c r="A464" s="48">
        <v>460</v>
      </c>
      <c r="B464" s="49">
        <v>669986940170.47388</v>
      </c>
      <c r="C464" s="49">
        <v>451295000000</v>
      </c>
      <c r="D464" s="50">
        <v>0.74229377698675358</v>
      </c>
      <c r="E464" s="51" t="s">
        <v>111</v>
      </c>
      <c r="F464" s="50">
        <v>0.74229377698675358</v>
      </c>
      <c r="G464" s="51" t="s">
        <v>111</v>
      </c>
      <c r="H464" s="50">
        <v>0.74229377698675358</v>
      </c>
      <c r="I464" s="51" t="s">
        <v>111</v>
      </c>
      <c r="J464" s="50">
        <v>0.74229377698675358</v>
      </c>
      <c r="K464" s="51" t="s">
        <v>111</v>
      </c>
      <c r="L464" s="50">
        <v>0.74229377698675358</v>
      </c>
      <c r="M464" s="51" t="s">
        <v>111</v>
      </c>
    </row>
    <row r="465" spans="1:13" x14ac:dyDescent="0.25">
      <c r="A465" s="8">
        <v>461</v>
      </c>
      <c r="B465" s="24">
        <v>672220229971.04211</v>
      </c>
      <c r="C465" s="24">
        <v>451295000000</v>
      </c>
      <c r="D465" s="25">
        <v>0.74476808957670937</v>
      </c>
      <c r="E465" t="s">
        <v>111</v>
      </c>
      <c r="F465" s="25">
        <v>0.74476808957670937</v>
      </c>
      <c r="G465" t="s">
        <v>111</v>
      </c>
      <c r="H465" s="25">
        <v>0.74476808957670937</v>
      </c>
      <c r="I465" t="s">
        <v>111</v>
      </c>
      <c r="J465" s="25">
        <v>0.74476808957670937</v>
      </c>
      <c r="K465" t="s">
        <v>111</v>
      </c>
      <c r="L465" s="25">
        <v>0.74476808957670937</v>
      </c>
      <c r="M465" t="s">
        <v>111</v>
      </c>
    </row>
    <row r="466" spans="1:13" x14ac:dyDescent="0.25">
      <c r="A466" s="48">
        <v>462</v>
      </c>
      <c r="B466" s="49">
        <v>674460964070.94568</v>
      </c>
      <c r="C466" s="49">
        <v>451295000000</v>
      </c>
      <c r="D466" s="50">
        <v>0.74725064987529854</v>
      </c>
      <c r="E466" s="51" t="s">
        <v>111</v>
      </c>
      <c r="F466" s="50">
        <v>0.74725064987529854</v>
      </c>
      <c r="G466" s="51" t="s">
        <v>111</v>
      </c>
      <c r="H466" s="50">
        <v>0.74725064987529854</v>
      </c>
      <c r="I466" s="51" t="s">
        <v>111</v>
      </c>
      <c r="J466" s="50">
        <v>0.74725064987529854</v>
      </c>
      <c r="K466" s="51" t="s">
        <v>111</v>
      </c>
      <c r="L466" s="50">
        <v>0.74725064987529854</v>
      </c>
      <c r="M466" s="51" t="s">
        <v>111</v>
      </c>
    </row>
    <row r="467" spans="1:13" x14ac:dyDescent="0.25">
      <c r="A467" s="8">
        <v>463</v>
      </c>
      <c r="B467" s="24">
        <v>676709167284.51538</v>
      </c>
      <c r="C467" s="24">
        <v>451295000000</v>
      </c>
      <c r="D467" s="25">
        <v>0.74974148537488272</v>
      </c>
      <c r="E467" t="s">
        <v>111</v>
      </c>
      <c r="F467" s="25">
        <v>0.74974148537488272</v>
      </c>
      <c r="G467" t="s">
        <v>111</v>
      </c>
      <c r="H467" s="25">
        <v>0.74974148537488272</v>
      </c>
      <c r="I467" t="s">
        <v>111</v>
      </c>
      <c r="J467" s="25">
        <v>0.74974148537488272</v>
      </c>
      <c r="K467" t="s">
        <v>111</v>
      </c>
      <c r="L467" s="25">
        <v>0.74974148537488272</v>
      </c>
      <c r="M467" t="s">
        <v>111</v>
      </c>
    </row>
    <row r="468" spans="1:13" x14ac:dyDescent="0.25">
      <c r="A468" s="48">
        <v>464</v>
      </c>
      <c r="B468" s="49">
        <v>678964864508.79724</v>
      </c>
      <c r="C468" s="49">
        <v>451295000000</v>
      </c>
      <c r="D468" s="50">
        <v>0.75224062365946576</v>
      </c>
      <c r="E468" s="51" t="s">
        <v>111</v>
      </c>
      <c r="F468" s="50">
        <v>0.75224062365946576</v>
      </c>
      <c r="G468" s="51" t="s">
        <v>111</v>
      </c>
      <c r="H468" s="50">
        <v>0.75224062365946576</v>
      </c>
      <c r="I468" s="51" t="s">
        <v>111</v>
      </c>
      <c r="J468" s="50">
        <v>0.75224062365946576</v>
      </c>
      <c r="K468" s="51" t="s">
        <v>111</v>
      </c>
      <c r="L468" s="52">
        <v>0.75224062365946576</v>
      </c>
      <c r="M468" s="53" t="s">
        <v>112</v>
      </c>
    </row>
    <row r="469" spans="1:13" x14ac:dyDescent="0.25">
      <c r="A469" s="8">
        <v>465</v>
      </c>
      <c r="B469" s="24">
        <v>681228080723.82666</v>
      </c>
      <c r="C469" s="24">
        <v>451295000000</v>
      </c>
      <c r="D469" s="25">
        <v>0.75474809240499752</v>
      </c>
      <c r="E469" t="s">
        <v>111</v>
      </c>
      <c r="F469" s="25">
        <v>0.75474809240499752</v>
      </c>
      <c r="G469" t="s">
        <v>111</v>
      </c>
      <c r="H469" s="25">
        <v>0.75474809240499752</v>
      </c>
      <c r="I469" t="s">
        <v>111</v>
      </c>
      <c r="J469" s="25">
        <v>0.75474809240499752</v>
      </c>
      <c r="K469" t="s">
        <v>111</v>
      </c>
    </row>
    <row r="470" spans="1:13" x14ac:dyDescent="0.25">
      <c r="A470" s="48">
        <v>466</v>
      </c>
      <c r="B470" s="49">
        <v>683498840992.90613</v>
      </c>
      <c r="C470" s="49">
        <v>451295000000</v>
      </c>
      <c r="D470" s="50">
        <v>0.75726391937968085</v>
      </c>
      <c r="E470" s="51" t="s">
        <v>111</v>
      </c>
      <c r="F470" s="50">
        <v>0.75726391937968085</v>
      </c>
      <c r="G470" s="51" t="s">
        <v>111</v>
      </c>
      <c r="H470" s="50">
        <v>0.75726391937968085</v>
      </c>
      <c r="I470" s="51" t="s">
        <v>111</v>
      </c>
      <c r="J470" s="50">
        <v>0.75726391937968085</v>
      </c>
      <c r="K470" s="51" t="s">
        <v>111</v>
      </c>
    </row>
    <row r="471" spans="1:13" x14ac:dyDescent="0.25">
      <c r="A471" s="8">
        <v>467</v>
      </c>
      <c r="B471" s="24">
        <v>685777170462.88257</v>
      </c>
      <c r="C471" s="24">
        <v>451295000000</v>
      </c>
      <c r="D471" s="25">
        <v>0.7597881324442799</v>
      </c>
      <c r="E471" t="s">
        <v>111</v>
      </c>
      <c r="F471" s="25">
        <v>0.7597881324442799</v>
      </c>
      <c r="G471" t="s">
        <v>111</v>
      </c>
      <c r="H471" s="25">
        <v>0.7597881324442799</v>
      </c>
      <c r="I471" t="s">
        <v>111</v>
      </c>
      <c r="J471" s="25">
        <v>0.7597881324442799</v>
      </c>
      <c r="K471" t="s">
        <v>111</v>
      </c>
    </row>
    <row r="472" spans="1:13" x14ac:dyDescent="0.25">
      <c r="A472" s="48">
        <v>468</v>
      </c>
      <c r="B472" s="49">
        <v>688063094364.42554</v>
      </c>
      <c r="C472" s="49">
        <v>451295000000</v>
      </c>
      <c r="D472" s="50">
        <v>0.76232075955242751</v>
      </c>
      <c r="E472" s="51" t="s">
        <v>111</v>
      </c>
      <c r="F472" s="50">
        <v>0.76232075955242751</v>
      </c>
      <c r="G472" s="51" t="s">
        <v>111</v>
      </c>
      <c r="H472" s="50">
        <v>0.76232075955242751</v>
      </c>
      <c r="I472" s="51" t="s">
        <v>111</v>
      </c>
      <c r="J472" s="50">
        <v>0.76232075955242751</v>
      </c>
      <c r="K472" s="51" t="s">
        <v>111</v>
      </c>
    </row>
    <row r="473" spans="1:13" x14ac:dyDescent="0.25">
      <c r="A473" s="8">
        <v>469</v>
      </c>
      <c r="B473" s="24">
        <v>690356638012.30701</v>
      </c>
      <c r="C473" s="24">
        <v>451295000000</v>
      </c>
      <c r="D473" s="25">
        <v>0.76486182875093567</v>
      </c>
      <c r="E473" t="s">
        <v>111</v>
      </c>
      <c r="F473" s="25">
        <v>0.76486182875093567</v>
      </c>
      <c r="G473" t="s">
        <v>111</v>
      </c>
      <c r="H473" s="25">
        <v>0.76486182875093567</v>
      </c>
      <c r="I473" t="s">
        <v>111</v>
      </c>
      <c r="J473" s="25">
        <v>0.76486182875093567</v>
      </c>
      <c r="K473" t="s">
        <v>111</v>
      </c>
    </row>
    <row r="474" spans="1:13" x14ac:dyDescent="0.25">
      <c r="A474" s="48">
        <v>470</v>
      </c>
      <c r="B474" s="49">
        <v>692657826805.6814</v>
      </c>
      <c r="C474" s="49">
        <v>451295000000</v>
      </c>
      <c r="D474" s="50">
        <v>0.76741136818010547</v>
      </c>
      <c r="E474" s="51" t="s">
        <v>111</v>
      </c>
      <c r="F474" s="50">
        <v>0.76741136818010547</v>
      </c>
      <c r="G474" s="51" t="s">
        <v>111</v>
      </c>
      <c r="H474" s="50">
        <v>0.76741136818010547</v>
      </c>
      <c r="I474" s="51" t="s">
        <v>111</v>
      </c>
      <c r="J474" s="50">
        <v>0.76741136818010547</v>
      </c>
      <c r="K474" s="51" t="s">
        <v>111</v>
      </c>
    </row>
    <row r="475" spans="1:13" x14ac:dyDescent="0.25">
      <c r="A475" s="8">
        <v>471</v>
      </c>
      <c r="B475" s="24">
        <v>694966686228.36707</v>
      </c>
      <c r="C475" s="24">
        <v>451295000000</v>
      </c>
      <c r="D475" s="25">
        <v>0.76996940607403919</v>
      </c>
      <c r="E475" t="s">
        <v>111</v>
      </c>
      <c r="F475" s="25">
        <v>0.76996940607403919</v>
      </c>
      <c r="G475" t="s">
        <v>111</v>
      </c>
      <c r="H475" s="25">
        <v>0.76996940607403919</v>
      </c>
      <c r="I475" t="s">
        <v>111</v>
      </c>
      <c r="J475" s="25">
        <v>0.76996940607403919</v>
      </c>
      <c r="K475" t="s">
        <v>111</v>
      </c>
    </row>
    <row r="476" spans="1:13" x14ac:dyDescent="0.25">
      <c r="A476" s="48">
        <v>472</v>
      </c>
      <c r="B476" s="49">
        <v>697283241849.12842</v>
      </c>
      <c r="C476" s="49">
        <v>451295000000</v>
      </c>
      <c r="D476" s="50">
        <v>0.77253597076095282</v>
      </c>
      <c r="E476" s="51" t="s">
        <v>111</v>
      </c>
      <c r="F476" s="50">
        <v>0.77253597076095282</v>
      </c>
      <c r="G476" s="51" t="s">
        <v>111</v>
      </c>
      <c r="H476" s="50">
        <v>0.77253597076095282</v>
      </c>
      <c r="I476" s="51" t="s">
        <v>111</v>
      </c>
      <c r="J476" s="50">
        <v>0.77253597076095282</v>
      </c>
      <c r="K476" s="51" t="s">
        <v>111</v>
      </c>
    </row>
    <row r="477" spans="1:13" x14ac:dyDescent="0.25">
      <c r="A477" s="8">
        <v>473</v>
      </c>
      <c r="B477" s="24">
        <v>699607519321.95874</v>
      </c>
      <c r="C477" s="24">
        <v>451295000000</v>
      </c>
      <c r="D477" s="25">
        <v>0.77511109066348927</v>
      </c>
      <c r="E477" t="s">
        <v>111</v>
      </c>
      <c r="F477" s="25">
        <v>0.77511109066348927</v>
      </c>
      <c r="G477" t="s">
        <v>111</v>
      </c>
      <c r="H477" s="25">
        <v>0.77511109066348927</v>
      </c>
      <c r="I477" t="s">
        <v>111</v>
      </c>
      <c r="J477" s="25">
        <v>0.77511109066348927</v>
      </c>
      <c r="K477" t="s">
        <v>111</v>
      </c>
    </row>
    <row r="478" spans="1:13" x14ac:dyDescent="0.25">
      <c r="A478" s="48">
        <v>474</v>
      </c>
      <c r="B478" s="49">
        <v>701939544386.36548</v>
      </c>
      <c r="C478" s="49">
        <v>451295000000</v>
      </c>
      <c r="D478" s="50">
        <v>0.77769479429903443</v>
      </c>
      <c r="E478" s="51" t="s">
        <v>111</v>
      </c>
      <c r="F478" s="50">
        <v>0.77769479429903443</v>
      </c>
      <c r="G478" s="51" t="s">
        <v>111</v>
      </c>
      <c r="H478" s="50">
        <v>0.77769479429903443</v>
      </c>
      <c r="I478" s="51" t="s">
        <v>111</v>
      </c>
      <c r="J478" s="50">
        <v>0.77769479429903443</v>
      </c>
      <c r="K478" s="51" t="s">
        <v>111</v>
      </c>
    </row>
    <row r="479" spans="1:13" x14ac:dyDescent="0.25">
      <c r="A479" s="8">
        <v>475</v>
      </c>
      <c r="B479" s="24">
        <v>704279342867.65332</v>
      </c>
      <c r="C479" s="24">
        <v>451295000000</v>
      </c>
      <c r="D479" s="25">
        <v>0.78028711028003117</v>
      </c>
      <c r="E479" t="s">
        <v>111</v>
      </c>
      <c r="F479" s="25">
        <v>0.78028711028003117</v>
      </c>
      <c r="G479" t="s">
        <v>111</v>
      </c>
      <c r="H479" s="25">
        <v>0.78028711028003117</v>
      </c>
      <c r="I479" t="s">
        <v>111</v>
      </c>
      <c r="J479" s="25">
        <v>0.78028711028003117</v>
      </c>
      <c r="K479" t="s">
        <v>111</v>
      </c>
    </row>
    <row r="480" spans="1:13" x14ac:dyDescent="0.25">
      <c r="A480" s="48">
        <v>476</v>
      </c>
      <c r="B480" s="49">
        <v>706626940677.21228</v>
      </c>
      <c r="C480" s="49">
        <v>451295000000</v>
      </c>
      <c r="D480" s="50">
        <v>0.78288806731429805</v>
      </c>
      <c r="E480" s="51" t="s">
        <v>111</v>
      </c>
      <c r="F480" s="50">
        <v>0.78288806731429805</v>
      </c>
      <c r="G480" s="51" t="s">
        <v>111</v>
      </c>
      <c r="H480" s="50">
        <v>0.78288806731429805</v>
      </c>
      <c r="I480" s="51" t="s">
        <v>111</v>
      </c>
      <c r="J480" s="50">
        <v>0.78288806731429805</v>
      </c>
      <c r="K480" s="51" t="s">
        <v>111</v>
      </c>
    </row>
    <row r="481" spans="1:11" x14ac:dyDescent="0.25">
      <c r="A481" s="8">
        <v>477</v>
      </c>
      <c r="B481" s="24">
        <v>708982363812.8031</v>
      </c>
      <c r="C481" s="24">
        <v>451295000000</v>
      </c>
      <c r="D481" s="25">
        <v>0.78549769420534588</v>
      </c>
      <c r="E481" t="s">
        <v>111</v>
      </c>
      <c r="F481" s="25">
        <v>0.78549769420534588</v>
      </c>
      <c r="G481" t="s">
        <v>111</v>
      </c>
      <c r="H481" s="25">
        <v>0.78549769420534588</v>
      </c>
      <c r="I481" t="s">
        <v>111</v>
      </c>
      <c r="J481" s="25">
        <v>0.78549769420534588</v>
      </c>
      <c r="K481" t="s">
        <v>111</v>
      </c>
    </row>
    <row r="482" spans="1:11" x14ac:dyDescent="0.25">
      <c r="A482" s="48">
        <v>478</v>
      </c>
      <c r="B482" s="49">
        <v>711345638358.8457</v>
      </c>
      <c r="C482" s="49">
        <v>451295000000</v>
      </c>
      <c r="D482" s="50">
        <v>0.78811601985269686</v>
      </c>
      <c r="E482" s="51" t="s">
        <v>111</v>
      </c>
      <c r="F482" s="50">
        <v>0.78811601985269686</v>
      </c>
      <c r="G482" s="51" t="s">
        <v>111</v>
      </c>
      <c r="H482" s="50">
        <v>0.78811601985269686</v>
      </c>
      <c r="I482" s="51" t="s">
        <v>111</v>
      </c>
      <c r="J482" s="50">
        <v>0.78811601985269686</v>
      </c>
      <c r="K482" s="51" t="s">
        <v>111</v>
      </c>
    </row>
    <row r="483" spans="1:11" x14ac:dyDescent="0.25">
      <c r="A483" s="8">
        <v>479</v>
      </c>
      <c r="B483" s="24">
        <v>713716790486.70862</v>
      </c>
      <c r="C483" s="24">
        <v>451295000000</v>
      </c>
      <c r="D483" s="25">
        <v>0.79074307325220605</v>
      </c>
      <c r="E483" t="s">
        <v>111</v>
      </c>
      <c r="F483" s="25">
        <v>0.79074307325220605</v>
      </c>
      <c r="G483" t="s">
        <v>111</v>
      </c>
      <c r="H483" s="25">
        <v>0.79074307325220605</v>
      </c>
      <c r="I483" t="s">
        <v>111</v>
      </c>
      <c r="J483" s="25">
        <v>0.79074307325220605</v>
      </c>
      <c r="K483" t="s">
        <v>111</v>
      </c>
    </row>
    <row r="484" spans="1:11" x14ac:dyDescent="0.25">
      <c r="A484" s="48">
        <v>480</v>
      </c>
      <c r="B484" s="49">
        <v>716095846454.99768</v>
      </c>
      <c r="C484" s="49">
        <v>451295000000</v>
      </c>
      <c r="D484" s="50">
        <v>0.79337888349638008</v>
      </c>
      <c r="E484" s="51" t="s">
        <v>111</v>
      </c>
      <c r="F484" s="50">
        <v>0.79337888349638008</v>
      </c>
      <c r="G484" s="51" t="s">
        <v>111</v>
      </c>
      <c r="H484" s="50">
        <v>0.79337888349638008</v>
      </c>
      <c r="I484" s="51" t="s">
        <v>111</v>
      </c>
      <c r="J484" s="52">
        <v>0.79337888349638008</v>
      </c>
      <c r="K484" s="53" t="s">
        <v>112</v>
      </c>
    </row>
    <row r="485" spans="1:11" x14ac:dyDescent="0.25">
      <c r="A485" s="8">
        <v>481</v>
      </c>
      <c r="B485" s="24">
        <v>718482832609.84766</v>
      </c>
      <c r="C485" s="24">
        <v>451295000000</v>
      </c>
      <c r="D485" s="25">
        <v>0.79602347977470134</v>
      </c>
      <c r="E485" t="s">
        <v>111</v>
      </c>
      <c r="F485" s="25">
        <v>0.79602347977470134</v>
      </c>
      <c r="G485" t="s">
        <v>111</v>
      </c>
      <c r="H485" s="25">
        <v>0.79602347977470134</v>
      </c>
      <c r="I485" t="s">
        <v>111</v>
      </c>
    </row>
    <row r="486" spans="1:11" x14ac:dyDescent="0.25">
      <c r="A486" s="48">
        <v>482</v>
      </c>
      <c r="B486" s="49">
        <v>720877775385.21399</v>
      </c>
      <c r="C486" s="49">
        <v>451295000000</v>
      </c>
      <c r="D486" s="50">
        <v>0.79867689137395048</v>
      </c>
      <c r="E486" s="51" t="s">
        <v>111</v>
      </c>
      <c r="F486" s="50">
        <v>0.79867689137395048</v>
      </c>
      <c r="G486" s="51" t="s">
        <v>111</v>
      </c>
      <c r="H486" s="50">
        <v>0.79867689137395048</v>
      </c>
      <c r="I486" s="51" t="s">
        <v>111</v>
      </c>
    </row>
    <row r="487" spans="1:11" x14ac:dyDescent="0.25">
      <c r="A487" s="8">
        <v>483</v>
      </c>
      <c r="B487" s="24">
        <v>723280701303.16467</v>
      </c>
      <c r="C487" s="24">
        <v>451295000000</v>
      </c>
      <c r="D487" s="25">
        <v>0.80133914767853032</v>
      </c>
      <c r="E487" t="s">
        <v>111</v>
      </c>
      <c r="F487" s="25">
        <v>0.80133914767853032</v>
      </c>
      <c r="G487" t="s">
        <v>111</v>
      </c>
      <c r="H487" s="25">
        <v>0.80133914767853032</v>
      </c>
      <c r="I487" t="s">
        <v>111</v>
      </c>
    </row>
    <row r="488" spans="1:11" x14ac:dyDescent="0.25">
      <c r="A488" s="48">
        <v>484</v>
      </c>
      <c r="B488" s="49">
        <v>725691636974.17529</v>
      </c>
      <c r="C488" s="49">
        <v>451295000000</v>
      </c>
      <c r="D488" s="50">
        <v>0.80401027817079218</v>
      </c>
      <c r="E488" s="51" t="s">
        <v>111</v>
      </c>
      <c r="F488" s="50">
        <v>0.80401027817079218</v>
      </c>
      <c r="G488" s="51" t="s">
        <v>111</v>
      </c>
      <c r="H488" s="50">
        <v>0.80401027817079218</v>
      </c>
      <c r="I488" s="51" t="s">
        <v>111</v>
      </c>
    </row>
    <row r="489" spans="1:11" x14ac:dyDescent="0.25">
      <c r="A489" s="8">
        <v>485</v>
      </c>
      <c r="B489" s="24">
        <v>728110609097.42261</v>
      </c>
      <c r="C489" s="24">
        <v>451295000000</v>
      </c>
      <c r="D489" s="25">
        <v>0.80669031243136158</v>
      </c>
      <c r="E489" t="s">
        <v>111</v>
      </c>
      <c r="F489" s="25">
        <v>0.80669031243136158</v>
      </c>
      <c r="G489" t="s">
        <v>111</v>
      </c>
      <c r="H489" s="25">
        <v>0.80669031243136158</v>
      </c>
      <c r="I489" t="s">
        <v>111</v>
      </c>
    </row>
    <row r="490" spans="1:11" x14ac:dyDescent="0.25">
      <c r="A490" s="48">
        <v>486</v>
      </c>
      <c r="B490" s="49">
        <v>730537644461.08081</v>
      </c>
      <c r="C490" s="49">
        <v>451295000000</v>
      </c>
      <c r="D490" s="50">
        <v>0.80937928013946625</v>
      </c>
      <c r="E490" s="51" t="s">
        <v>111</v>
      </c>
      <c r="F490" s="50">
        <v>0.80937928013946625</v>
      </c>
      <c r="G490" s="51" t="s">
        <v>111</v>
      </c>
      <c r="H490" s="50">
        <v>0.80937928013946625</v>
      </c>
      <c r="I490" s="51" t="s">
        <v>111</v>
      </c>
    </row>
    <row r="491" spans="1:11" x14ac:dyDescent="0.25">
      <c r="A491" s="8">
        <v>487</v>
      </c>
      <c r="B491" s="24">
        <v>732972769942.6178</v>
      </c>
      <c r="C491" s="24">
        <v>451295000000</v>
      </c>
      <c r="D491" s="25">
        <v>0.81207721107326447</v>
      </c>
      <c r="E491" t="s">
        <v>111</v>
      </c>
      <c r="F491" s="25">
        <v>0.81207721107326447</v>
      </c>
      <c r="G491" t="s">
        <v>111</v>
      </c>
      <c r="H491" s="25">
        <v>0.81207721107326447</v>
      </c>
      <c r="I491" t="s">
        <v>111</v>
      </c>
    </row>
    <row r="492" spans="1:11" x14ac:dyDescent="0.25">
      <c r="A492" s="48">
        <v>488</v>
      </c>
      <c r="B492" s="49">
        <v>735416012509.09314</v>
      </c>
      <c r="C492" s="49">
        <v>451295000000</v>
      </c>
      <c r="D492" s="50">
        <v>0.81478413511017533</v>
      </c>
      <c r="E492" s="51" t="s">
        <v>111</v>
      </c>
      <c r="F492" s="50">
        <v>0.81478413511017533</v>
      </c>
      <c r="G492" s="51" t="s">
        <v>111</v>
      </c>
      <c r="H492" s="50">
        <v>0.81478413511017533</v>
      </c>
      <c r="I492" s="51" t="s">
        <v>111</v>
      </c>
    </row>
    <row r="493" spans="1:11" x14ac:dyDescent="0.25">
      <c r="A493" s="8">
        <v>489</v>
      </c>
      <c r="B493" s="24">
        <v>737867399217.45691</v>
      </c>
      <c r="C493" s="24">
        <v>451295000000</v>
      </c>
      <c r="D493" s="25">
        <v>0.81750008222720938</v>
      </c>
      <c r="E493" t="s">
        <v>111</v>
      </c>
      <c r="F493" s="25">
        <v>0.81750008222720938</v>
      </c>
      <c r="G493" t="s">
        <v>111</v>
      </c>
      <c r="H493" s="25">
        <v>0.81750008222720938</v>
      </c>
      <c r="I493" t="s">
        <v>111</v>
      </c>
    </row>
    <row r="494" spans="1:11" x14ac:dyDescent="0.25">
      <c r="A494" s="48">
        <v>490</v>
      </c>
      <c r="B494" s="49">
        <v>740326957214.84851</v>
      </c>
      <c r="C494" s="49">
        <v>451295000000</v>
      </c>
      <c r="D494" s="50">
        <v>0.82022508250130011</v>
      </c>
      <c r="E494" s="51" t="s">
        <v>111</v>
      </c>
      <c r="F494" s="50">
        <v>0.82022508250130011</v>
      </c>
      <c r="G494" s="51" t="s">
        <v>111</v>
      </c>
      <c r="H494" s="50">
        <v>0.82022508250130011</v>
      </c>
      <c r="I494" s="51" t="s">
        <v>111</v>
      </c>
    </row>
    <row r="495" spans="1:11" x14ac:dyDescent="0.25">
      <c r="A495" s="8">
        <v>491</v>
      </c>
      <c r="B495" s="24">
        <v>742794713738.89795</v>
      </c>
      <c r="C495" s="24">
        <v>451295000000</v>
      </c>
      <c r="D495" s="25">
        <v>0.82295916610963782</v>
      </c>
      <c r="E495" t="s">
        <v>111</v>
      </c>
      <c r="F495" s="25">
        <v>0.82295916610963782</v>
      </c>
      <c r="G495" t="s">
        <v>111</v>
      </c>
      <c r="H495" s="52">
        <v>0.82295916610963782</v>
      </c>
      <c r="I495" s="53" t="s">
        <v>112</v>
      </c>
    </row>
    <row r="496" spans="1:11" x14ac:dyDescent="0.25">
      <c r="A496" s="48">
        <v>492</v>
      </c>
      <c r="B496" s="49">
        <v>745270696118.02771</v>
      </c>
      <c r="C496" s="49">
        <v>451295000000</v>
      </c>
      <c r="D496" s="50">
        <v>0.82570236333000335</v>
      </c>
      <c r="E496" s="51" t="s">
        <v>111</v>
      </c>
      <c r="F496" s="50">
        <v>0.82570236333000335</v>
      </c>
      <c r="G496" s="51" t="s">
        <v>111</v>
      </c>
    </row>
    <row r="497" spans="1:7" x14ac:dyDescent="0.25">
      <c r="A497" s="8">
        <v>493</v>
      </c>
      <c r="B497" s="24">
        <v>747754931771.75452</v>
      </c>
      <c r="C497" s="24">
        <v>451295000000</v>
      </c>
      <c r="D497" s="25">
        <v>0.82845470454110337</v>
      </c>
      <c r="E497" t="s">
        <v>111</v>
      </c>
      <c r="F497" s="25">
        <v>0.82845470454110337</v>
      </c>
      <c r="G497" t="s">
        <v>111</v>
      </c>
    </row>
    <row r="498" spans="1:7" x14ac:dyDescent="0.25">
      <c r="A498" s="48">
        <v>494</v>
      </c>
      <c r="B498" s="49">
        <v>750247448210.99377</v>
      </c>
      <c r="C498" s="49">
        <v>451295000000</v>
      </c>
      <c r="D498" s="50">
        <v>0.8312162202229072</v>
      </c>
      <c r="E498" s="51" t="s">
        <v>111</v>
      </c>
      <c r="F498" s="50">
        <v>0.8312162202229072</v>
      </c>
      <c r="G498" s="51" t="s">
        <v>111</v>
      </c>
    </row>
    <row r="499" spans="1:7" x14ac:dyDescent="0.25">
      <c r="A499" s="8">
        <v>495</v>
      </c>
      <c r="B499" s="24">
        <v>752748273038.36389</v>
      </c>
      <c r="C499" s="24">
        <v>451295000000</v>
      </c>
      <c r="D499" s="25">
        <v>0.83398694095698367</v>
      </c>
      <c r="E499" t="s">
        <v>111</v>
      </c>
      <c r="F499" s="25">
        <v>0.83398694095698367</v>
      </c>
      <c r="G499" t="s">
        <v>111</v>
      </c>
    </row>
    <row r="500" spans="1:7" x14ac:dyDescent="0.25">
      <c r="A500" s="48">
        <v>496</v>
      </c>
      <c r="B500" s="49">
        <v>755257433948.49182</v>
      </c>
      <c r="C500" s="49">
        <v>451295000000</v>
      </c>
      <c r="D500" s="50">
        <v>0.83676689742684029</v>
      </c>
      <c r="E500" s="51" t="s">
        <v>111</v>
      </c>
      <c r="F500" s="50">
        <v>0.83676689742684029</v>
      </c>
      <c r="G500" s="51" t="s">
        <v>111</v>
      </c>
    </row>
    <row r="501" spans="1:7" x14ac:dyDescent="0.25">
      <c r="A501" s="8">
        <v>497</v>
      </c>
      <c r="B501" s="24">
        <v>757774958728.32019</v>
      </c>
      <c r="C501" s="24">
        <v>451295000000</v>
      </c>
      <c r="D501" s="25">
        <v>0.83955612041826322</v>
      </c>
      <c r="E501" t="s">
        <v>111</v>
      </c>
      <c r="F501" s="25">
        <v>0.83955612041826322</v>
      </c>
      <c r="G501" t="s">
        <v>111</v>
      </c>
    </row>
    <row r="502" spans="1:7" x14ac:dyDescent="0.25">
      <c r="A502" s="48">
        <v>498</v>
      </c>
      <c r="B502" s="49">
        <v>760300875257.41455</v>
      </c>
      <c r="C502" s="49">
        <v>451295000000</v>
      </c>
      <c r="D502" s="50">
        <v>0.84235464081965739</v>
      </c>
      <c r="E502" s="51" t="s">
        <v>111</v>
      </c>
      <c r="F502" s="50">
        <v>0.84235464081965739</v>
      </c>
      <c r="G502" s="51" t="s">
        <v>111</v>
      </c>
    </row>
    <row r="503" spans="1:7" x14ac:dyDescent="0.25">
      <c r="A503" s="8">
        <v>499</v>
      </c>
      <c r="B503" s="24">
        <v>762835211508.27271</v>
      </c>
      <c r="C503" s="24">
        <v>451295000000</v>
      </c>
      <c r="D503" s="25">
        <v>0.84516248962238971</v>
      </c>
      <c r="E503" t="s">
        <v>111</v>
      </c>
      <c r="F503" s="25">
        <v>0.84516248962238971</v>
      </c>
      <c r="G503" t="s">
        <v>111</v>
      </c>
    </row>
    <row r="504" spans="1:7" x14ac:dyDescent="0.25">
      <c r="A504" s="48">
        <v>500</v>
      </c>
      <c r="B504" s="49">
        <v>765377995546.63367</v>
      </c>
      <c r="C504" s="49">
        <v>451295000000</v>
      </c>
      <c r="D504" s="50">
        <v>0.84797969792113104</v>
      </c>
      <c r="E504" s="51" t="s">
        <v>111</v>
      </c>
      <c r="F504" s="50">
        <v>0.84797969792113104</v>
      </c>
      <c r="G504" s="51" t="s">
        <v>111</v>
      </c>
    </row>
    <row r="505" spans="1:7" x14ac:dyDescent="0.25">
      <c r="A505" s="8">
        <v>501</v>
      </c>
      <c r="B505" s="24">
        <v>767929255531.78918</v>
      </c>
      <c r="C505" s="24">
        <v>451295000000</v>
      </c>
      <c r="D505" s="25">
        <v>0.85080629691420151</v>
      </c>
      <c r="E505" t="s">
        <v>111</v>
      </c>
      <c r="F505" s="25">
        <v>0.85080629691420151</v>
      </c>
      <c r="G505" t="s">
        <v>111</v>
      </c>
    </row>
    <row r="506" spans="1:7" x14ac:dyDescent="0.25">
      <c r="A506" s="48">
        <v>502</v>
      </c>
      <c r="B506" s="49">
        <v>770489019716.89514</v>
      </c>
      <c r="C506" s="49">
        <v>451295000000</v>
      </c>
      <c r="D506" s="50">
        <v>0.85364231790391554</v>
      </c>
      <c r="E506" s="51" t="s">
        <v>111</v>
      </c>
      <c r="F506" s="50">
        <v>0.85364231790391554</v>
      </c>
      <c r="G506" s="51" t="s">
        <v>111</v>
      </c>
    </row>
    <row r="507" spans="1:7" x14ac:dyDescent="0.25">
      <c r="A507" s="8">
        <v>503</v>
      </c>
      <c r="B507" s="24">
        <v>773057316449.28503</v>
      </c>
      <c r="C507" s="24">
        <v>451295000000</v>
      </c>
      <c r="D507" s="25">
        <v>0.85648779229692884</v>
      </c>
      <c r="E507" t="s">
        <v>111</v>
      </c>
      <c r="F507" s="25">
        <v>0.85648779229692884</v>
      </c>
      <c r="G507" t="s">
        <v>111</v>
      </c>
    </row>
    <row r="508" spans="1:7" x14ac:dyDescent="0.25">
      <c r="A508" s="48">
        <v>504</v>
      </c>
      <c r="B508" s="49">
        <v>775634174170.78259</v>
      </c>
      <c r="C508" s="49">
        <v>451295000000</v>
      </c>
      <c r="D508" s="50">
        <v>0.85934275160458529</v>
      </c>
      <c r="E508" s="51" t="s">
        <v>111</v>
      </c>
      <c r="F508" s="50">
        <v>0.85934275160458529</v>
      </c>
      <c r="G508" s="51" t="s">
        <v>111</v>
      </c>
    </row>
    <row r="509" spans="1:7" x14ac:dyDescent="0.25">
      <c r="A509" s="8">
        <v>505</v>
      </c>
      <c r="B509" s="24">
        <v>778219621418.01855</v>
      </c>
      <c r="C509" s="24">
        <v>451295000000</v>
      </c>
      <c r="D509" s="25">
        <v>0.86220722744326717</v>
      </c>
      <c r="E509" t="s">
        <v>111</v>
      </c>
      <c r="F509" s="25">
        <v>0.86220722744326717</v>
      </c>
      <c r="G509" t="s">
        <v>111</v>
      </c>
    </row>
    <row r="510" spans="1:7" x14ac:dyDescent="0.25">
      <c r="A510" s="48">
        <v>506</v>
      </c>
      <c r="B510" s="49">
        <v>780813686822.74548</v>
      </c>
      <c r="C510" s="49">
        <v>451295000000</v>
      </c>
      <c r="D510" s="50">
        <v>0.86508125153474502</v>
      </c>
      <c r="E510" s="51" t="s">
        <v>111</v>
      </c>
      <c r="F510" s="50">
        <v>0.86508125153474502</v>
      </c>
      <c r="G510" s="51" t="s">
        <v>111</v>
      </c>
    </row>
    <row r="511" spans="1:7" x14ac:dyDescent="0.25">
      <c r="A511" s="8">
        <v>507</v>
      </c>
      <c r="B511" s="24">
        <v>783416399112.15466</v>
      </c>
      <c r="C511" s="24">
        <v>451295000000</v>
      </c>
      <c r="D511" s="25">
        <v>0.86796485570652748</v>
      </c>
      <c r="E511" t="s">
        <v>111</v>
      </c>
      <c r="F511" s="25">
        <v>0.86796485570652748</v>
      </c>
      <c r="G511" t="s">
        <v>111</v>
      </c>
    </row>
    <row r="512" spans="1:7" x14ac:dyDescent="0.25">
      <c r="A512" s="48">
        <v>508</v>
      </c>
      <c r="B512" s="49">
        <v>786027787109.19519</v>
      </c>
      <c r="C512" s="49">
        <v>451295000000</v>
      </c>
      <c r="D512" s="50">
        <v>0.87085807189221598</v>
      </c>
      <c r="E512" s="51" t="s">
        <v>111</v>
      </c>
      <c r="F512" s="52">
        <v>0.87085807189221598</v>
      </c>
      <c r="G512" s="53" t="s">
        <v>112</v>
      </c>
    </row>
    <row r="513" spans="1:5" x14ac:dyDescent="0.25">
      <c r="A513" s="8">
        <v>509</v>
      </c>
      <c r="B513" s="24">
        <v>788647879732.89258</v>
      </c>
      <c r="C513" s="24">
        <v>451295000000</v>
      </c>
      <c r="D513" s="25">
        <v>0.87376093213185679</v>
      </c>
      <c r="E513" t="s">
        <v>111</v>
      </c>
    </row>
    <row r="514" spans="1:5" x14ac:dyDescent="0.25">
      <c r="A514" s="48">
        <v>510</v>
      </c>
      <c r="B514" s="49">
        <v>791276705998.66895</v>
      </c>
      <c r="C514" s="49">
        <v>451295000000</v>
      </c>
      <c r="D514" s="50">
        <v>0.87667346857229633</v>
      </c>
      <c r="E514" s="51" t="s">
        <v>111</v>
      </c>
    </row>
    <row r="515" spans="1:5" x14ac:dyDescent="0.25">
      <c r="A515" s="8">
        <v>511</v>
      </c>
      <c r="B515" s="24">
        <v>793914295018.66455</v>
      </c>
      <c r="C515" s="24">
        <v>451295000000</v>
      </c>
      <c r="D515" s="25">
        <v>0.8795957134675374</v>
      </c>
      <c r="E515" t="s">
        <v>111</v>
      </c>
    </row>
    <row r="516" spans="1:5" x14ac:dyDescent="0.25">
      <c r="A516" s="48">
        <v>512</v>
      </c>
      <c r="B516" s="49">
        <v>796560676002.06018</v>
      </c>
      <c r="C516" s="49">
        <v>451295000000</v>
      </c>
      <c r="D516" s="50">
        <v>0.8825276991790959</v>
      </c>
      <c r="E516" s="51" t="s">
        <v>111</v>
      </c>
    </row>
    <row r="517" spans="1:5" x14ac:dyDescent="0.25">
      <c r="A517" s="8">
        <v>513</v>
      </c>
      <c r="B517" s="24">
        <v>799215878255.40039</v>
      </c>
      <c r="C517" s="24">
        <v>451295000000</v>
      </c>
      <c r="D517" s="25">
        <v>0.88546945817635958</v>
      </c>
      <c r="E517" t="s">
        <v>111</v>
      </c>
    </row>
    <row r="518" spans="1:5" x14ac:dyDescent="0.25">
      <c r="A518" s="48">
        <v>514</v>
      </c>
      <c r="B518" s="49">
        <v>801879931182.91846</v>
      </c>
      <c r="C518" s="49">
        <v>451295000000</v>
      </c>
      <c r="D518" s="50">
        <v>0.88842102303694748</v>
      </c>
      <c r="E518" s="51" t="s">
        <v>111</v>
      </c>
    </row>
    <row r="519" spans="1:5" x14ac:dyDescent="0.25">
      <c r="A519" s="8">
        <v>515</v>
      </c>
      <c r="B519" s="24">
        <v>804552864286.86157</v>
      </c>
      <c r="C519" s="24">
        <v>451295000000</v>
      </c>
      <c r="D519" s="25">
        <v>0.89138242644707077</v>
      </c>
      <c r="E519" t="s">
        <v>111</v>
      </c>
    </row>
    <row r="520" spans="1:5" x14ac:dyDescent="0.25">
      <c r="A520" s="48">
        <v>516</v>
      </c>
      <c r="B520" s="49">
        <v>807234707167.81787</v>
      </c>
      <c r="C520" s="49">
        <v>451295000000</v>
      </c>
      <c r="D520" s="50">
        <v>0.89435370120189439</v>
      </c>
      <c r="E520" s="51" t="s">
        <v>111</v>
      </c>
    </row>
    <row r="521" spans="1:5" x14ac:dyDescent="0.25">
      <c r="A521" s="8">
        <v>517</v>
      </c>
      <c r="B521" s="24">
        <v>809925489525.04395</v>
      </c>
      <c r="C521" s="24">
        <v>451295000000</v>
      </c>
      <c r="D521" s="25">
        <v>0.89733488020590069</v>
      </c>
      <c r="E521" t="s">
        <v>111</v>
      </c>
    </row>
    <row r="522" spans="1:5" x14ac:dyDescent="0.25">
      <c r="A522" s="48">
        <v>518</v>
      </c>
      <c r="B522" s="49">
        <v>812625241156.79419</v>
      </c>
      <c r="C522" s="49">
        <v>451295000000</v>
      </c>
      <c r="D522" s="50">
        <v>0.90032599647325384</v>
      </c>
      <c r="E522" s="51" t="s">
        <v>111</v>
      </c>
    </row>
    <row r="523" spans="1:5" x14ac:dyDescent="0.25">
      <c r="A523" s="8">
        <v>519</v>
      </c>
      <c r="B523" s="24">
        <v>815333991960.65027</v>
      </c>
      <c r="C523" s="24">
        <v>451295000000</v>
      </c>
      <c r="D523" s="25">
        <v>0.90332708312816479</v>
      </c>
      <c r="E523" t="s">
        <v>111</v>
      </c>
    </row>
    <row r="524" spans="1:5" x14ac:dyDescent="0.25">
      <c r="A524" s="48">
        <v>520</v>
      </c>
      <c r="B524" s="49">
        <v>818051771933.85254</v>
      </c>
      <c r="C524" s="49">
        <v>451295000000</v>
      </c>
      <c r="D524" s="52">
        <v>0.9063381734052588</v>
      </c>
      <c r="E524" s="53" t="s">
        <v>112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8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2" width="12" customWidth="1"/>
    <col min="3" max="27" width="15" customWidth="1"/>
  </cols>
  <sheetData>
    <row r="1" spans="1:27" ht="17.25" x14ac:dyDescent="0.3">
      <c r="A1" s="111" t="s">
        <v>113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spans="1:27" x14ac:dyDescent="0.25">
      <c r="A2" s="110" t="s">
        <v>114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spans="1:27" ht="26.25" x14ac:dyDescent="0.25">
      <c r="A3" s="22" t="s">
        <v>115</v>
      </c>
      <c r="B3" s="22" t="s">
        <v>21</v>
      </c>
      <c r="C3" s="112" t="s">
        <v>116</v>
      </c>
      <c r="D3" s="102"/>
      <c r="E3" s="102"/>
      <c r="F3" s="102"/>
      <c r="G3" s="102"/>
      <c r="H3" s="112" t="s">
        <v>117</v>
      </c>
      <c r="I3" s="102"/>
      <c r="J3" s="102"/>
      <c r="K3" s="102"/>
      <c r="L3" s="102"/>
      <c r="M3" s="112" t="s">
        <v>118</v>
      </c>
      <c r="N3" s="102"/>
      <c r="O3" s="102"/>
      <c r="P3" s="102"/>
      <c r="Q3" s="102"/>
      <c r="R3" s="112" t="s">
        <v>119</v>
      </c>
      <c r="S3" s="102"/>
      <c r="T3" s="102"/>
      <c r="U3" s="102"/>
      <c r="V3" s="102"/>
      <c r="W3" s="112" t="s">
        <v>120</v>
      </c>
      <c r="X3" s="102"/>
      <c r="Y3" s="102"/>
      <c r="Z3" s="102"/>
      <c r="AA3" s="102"/>
    </row>
    <row r="4" spans="1:27" ht="24.75" x14ac:dyDescent="0.25">
      <c r="A4" s="54" t="s">
        <v>0</v>
      </c>
      <c r="B4" s="54" t="s">
        <v>21</v>
      </c>
      <c r="C4" s="55" t="s">
        <v>121</v>
      </c>
      <c r="D4" s="55" t="s">
        <v>122</v>
      </c>
      <c r="E4" s="55" t="s">
        <v>123</v>
      </c>
      <c r="F4" s="55" t="s">
        <v>124</v>
      </c>
      <c r="G4" s="55" t="s">
        <v>125</v>
      </c>
      <c r="H4" s="55" t="s">
        <v>121</v>
      </c>
      <c r="I4" s="55" t="s">
        <v>122</v>
      </c>
      <c r="J4" s="55" t="s">
        <v>123</v>
      </c>
      <c r="K4" s="55" t="s">
        <v>124</v>
      </c>
      <c r="L4" s="55" t="s">
        <v>125</v>
      </c>
      <c r="M4" s="55" t="s">
        <v>121</v>
      </c>
      <c r="N4" s="55" t="s">
        <v>122</v>
      </c>
      <c r="O4" s="55" t="s">
        <v>123</v>
      </c>
      <c r="P4" s="55" t="s">
        <v>124</v>
      </c>
      <c r="Q4" s="55" t="s">
        <v>125</v>
      </c>
      <c r="R4" s="55" t="s">
        <v>121</v>
      </c>
      <c r="S4" s="55" t="s">
        <v>122</v>
      </c>
      <c r="T4" s="55" t="s">
        <v>123</v>
      </c>
      <c r="U4" s="55" t="s">
        <v>124</v>
      </c>
      <c r="V4" s="55" t="s">
        <v>125</v>
      </c>
      <c r="W4" s="55" t="s">
        <v>121</v>
      </c>
      <c r="X4" s="55" t="s">
        <v>122</v>
      </c>
      <c r="Y4" s="55" t="s">
        <v>123</v>
      </c>
      <c r="Z4" s="55" t="s">
        <v>124</v>
      </c>
      <c r="AA4" s="55" t="s">
        <v>125</v>
      </c>
    </row>
    <row r="5" spans="1:27" x14ac:dyDescent="0.25">
      <c r="A5">
        <v>0</v>
      </c>
      <c r="B5" t="s">
        <v>126</v>
      </c>
      <c r="C5" s="56">
        <v>451295000000</v>
      </c>
      <c r="D5" s="56">
        <v>818051771933.85413</v>
      </c>
      <c r="E5" s="57">
        <v>0.90633817340526057</v>
      </c>
      <c r="F5" s="58">
        <v>0</v>
      </c>
      <c r="G5" s="59" t="s">
        <v>127</v>
      </c>
      <c r="H5" s="56">
        <v>451295000000</v>
      </c>
      <c r="I5" s="56">
        <v>786027787109.19678</v>
      </c>
      <c r="J5" s="57">
        <v>0.87085807189221776</v>
      </c>
      <c r="K5" s="58">
        <v>0</v>
      </c>
      <c r="L5" s="59" t="s">
        <v>127</v>
      </c>
      <c r="M5" s="56">
        <v>451295000000</v>
      </c>
      <c r="N5" s="56">
        <v>742794713738.89954</v>
      </c>
      <c r="O5" s="57">
        <v>0.82295916610963948</v>
      </c>
      <c r="P5" s="58">
        <v>0</v>
      </c>
      <c r="Q5" s="59" t="s">
        <v>127</v>
      </c>
      <c r="R5" s="56">
        <v>451295000000</v>
      </c>
      <c r="S5" s="56">
        <v>716095846454.99915</v>
      </c>
      <c r="T5" s="57">
        <v>0.79337888349638164</v>
      </c>
      <c r="U5" s="58">
        <v>0</v>
      </c>
      <c r="V5" s="59" t="s">
        <v>127</v>
      </c>
      <c r="W5" s="56">
        <v>451295000000</v>
      </c>
      <c r="X5" s="56">
        <v>678964864508.79858</v>
      </c>
      <c r="Y5" s="57">
        <v>0.75224062365946731</v>
      </c>
      <c r="Z5" s="58">
        <v>0</v>
      </c>
      <c r="AA5" s="59" t="s">
        <v>127</v>
      </c>
    </row>
    <row r="6" spans="1:27" x14ac:dyDescent="0.25">
      <c r="A6" s="8">
        <v>1</v>
      </c>
      <c r="B6" s="8" t="s">
        <v>128</v>
      </c>
      <c r="C6" s="24">
        <v>443773416666.66669</v>
      </c>
      <c r="D6" s="24">
        <v>805735444506.96704</v>
      </c>
      <c r="E6" s="25">
        <v>0.9078230176101133</v>
      </c>
      <c r="F6" s="60">
        <v>15043166666.66667</v>
      </c>
      <c r="G6" s="8" t="s">
        <v>129</v>
      </c>
      <c r="H6" s="24">
        <v>445922440476.19049</v>
      </c>
      <c r="I6" s="24">
        <v>777902760685.27502</v>
      </c>
      <c r="J6" s="25">
        <v>0.87223997950694099</v>
      </c>
      <c r="K6" s="60">
        <v>10745119047.619049</v>
      </c>
      <c r="L6" s="8" t="s">
        <v>130</v>
      </c>
      <c r="M6" s="24">
        <v>447534208333.33331</v>
      </c>
      <c r="N6" s="24">
        <v>737749112784.6958</v>
      </c>
      <c r="O6" s="25">
        <v>0.82423767730756803</v>
      </c>
      <c r="P6" s="60">
        <v>7521583333.333333</v>
      </c>
      <c r="Q6" s="8" t="s">
        <v>130</v>
      </c>
      <c r="R6" s="24">
        <v>448161006944.44452</v>
      </c>
      <c r="S6" s="24">
        <v>712214846498.73804</v>
      </c>
      <c r="T6" s="25">
        <v>0.79459707054235817</v>
      </c>
      <c r="U6" s="60">
        <v>6267986111.1111107</v>
      </c>
      <c r="V6" s="8" t="s">
        <v>130</v>
      </c>
      <c r="W6" s="24">
        <v>448787805555.55548</v>
      </c>
      <c r="X6" s="24">
        <v>676213691834.93896</v>
      </c>
      <c r="Y6" s="25">
        <v>0.75337797001619988</v>
      </c>
      <c r="Z6" s="60">
        <v>5014388888.8888893</v>
      </c>
      <c r="AA6" s="8" t="s">
        <v>130</v>
      </c>
    </row>
    <row r="7" spans="1:27" x14ac:dyDescent="0.25">
      <c r="A7" s="48">
        <v>2</v>
      </c>
      <c r="B7" s="48" t="s">
        <v>131</v>
      </c>
      <c r="C7" s="49">
        <v>436251833333.33337</v>
      </c>
      <c r="D7" s="49">
        <v>793378062655.32361</v>
      </c>
      <c r="E7" s="50">
        <v>0.90931200975505766</v>
      </c>
      <c r="F7" s="61">
        <v>15043166666.66667</v>
      </c>
      <c r="G7" s="48" t="s">
        <v>132</v>
      </c>
      <c r="H7" s="49">
        <v>440549880952.38098</v>
      </c>
      <c r="I7" s="49">
        <v>769750650839.94031</v>
      </c>
      <c r="J7" s="50">
        <v>0.87362485398463041</v>
      </c>
      <c r="K7" s="61">
        <v>10745119047.619049</v>
      </c>
      <c r="L7" s="48" t="s">
        <v>129</v>
      </c>
      <c r="M7" s="49">
        <v>443773416666.66663</v>
      </c>
      <c r="N7" s="49">
        <v>732686693160.64478</v>
      </c>
      <c r="O7" s="50">
        <v>0.82551890857287513</v>
      </c>
      <c r="P7" s="61">
        <v>7521583333.333333</v>
      </c>
      <c r="Q7" s="48" t="s">
        <v>129</v>
      </c>
      <c r="R7" s="49">
        <v>445027013888.88892</v>
      </c>
      <c r="S7" s="49">
        <v>708320909875.95605</v>
      </c>
      <c r="T7" s="50">
        <v>0.79581788045433621</v>
      </c>
      <c r="U7" s="61">
        <v>6267986111.1111107</v>
      </c>
      <c r="V7" s="48" t="s">
        <v>130</v>
      </c>
      <c r="W7" s="49">
        <v>446280611111.11108</v>
      </c>
      <c r="X7" s="49">
        <v>673453348585.49988</v>
      </c>
      <c r="Y7" s="50">
        <v>0.75451782109555876</v>
      </c>
      <c r="Z7" s="61">
        <v>5014388888.8888893</v>
      </c>
      <c r="AA7" s="48" t="s">
        <v>130</v>
      </c>
    </row>
    <row r="8" spans="1:27" x14ac:dyDescent="0.25">
      <c r="A8" s="8">
        <v>3</v>
      </c>
      <c r="B8" s="8" t="s">
        <v>131</v>
      </c>
      <c r="C8" s="24">
        <v>428730250000.00012</v>
      </c>
      <c r="D8" s="24">
        <v>780979489530.84143</v>
      </c>
      <c r="E8" s="25">
        <v>0.91080520855577762</v>
      </c>
      <c r="F8" s="60">
        <v>15043166666.66667</v>
      </c>
      <c r="G8" s="8" t="s">
        <v>133</v>
      </c>
      <c r="H8" s="24">
        <v>435177321428.57147</v>
      </c>
      <c r="I8" s="24">
        <v>761571367295.12109</v>
      </c>
      <c r="J8" s="25">
        <v>0.87501270148348342</v>
      </c>
      <c r="K8" s="60">
        <v>10745119047.619049</v>
      </c>
      <c r="L8" s="8" t="s">
        <v>134</v>
      </c>
      <c r="M8" s="24">
        <v>440012624999.99988</v>
      </c>
      <c r="N8" s="24">
        <v>727607398804.51355</v>
      </c>
      <c r="O8" s="25">
        <v>0.82680286594562336</v>
      </c>
      <c r="P8" s="60">
        <v>7521583333.333333</v>
      </c>
      <c r="Q8" s="8" t="s">
        <v>129</v>
      </c>
      <c r="R8" s="24">
        <v>441893020833.33337</v>
      </c>
      <c r="S8" s="24">
        <v>704413993464.43152</v>
      </c>
      <c r="T8" s="25">
        <v>0.79704132024537211</v>
      </c>
      <c r="U8" s="60">
        <v>6267986111.1111107</v>
      </c>
      <c r="V8" s="8" t="s">
        <v>129</v>
      </c>
      <c r="W8" s="24">
        <v>443773416666.66663</v>
      </c>
      <c r="X8" s="24">
        <v>670683804191.896</v>
      </c>
      <c r="Y8" s="25">
        <v>0.75566018490881071</v>
      </c>
      <c r="Z8" s="60">
        <v>5014388888.8888893</v>
      </c>
      <c r="AA8" s="8" t="s">
        <v>129</v>
      </c>
    </row>
    <row r="9" spans="1:27" x14ac:dyDescent="0.25">
      <c r="A9" s="48">
        <v>4</v>
      </c>
      <c r="B9" s="48" t="s">
        <v>135</v>
      </c>
      <c r="C9" s="49">
        <v>421208666666.66669</v>
      </c>
      <c r="D9" s="49">
        <v>768539587829.27759</v>
      </c>
      <c r="E9" s="50">
        <v>0.91230267638044493</v>
      </c>
      <c r="F9" s="61">
        <v>15043166666.66667</v>
      </c>
      <c r="G9" s="48" t="s">
        <v>136</v>
      </c>
      <c r="H9" s="49">
        <v>429804761904.76202</v>
      </c>
      <c r="I9" s="49">
        <v>753364819471.81909</v>
      </c>
      <c r="J9" s="50">
        <v>0.8764035281195337</v>
      </c>
      <c r="K9" s="61">
        <v>10745119047.619049</v>
      </c>
      <c r="L9" s="48" t="s">
        <v>133</v>
      </c>
      <c r="M9" s="49">
        <v>436251833333.33331</v>
      </c>
      <c r="N9" s="49">
        <v>722511173467.19519</v>
      </c>
      <c r="O9" s="50">
        <v>0.82808955545997165</v>
      </c>
      <c r="P9" s="61">
        <v>7521583333.333333</v>
      </c>
      <c r="Q9" s="48" t="s">
        <v>132</v>
      </c>
      <c r="R9" s="49">
        <v>438759027777.77777</v>
      </c>
      <c r="S9" s="49">
        <v>700494053998.2019</v>
      </c>
      <c r="T9" s="50">
        <v>0.79826739696509141</v>
      </c>
      <c r="U9" s="61">
        <v>6267986111.1111107</v>
      </c>
      <c r="V9" s="48" t="s">
        <v>132</v>
      </c>
      <c r="W9" s="49">
        <v>441266222222.22223</v>
      </c>
      <c r="X9" s="49">
        <v>667905027983.64673</v>
      </c>
      <c r="Y9" s="50">
        <v>0.75680506953383919</v>
      </c>
      <c r="Z9" s="61">
        <v>5014388888.8888893</v>
      </c>
      <c r="AA9" s="48" t="s">
        <v>129</v>
      </c>
    </row>
    <row r="10" spans="1:27" x14ac:dyDescent="0.25">
      <c r="A10" s="8">
        <v>5</v>
      </c>
      <c r="B10" s="8" t="s">
        <v>137</v>
      </c>
      <c r="C10" s="24">
        <v>413687083333.33337</v>
      </c>
      <c r="D10" s="24">
        <v>756058219788.7085</v>
      </c>
      <c r="E10" s="25">
        <v>0.91380447957992605</v>
      </c>
      <c r="F10" s="60">
        <v>15043166666.66667</v>
      </c>
      <c r="G10" s="8" t="s">
        <v>138</v>
      </c>
      <c r="H10" s="24">
        <v>424432202380.95251</v>
      </c>
      <c r="I10" s="24">
        <v>745130916489.10608</v>
      </c>
      <c r="J10" s="25">
        <v>0.8777973399628004</v>
      </c>
      <c r="K10" s="60">
        <v>10745119047.619049</v>
      </c>
      <c r="L10" s="8" t="s">
        <v>139</v>
      </c>
      <c r="M10" s="24">
        <v>432491041666.66663</v>
      </c>
      <c r="N10" s="24">
        <v>717397960712.08582</v>
      </c>
      <c r="O10" s="25">
        <v>0.82937898314319924</v>
      </c>
      <c r="P10" s="60">
        <v>7521583333.333333</v>
      </c>
      <c r="Q10" s="8" t="s">
        <v>134</v>
      </c>
      <c r="R10" s="24">
        <v>435625034722.22229</v>
      </c>
      <c r="S10" s="24">
        <v>696561048067.08484</v>
      </c>
      <c r="T10" s="25">
        <v>0.79949611770045448</v>
      </c>
      <c r="U10" s="60">
        <v>6267986111.1111107</v>
      </c>
      <c r="V10" s="8" t="s">
        <v>132</v>
      </c>
      <c r="W10" s="24">
        <v>438759027777.77771</v>
      </c>
      <c r="X10" s="24">
        <v>665116989188.03662</v>
      </c>
      <c r="Y10" s="25">
        <v>0.75795248311666019</v>
      </c>
      <c r="Z10" s="60">
        <v>5014388888.8888893</v>
      </c>
      <c r="AA10" s="8" t="s">
        <v>132</v>
      </c>
    </row>
    <row r="11" spans="1:27" x14ac:dyDescent="0.25">
      <c r="A11" s="48">
        <v>6</v>
      </c>
      <c r="B11" s="48" t="s">
        <v>140</v>
      </c>
      <c r="C11" s="49">
        <v>406165500000.00012</v>
      </c>
      <c r="D11" s="49">
        <v>743535247188.00427</v>
      </c>
      <c r="E11" s="50">
        <v>0.91531068885467137</v>
      </c>
      <c r="F11" s="61">
        <v>15043166666.66667</v>
      </c>
      <c r="G11" s="48" t="s">
        <v>141</v>
      </c>
      <c r="H11" s="49">
        <v>419059642857.14288</v>
      </c>
      <c r="I11" s="49">
        <v>736869567163.11743</v>
      </c>
      <c r="J11" s="50">
        <v>0.87919414303313814</v>
      </c>
      <c r="K11" s="61">
        <v>10745119047.619049</v>
      </c>
      <c r="L11" s="48" t="s">
        <v>136</v>
      </c>
      <c r="M11" s="49">
        <v>428730249999.99988</v>
      </c>
      <c r="N11" s="49">
        <v>712267703914.45935</v>
      </c>
      <c r="O11" s="50">
        <v>0.83067115501467359</v>
      </c>
      <c r="P11" s="61">
        <v>7521583333.333333</v>
      </c>
      <c r="Q11" s="48" t="s">
        <v>133</v>
      </c>
      <c r="R11" s="49">
        <v>432491041666.66669</v>
      </c>
      <c r="S11" s="49">
        <v>692614932116.19739</v>
      </c>
      <c r="T11" s="50">
        <v>0.8007274895765536</v>
      </c>
      <c r="U11" s="61">
        <v>6267986111.1111107</v>
      </c>
      <c r="V11" s="48" t="s">
        <v>134</v>
      </c>
      <c r="W11" s="49">
        <v>436251833333.33331</v>
      </c>
      <c r="X11" s="49">
        <v>662319656929.77454</v>
      </c>
      <c r="Y11" s="50">
        <v>0.75910243387299003</v>
      </c>
      <c r="Z11" s="61">
        <v>5014388888.8888893</v>
      </c>
      <c r="AA11" s="48" t="s">
        <v>132</v>
      </c>
    </row>
    <row r="12" spans="1:27" x14ac:dyDescent="0.25">
      <c r="A12" s="8">
        <v>7</v>
      </c>
      <c r="B12" s="8" t="s">
        <v>142</v>
      </c>
      <c r="C12" s="24">
        <v>398643916666.66681</v>
      </c>
      <c r="D12" s="24">
        <v>730970531345.29761</v>
      </c>
      <c r="E12" s="25">
        <v>0.91682137966313382</v>
      </c>
      <c r="F12" s="60">
        <v>15043166666.66667</v>
      </c>
      <c r="G12" s="8" t="s">
        <v>143</v>
      </c>
      <c r="H12" s="24">
        <v>413687083333.33337</v>
      </c>
      <c r="I12" s="24">
        <v>728580680006.04211</v>
      </c>
      <c r="J12" s="25">
        <v>0.88059394329575824</v>
      </c>
      <c r="K12" s="60">
        <v>10745119047.619049</v>
      </c>
      <c r="L12" s="8" t="s">
        <v>138</v>
      </c>
      <c r="M12" s="24">
        <v>424969458333.33319</v>
      </c>
      <c r="N12" s="24">
        <v>707120346260.84082</v>
      </c>
      <c r="O12" s="25">
        <v>0.83196607708476433</v>
      </c>
      <c r="P12" s="60">
        <v>7521583333.333333</v>
      </c>
      <c r="Q12" s="8" t="s">
        <v>139</v>
      </c>
      <c r="R12" s="24">
        <v>429357048611.11121</v>
      </c>
      <c r="S12" s="24">
        <v>688655662445.47363</v>
      </c>
      <c r="T12" s="25">
        <v>0.80196151975744245</v>
      </c>
      <c r="U12" s="60">
        <v>6267986111.1111107</v>
      </c>
      <c r="V12" s="8" t="s">
        <v>133</v>
      </c>
      <c r="W12" s="24">
        <v>433744638888.88879</v>
      </c>
      <c r="X12" s="24">
        <v>659513000230.65149</v>
      </c>
      <c r="Y12" s="25">
        <v>0.76025493008986467</v>
      </c>
      <c r="Z12" s="60">
        <v>5014388888.8888893</v>
      </c>
      <c r="AA12" s="8" t="s">
        <v>134</v>
      </c>
    </row>
    <row r="13" spans="1:27" x14ac:dyDescent="0.25">
      <c r="A13" s="48">
        <v>8</v>
      </c>
      <c r="B13" s="48" t="s">
        <v>144</v>
      </c>
      <c r="C13" s="49">
        <v>391122333333.3335</v>
      </c>
      <c r="D13" s="49">
        <v>718363933116.44861</v>
      </c>
      <c r="E13" s="50">
        <v>0.91833663267730592</v>
      </c>
      <c r="F13" s="61">
        <v>15043166666.66667</v>
      </c>
      <c r="G13" s="48" t="s">
        <v>145</v>
      </c>
      <c r="H13" s="49">
        <v>408314523809.52393</v>
      </c>
      <c r="I13" s="49">
        <v>720264163225.10986</v>
      </c>
      <c r="J13" s="50">
        <v>0.88199674665639427</v>
      </c>
      <c r="K13" s="61">
        <v>10745119047.619049</v>
      </c>
      <c r="L13" s="48" t="s">
        <v>141</v>
      </c>
      <c r="M13" s="49">
        <v>421208666666.6665</v>
      </c>
      <c r="N13" s="49">
        <v>701955830748.37695</v>
      </c>
      <c r="O13" s="50">
        <v>0.83326375535369313</v>
      </c>
      <c r="P13" s="61">
        <v>7521583333.333333</v>
      </c>
      <c r="Q13" s="48" t="s">
        <v>136</v>
      </c>
      <c r="R13" s="49">
        <v>426223055555.55573</v>
      </c>
      <c r="S13" s="49">
        <v>684683195209.18079</v>
      </c>
      <c r="T13" s="50">
        <v>0.80319821544700132</v>
      </c>
      <c r="U13" s="61">
        <v>6267986111.1111107</v>
      </c>
      <c r="V13" s="48" t="s">
        <v>139</v>
      </c>
      <c r="W13" s="49">
        <v>431237444444.44427</v>
      </c>
      <c r="X13" s="49">
        <v>656696988009.19812</v>
      </c>
      <c r="Y13" s="50">
        <v>0.76140998012731642</v>
      </c>
      <c r="Z13" s="61">
        <v>5014388888.8888893</v>
      </c>
      <c r="AA13" s="48" t="s">
        <v>134</v>
      </c>
    </row>
    <row r="14" spans="1:27" x14ac:dyDescent="0.25">
      <c r="A14" s="8">
        <v>9</v>
      </c>
      <c r="B14" s="8" t="s">
        <v>146</v>
      </c>
      <c r="C14" s="24">
        <v>383600750000.00018</v>
      </c>
      <c r="D14" s="24">
        <v>705715312893.50342</v>
      </c>
      <c r="E14" s="25">
        <v>0.91985653429184255</v>
      </c>
      <c r="F14" s="60">
        <v>15043166666.66667</v>
      </c>
      <c r="G14" s="8" t="s">
        <v>147</v>
      </c>
      <c r="H14" s="24">
        <v>402941964285.71442</v>
      </c>
      <c r="I14" s="24">
        <v>711919924721.57458</v>
      </c>
      <c r="J14" s="25">
        <v>0.88340255895607445</v>
      </c>
      <c r="K14" s="60">
        <v>10745119047.619049</v>
      </c>
      <c r="L14" s="8" t="s">
        <v>148</v>
      </c>
      <c r="M14" s="24">
        <v>417447874999.99982</v>
      </c>
      <c r="N14" s="24">
        <v>696774100184.20483</v>
      </c>
      <c r="O14" s="25">
        <v>0.83456419581032137</v>
      </c>
      <c r="P14" s="60">
        <v>7521583333.333333</v>
      </c>
      <c r="Q14" s="8" t="s">
        <v>138</v>
      </c>
      <c r="R14" s="24">
        <v>423089062500.00012</v>
      </c>
      <c r="S14" s="24">
        <v>680697486415.43359</v>
      </c>
      <c r="T14" s="25">
        <v>0.8044375838898381</v>
      </c>
      <c r="U14" s="60">
        <v>6267986111.1111107</v>
      </c>
      <c r="V14" s="8" t="s">
        <v>139</v>
      </c>
      <c r="W14" s="24">
        <v>428730249999.99988</v>
      </c>
      <c r="X14" s="24">
        <v>653871589080.33984</v>
      </c>
      <c r="Y14" s="25">
        <v>0.76256759242010563</v>
      </c>
      <c r="Z14" s="60">
        <v>5014388888.8888893</v>
      </c>
      <c r="AA14" s="8" t="s">
        <v>133</v>
      </c>
    </row>
    <row r="15" spans="1:27" x14ac:dyDescent="0.25">
      <c r="A15" s="48">
        <v>10</v>
      </c>
      <c r="B15" s="48" t="s">
        <v>146</v>
      </c>
      <c r="C15" s="49">
        <v>376079166666.66687</v>
      </c>
      <c r="D15" s="49">
        <v>693024530603.14844</v>
      </c>
      <c r="E15" s="50">
        <v>0.92138117719427171</v>
      </c>
      <c r="F15" s="61">
        <v>15043166666.66667</v>
      </c>
      <c r="G15" s="48" t="s">
        <v>149</v>
      </c>
      <c r="H15" s="49">
        <v>397569404761.90491</v>
      </c>
      <c r="I15" s="49">
        <v>703547872089.69409</v>
      </c>
      <c r="J15" s="50">
        <v>0.8848113859654676</v>
      </c>
      <c r="K15" s="61">
        <v>10745119047.619049</v>
      </c>
      <c r="L15" s="48" t="s">
        <v>143</v>
      </c>
      <c r="M15" s="49">
        <v>413687083333.33313</v>
      </c>
      <c r="N15" s="49">
        <v>691575097184.81885</v>
      </c>
      <c r="O15" s="50">
        <v>0.83586740443086815</v>
      </c>
      <c r="P15" s="61">
        <v>7521583333.333333</v>
      </c>
      <c r="Q15" s="48" t="s">
        <v>138</v>
      </c>
      <c r="R15" s="49">
        <v>419955069444.44458</v>
      </c>
      <c r="S15" s="49">
        <v>676698491925.70728</v>
      </c>
      <c r="T15" s="50">
        <v>0.80567963237222806</v>
      </c>
      <c r="U15" s="61">
        <v>6267986111.1111107</v>
      </c>
      <c r="V15" s="48" t="s">
        <v>136</v>
      </c>
      <c r="W15" s="49">
        <v>426223055555.55542</v>
      </c>
      <c r="X15" s="49">
        <v>651036772155.052</v>
      </c>
      <c r="Y15" s="50">
        <v>0.76372777547951487</v>
      </c>
      <c r="Z15" s="61">
        <v>5014388888.8888893</v>
      </c>
      <c r="AA15" s="48" t="s">
        <v>139</v>
      </c>
    </row>
    <row r="16" spans="1:27" x14ac:dyDescent="0.25">
      <c r="A16" s="8">
        <v>11</v>
      </c>
      <c r="B16" s="8" t="s">
        <v>150</v>
      </c>
      <c r="C16" s="24">
        <v>368557583333.33362</v>
      </c>
      <c r="D16" s="24">
        <v>680291445705.15894</v>
      </c>
      <c r="E16" s="25">
        <v>0.92291066100501962</v>
      </c>
      <c r="F16" s="60">
        <v>15043166666.66667</v>
      </c>
      <c r="G16" s="8" t="s">
        <v>151</v>
      </c>
      <c r="H16" s="24">
        <v>392196845238.0954</v>
      </c>
      <c r="I16" s="24">
        <v>695147912615.7074</v>
      </c>
      <c r="J16" s="25">
        <v>0.88622323337875919</v>
      </c>
      <c r="K16" s="60">
        <v>10745119047.619049</v>
      </c>
      <c r="L16" s="8" t="s">
        <v>145</v>
      </c>
      <c r="M16" s="24">
        <v>409926291666.66638</v>
      </c>
      <c r="N16" s="24">
        <v>686358764175.43481</v>
      </c>
      <c r="O16" s="25">
        <v>0.83717338717755485</v>
      </c>
      <c r="P16" s="60">
        <v>7521583333.333333</v>
      </c>
      <c r="Q16" s="8" t="s">
        <v>152</v>
      </c>
      <c r="R16" s="24">
        <v>416821076388.88898</v>
      </c>
      <c r="S16" s="24">
        <v>672686167454.34851</v>
      </c>
      <c r="T16" s="25">
        <v>0.80692436822309388</v>
      </c>
      <c r="U16" s="60">
        <v>6267986111.1111107</v>
      </c>
      <c r="V16" s="8" t="s">
        <v>138</v>
      </c>
      <c r="W16" s="24">
        <v>423715861111.11102</v>
      </c>
      <c r="X16" s="24">
        <v>648192505840.01331</v>
      </c>
      <c r="Y16" s="25">
        <v>0.76489053789520267</v>
      </c>
      <c r="Z16" s="60">
        <v>5014388888.8888893</v>
      </c>
      <c r="AA16" s="8" t="s">
        <v>139</v>
      </c>
    </row>
    <row r="17" spans="1:27" x14ac:dyDescent="0.25">
      <c r="A17" s="48">
        <v>12</v>
      </c>
      <c r="B17" s="48" t="s">
        <v>153</v>
      </c>
      <c r="C17" s="49">
        <v>361036000000.00018</v>
      </c>
      <c r="D17" s="49">
        <v>667515917190.8429</v>
      </c>
      <c r="E17" s="50">
        <v>0.92444509299743305</v>
      </c>
      <c r="F17" s="61">
        <v>15043166666.66667</v>
      </c>
      <c r="G17" s="48" t="s">
        <v>154</v>
      </c>
      <c r="H17" s="49">
        <v>386824285714.28589</v>
      </c>
      <c r="I17" s="49">
        <v>686719953276.80737</v>
      </c>
      <c r="J17" s="50">
        <v>0.88763810680701272</v>
      </c>
      <c r="K17" s="61">
        <v>10745119047.619049</v>
      </c>
      <c r="L17" s="48" t="s">
        <v>155</v>
      </c>
      <c r="M17" s="49">
        <v>406165499999.99982</v>
      </c>
      <c r="N17" s="49">
        <v>681125043389.35291</v>
      </c>
      <c r="O17" s="50">
        <v>0.83848214999717274</v>
      </c>
      <c r="P17" s="61">
        <v>7521583333.333333</v>
      </c>
      <c r="Q17" s="48" t="s">
        <v>141</v>
      </c>
      <c r="R17" s="49">
        <v>413687083333.3335</v>
      </c>
      <c r="S17" s="49">
        <v>668660468568.08521</v>
      </c>
      <c r="T17" s="50">
        <v>0.80817179881502821</v>
      </c>
      <c r="U17" s="61">
        <v>6267986111.1111107</v>
      </c>
      <c r="V17" s="48" t="s">
        <v>138</v>
      </c>
      <c r="W17" s="49">
        <v>421208666666.6665</v>
      </c>
      <c r="X17" s="49">
        <v>645338758637.25781</v>
      </c>
      <c r="Y17" s="50">
        <v>0.76605588833712435</v>
      </c>
      <c r="Z17" s="61">
        <v>5014388888.8888893</v>
      </c>
      <c r="AA17" s="48" t="s">
        <v>136</v>
      </c>
    </row>
    <row r="18" spans="1:27" x14ac:dyDescent="0.25">
      <c r="A18" s="8">
        <v>13</v>
      </c>
      <c r="B18" s="8" t="s">
        <v>156</v>
      </c>
      <c r="C18" s="24">
        <v>353514416666.66687</v>
      </c>
      <c r="D18" s="24">
        <v>654697803581.47913</v>
      </c>
      <c r="E18" s="25">
        <v>0.92598458890971014</v>
      </c>
      <c r="F18" s="60">
        <v>15043166666.66667</v>
      </c>
      <c r="G18" s="8" t="s">
        <v>157</v>
      </c>
      <c r="H18" s="24">
        <v>381451726190.47638</v>
      </c>
      <c r="I18" s="24">
        <v>678263900740.11108</v>
      </c>
      <c r="J18" s="25">
        <v>0.88905601177096616</v>
      </c>
      <c r="K18" s="60">
        <v>10745119047.619049</v>
      </c>
      <c r="L18" s="8" t="s">
        <v>147</v>
      </c>
      <c r="M18" s="24">
        <v>402404708333.33313</v>
      </c>
      <c r="N18" s="24">
        <v>675873876867.31738</v>
      </c>
      <c r="O18" s="25">
        <v>0.83979369881956667</v>
      </c>
      <c r="P18" s="60">
        <v>7521583333.333333</v>
      </c>
      <c r="Q18" s="8" t="s">
        <v>148</v>
      </c>
      <c r="R18" s="24">
        <v>410553090277.77802</v>
      </c>
      <c r="S18" s="24">
        <v>664621350685.53442</v>
      </c>
      <c r="T18" s="25">
        <v>0.80942193156536135</v>
      </c>
      <c r="U18" s="60">
        <v>6267986111.1111107</v>
      </c>
      <c r="V18" s="8" t="s">
        <v>152</v>
      </c>
      <c r="W18" s="24">
        <v>418701472222.22198</v>
      </c>
      <c r="X18" s="24">
        <v>642475498943.82642</v>
      </c>
      <c r="Y18" s="25">
        <v>0.76722383555751905</v>
      </c>
      <c r="Z18" s="60">
        <v>5014388888.8888893</v>
      </c>
      <c r="AA18" s="8" t="s">
        <v>136</v>
      </c>
    </row>
    <row r="19" spans="1:27" x14ac:dyDescent="0.25">
      <c r="A19" s="48">
        <v>14</v>
      </c>
      <c r="B19" s="48" t="s">
        <v>158</v>
      </c>
      <c r="C19" s="49">
        <v>345992833333.33362</v>
      </c>
      <c r="D19" s="49">
        <v>641836962926.75073</v>
      </c>
      <c r="E19" s="50">
        <v>0.92752927386272965</v>
      </c>
      <c r="F19" s="61">
        <v>15043166666.66667</v>
      </c>
      <c r="G19" s="48" t="s">
        <v>159</v>
      </c>
      <c r="H19" s="49">
        <v>376079166666.66687</v>
      </c>
      <c r="I19" s="49">
        <v>669779661361.62573</v>
      </c>
      <c r="J19" s="50">
        <v>0.89047695369320556</v>
      </c>
      <c r="K19" s="61">
        <v>10745119047.619049</v>
      </c>
      <c r="L19" s="48" t="s">
        <v>149</v>
      </c>
      <c r="M19" s="49">
        <v>398643916666.66638</v>
      </c>
      <c r="N19" s="49">
        <v>670605206456.87512</v>
      </c>
      <c r="O19" s="50">
        <v>0.84110803955603097</v>
      </c>
      <c r="P19" s="61">
        <v>7521583333.333333</v>
      </c>
      <c r="Q19" s="48" t="s">
        <v>143</v>
      </c>
      <c r="R19" s="49">
        <v>407419097222.22241</v>
      </c>
      <c r="S19" s="49">
        <v>660568769076.7085</v>
      </c>
      <c r="T19" s="50">
        <v>0.81067477393727605</v>
      </c>
      <c r="U19" s="61">
        <v>6267986111.1111107</v>
      </c>
      <c r="V19" s="48" t="s">
        <v>141</v>
      </c>
      <c r="W19" s="49">
        <v>416194277777.77759</v>
      </c>
      <c r="X19" s="49">
        <v>639602695051.41687</v>
      </c>
      <c r="Y19" s="50">
        <v>0.76839438839296803</v>
      </c>
      <c r="Z19" s="61">
        <v>5014388888.8888893</v>
      </c>
      <c r="AA19" s="48" t="s">
        <v>138</v>
      </c>
    </row>
    <row r="20" spans="1:27" x14ac:dyDescent="0.25">
      <c r="A20" s="8">
        <v>15</v>
      </c>
      <c r="B20" s="8" t="s">
        <v>158</v>
      </c>
      <c r="C20" s="24">
        <v>338471250000.00031</v>
      </c>
      <c r="D20" s="24">
        <v>628933252803.17322</v>
      </c>
      <c r="E20" s="25">
        <v>0.92907928340024837</v>
      </c>
      <c r="F20" s="60">
        <v>15043166666.66667</v>
      </c>
      <c r="G20" s="8" t="s">
        <v>160</v>
      </c>
      <c r="H20" s="24">
        <v>370706607142.85742</v>
      </c>
      <c r="I20" s="24">
        <v>661267141185.21216</v>
      </c>
      <c r="J20" s="25">
        <v>0.89190093788965419</v>
      </c>
      <c r="K20" s="60">
        <v>10745119047.619049</v>
      </c>
      <c r="L20" s="8" t="s">
        <v>151</v>
      </c>
      <c r="M20" s="24">
        <v>394883124999.99969</v>
      </c>
      <c r="N20" s="24">
        <v>665318973811.73132</v>
      </c>
      <c r="O20" s="25">
        <v>0.84242517809761031</v>
      </c>
      <c r="P20" s="60">
        <v>7521583333.333333</v>
      </c>
      <c r="Q20" s="8" t="s">
        <v>143</v>
      </c>
      <c r="R20" s="24">
        <v>404285104166.66687</v>
      </c>
      <c r="S20" s="24">
        <v>656502678862.51978</v>
      </c>
      <c r="T20" s="25">
        <v>0.81193033344097187</v>
      </c>
      <c r="U20" s="60">
        <v>6267986111.1111107</v>
      </c>
      <c r="V20" s="8" t="s">
        <v>141</v>
      </c>
      <c r="W20" s="24">
        <v>413687083333.33313</v>
      </c>
      <c r="X20" s="24">
        <v>636720315146.03271</v>
      </c>
      <c r="Y20" s="25">
        <v>0.76956755576652602</v>
      </c>
      <c r="Z20" s="60">
        <v>5014388888.8888893</v>
      </c>
      <c r="AA20" s="8" t="s">
        <v>138</v>
      </c>
    </row>
    <row r="21" spans="1:27" x14ac:dyDescent="0.25">
      <c r="A21" s="48">
        <v>16</v>
      </c>
      <c r="B21" s="48" t="s">
        <v>161</v>
      </c>
      <c r="C21" s="49">
        <v>330949666666.66699</v>
      </c>
      <c r="D21" s="49">
        <v>615986530312.51721</v>
      </c>
      <c r="E21" s="50">
        <v>0.93063476467093675</v>
      </c>
      <c r="F21" s="61">
        <v>15043166666.66667</v>
      </c>
      <c r="G21" s="48" t="s">
        <v>162</v>
      </c>
      <c r="H21" s="49">
        <v>365334047619.04791</v>
      </c>
      <c r="I21" s="49">
        <v>652726245941.54382</v>
      </c>
      <c r="J21" s="50">
        <v>0.89332796956030536</v>
      </c>
      <c r="K21" s="61">
        <v>10745119047.619049</v>
      </c>
      <c r="L21" s="48" t="s">
        <v>163</v>
      </c>
      <c r="M21" s="49">
        <v>391122333333.33301</v>
      </c>
      <c r="N21" s="49">
        <v>660015120391.10376</v>
      </c>
      <c r="O21" s="50">
        <v>0.84374512031330051</v>
      </c>
      <c r="P21" s="61">
        <v>7521583333.333333</v>
      </c>
      <c r="Q21" s="48" t="s">
        <v>145</v>
      </c>
      <c r="R21" s="49">
        <v>401151111111.11133</v>
      </c>
      <c r="S21" s="49">
        <v>652423035014.28381</v>
      </c>
      <c r="T21" s="50">
        <v>0.81318861763488282</v>
      </c>
      <c r="U21" s="61">
        <v>6267986111.1111107</v>
      </c>
      <c r="V21" s="48" t="s">
        <v>148</v>
      </c>
      <c r="W21" s="49">
        <v>411179888888.88867</v>
      </c>
      <c r="X21" s="49">
        <v>633828327307.63062</v>
      </c>
      <c r="Y21" s="50">
        <v>0.77074334668992928</v>
      </c>
      <c r="Z21" s="61">
        <v>5014388888.8888893</v>
      </c>
      <c r="AA21" s="48" t="s">
        <v>152</v>
      </c>
    </row>
    <row r="22" spans="1:27" x14ac:dyDescent="0.25">
      <c r="A22" s="8">
        <v>17</v>
      </c>
      <c r="B22" s="8" t="s">
        <v>164</v>
      </c>
      <c r="C22" s="24">
        <v>323428083333.33368</v>
      </c>
      <c r="D22" s="24">
        <v>602996652080.22559</v>
      </c>
      <c r="E22" s="25">
        <v>0.93219587777533996</v>
      </c>
      <c r="F22" s="60">
        <v>15043166666.66667</v>
      </c>
      <c r="G22" s="8" t="s">
        <v>165</v>
      </c>
      <c r="H22" s="24">
        <v>359961488095.23828</v>
      </c>
      <c r="I22" s="24">
        <v>644156881047.06323</v>
      </c>
      <c r="J22" s="25">
        <v>0.89475805377912077</v>
      </c>
      <c r="K22" s="60">
        <v>10745119047.619049</v>
      </c>
      <c r="L22" s="8" t="s">
        <v>154</v>
      </c>
      <c r="M22" s="24">
        <v>387361541666.66632</v>
      </c>
      <c r="N22" s="24">
        <v>654693587459.0741</v>
      </c>
      <c r="O22" s="25">
        <v>0.84506787204814104</v>
      </c>
      <c r="P22" s="60">
        <v>7521583333.333333</v>
      </c>
      <c r="Q22" s="8" t="s">
        <v>155</v>
      </c>
      <c r="R22" s="24">
        <v>398017118055.55579</v>
      </c>
      <c r="S22" s="24">
        <v>648329792353.22034</v>
      </c>
      <c r="T22" s="25">
        <v>0.81444963412694926</v>
      </c>
      <c r="U22" s="60">
        <v>6267986111.1111107</v>
      </c>
      <c r="V22" s="8" t="s">
        <v>143</v>
      </c>
      <c r="W22" s="24">
        <v>408672694444.44421</v>
      </c>
      <c r="X22" s="24">
        <v>630926699509.76709</v>
      </c>
      <c r="Y22" s="25">
        <v>0.77192177026588271</v>
      </c>
      <c r="Z22" s="60">
        <v>5014388888.8888893</v>
      </c>
      <c r="AA22" s="8" t="s">
        <v>152</v>
      </c>
    </row>
    <row r="23" spans="1:27" x14ac:dyDescent="0.25">
      <c r="A23" s="48">
        <v>18</v>
      </c>
      <c r="B23" s="48" t="s">
        <v>166</v>
      </c>
      <c r="C23" s="49">
        <v>315906500000.00043</v>
      </c>
      <c r="D23" s="49">
        <v>589963474253.82642</v>
      </c>
      <c r="E23" s="50">
        <v>0.93376279730525602</v>
      </c>
      <c r="F23" s="61">
        <v>15043166666.66667</v>
      </c>
      <c r="G23" s="48" t="s">
        <v>167</v>
      </c>
      <c r="H23" s="49">
        <v>354588928571.42877</v>
      </c>
      <c r="I23" s="49">
        <v>635558951602.93445</v>
      </c>
      <c r="J23" s="50">
        <v>0.89619119548300652</v>
      </c>
      <c r="K23" s="61">
        <v>10745119047.619049</v>
      </c>
      <c r="L23" s="48" t="s">
        <v>168</v>
      </c>
      <c r="M23" s="49">
        <v>383600749999.99957</v>
      </c>
      <c r="N23" s="49">
        <v>649354316083.93762</v>
      </c>
      <c r="O23" s="50">
        <v>0.84639343912119336</v>
      </c>
      <c r="P23" s="61">
        <v>7521583333.333333</v>
      </c>
      <c r="Q23" s="48" t="s">
        <v>147</v>
      </c>
      <c r="R23" s="49">
        <v>394883125000.00018</v>
      </c>
      <c r="S23" s="49">
        <v>644222905549.95337</v>
      </c>
      <c r="T23" s="50">
        <v>0.81571339057594949</v>
      </c>
      <c r="U23" s="61">
        <v>6267986111.1111107</v>
      </c>
      <c r="V23" s="48" t="s">
        <v>143</v>
      </c>
      <c r="W23" s="49">
        <v>406165499999.99982</v>
      </c>
      <c r="X23" s="49">
        <v>628015399619.24402</v>
      </c>
      <c r="Y23" s="50">
        <v>0.77310283569043214</v>
      </c>
      <c r="Z23" s="61">
        <v>5014388888.8888893</v>
      </c>
      <c r="AA23" s="48" t="s">
        <v>141</v>
      </c>
    </row>
    <row r="24" spans="1:27" x14ac:dyDescent="0.25">
      <c r="A24" s="8">
        <v>19</v>
      </c>
      <c r="B24" s="8" t="s">
        <v>169</v>
      </c>
      <c r="C24" s="24">
        <v>308384916666.66711</v>
      </c>
      <c r="D24" s="24">
        <v>576886852501.33923</v>
      </c>
      <c r="E24" s="25">
        <v>0.93533571410837779</v>
      </c>
      <c r="F24" s="60">
        <v>15043166666.66667</v>
      </c>
      <c r="G24" s="8" t="s">
        <v>170</v>
      </c>
      <c r="H24" s="24">
        <v>349216369047.61932</v>
      </c>
      <c r="I24" s="24">
        <v>626932362393.99182</v>
      </c>
      <c r="J24" s="25">
        <v>0.89762739945976444</v>
      </c>
      <c r="K24" s="60">
        <v>10745119047.619049</v>
      </c>
      <c r="L24" s="8" t="s">
        <v>159</v>
      </c>
      <c r="M24" s="24">
        <v>379839958333.33289</v>
      </c>
      <c r="N24" s="24">
        <v>643997247137.55066</v>
      </c>
      <c r="O24" s="25">
        <v>0.84772182732339529</v>
      </c>
      <c r="P24" s="60">
        <v>7521583333.333333</v>
      </c>
      <c r="Q24" s="8" t="s">
        <v>171</v>
      </c>
      <c r="R24" s="24">
        <v>391749131944.4447</v>
      </c>
      <c r="S24" s="24">
        <v>640102329124.00879</v>
      </c>
      <c r="T24" s="25">
        <v>0.81697989469289223</v>
      </c>
      <c r="U24" s="60">
        <v>6267986111.1111107</v>
      </c>
      <c r="V24" s="8" t="s">
        <v>145</v>
      </c>
      <c r="W24" s="24">
        <v>403658305555.5553</v>
      </c>
      <c r="X24" s="24">
        <v>625094395395.75256</v>
      </c>
      <c r="Y24" s="25">
        <v>0.77428655225542131</v>
      </c>
      <c r="Z24" s="60">
        <v>5014388888.8888893</v>
      </c>
      <c r="AA24" s="8" t="s">
        <v>148</v>
      </c>
    </row>
    <row r="25" spans="1:27" x14ac:dyDescent="0.25">
      <c r="A25" s="48">
        <v>20</v>
      </c>
      <c r="B25" s="48" t="s">
        <v>172</v>
      </c>
      <c r="C25" s="49">
        <v>300863333333.33368</v>
      </c>
      <c r="D25" s="49">
        <v>563766642009.67712</v>
      </c>
      <c r="E25" s="50">
        <v>0.93691483731762437</v>
      </c>
      <c r="F25" s="61">
        <v>15043166666.66667</v>
      </c>
      <c r="G25" s="48" t="s">
        <v>173</v>
      </c>
      <c r="H25" s="49">
        <v>343843809523.80981</v>
      </c>
      <c r="I25" s="49">
        <v>618277017887.68616</v>
      </c>
      <c r="J25" s="50">
        <v>0.89906667033491106</v>
      </c>
      <c r="K25" s="61">
        <v>10745119047.619049</v>
      </c>
      <c r="L25" s="48" t="s">
        <v>174</v>
      </c>
      <c r="M25" s="49">
        <v>376079166666.66632</v>
      </c>
      <c r="N25" s="49">
        <v>638622321294.67578</v>
      </c>
      <c r="O25" s="50">
        <v>0.84905304241528468</v>
      </c>
      <c r="P25" s="61">
        <v>7521583333.333333</v>
      </c>
      <c r="Q25" s="48" t="s">
        <v>149</v>
      </c>
      <c r="R25" s="49">
        <v>388615138888.88922</v>
      </c>
      <c r="S25" s="49">
        <v>635968017443.31104</v>
      </c>
      <c r="T25" s="50">
        <v>0.81824915424247502</v>
      </c>
      <c r="U25" s="61">
        <v>6267986111.1111107</v>
      </c>
      <c r="V25" s="48" t="s">
        <v>155</v>
      </c>
      <c r="W25" s="49">
        <v>401151111111.11078</v>
      </c>
      <c r="X25" s="49">
        <v>622163654491.51611</v>
      </c>
      <c r="Y25" s="50">
        <v>0.77547292935104095</v>
      </c>
      <c r="Z25" s="61">
        <v>5014388888.8888893</v>
      </c>
      <c r="AA25" s="48" t="s">
        <v>148</v>
      </c>
    </row>
    <row r="26" spans="1:27" x14ac:dyDescent="0.25">
      <c r="A26" s="8">
        <v>21</v>
      </c>
      <c r="B26" s="8" t="s">
        <v>175</v>
      </c>
      <c r="C26" s="24">
        <v>293341750000.00043</v>
      </c>
      <c r="D26" s="24">
        <v>550602697483.04272</v>
      </c>
      <c r="E26" s="25">
        <v>0.93850039669266638</v>
      </c>
      <c r="F26" s="60">
        <v>15043166666.66667</v>
      </c>
      <c r="G26" s="8" t="s">
        <v>176</v>
      </c>
      <c r="H26" s="24">
        <v>338471250000.00031</v>
      </c>
      <c r="I26" s="24">
        <v>609592822233.02612</v>
      </c>
      <c r="J26" s="25">
        <v>0.90050901255723426</v>
      </c>
      <c r="K26" s="60">
        <v>10745119047.619049</v>
      </c>
      <c r="L26" s="8" t="s">
        <v>160</v>
      </c>
      <c r="M26" s="24">
        <v>372318374999.99957</v>
      </c>
      <c r="N26" s="24">
        <v>633229479032.32471</v>
      </c>
      <c r="O26" s="25">
        <v>0.85038709012458147</v>
      </c>
      <c r="P26" s="60">
        <v>7521583333.333333</v>
      </c>
      <c r="Q26" s="8" t="s">
        <v>151</v>
      </c>
      <c r="R26" s="24">
        <v>385481145833.33362</v>
      </c>
      <c r="S26" s="24">
        <v>631819924723.67761</v>
      </c>
      <c r="T26" s="25">
        <v>0.81952117704461069</v>
      </c>
      <c r="U26" s="60">
        <v>6267986111.1111107</v>
      </c>
      <c r="V26" s="8" t="s">
        <v>147</v>
      </c>
      <c r="W26" s="24">
        <v>398643916666.66638</v>
      </c>
      <c r="X26" s="24">
        <v>619223144450.93225</v>
      </c>
      <c r="Y26" s="25">
        <v>0.77666197646847246</v>
      </c>
      <c r="Z26" s="60">
        <v>5014388888.8888893</v>
      </c>
      <c r="AA26" s="8" t="s">
        <v>143</v>
      </c>
    </row>
    <row r="27" spans="1:27" x14ac:dyDescent="0.25">
      <c r="A27" s="48">
        <v>22</v>
      </c>
      <c r="B27" s="48" t="s">
        <v>175</v>
      </c>
      <c r="C27" s="49">
        <v>285820166666.66711</v>
      </c>
      <c r="D27" s="49">
        <v>537394873141.31952</v>
      </c>
      <c r="E27" s="50">
        <v>0.94009264533115866</v>
      </c>
      <c r="F27" s="61">
        <v>15043166666.66667</v>
      </c>
      <c r="G27" s="48" t="s">
        <v>177</v>
      </c>
      <c r="H27" s="49">
        <v>333098690476.1908</v>
      </c>
      <c r="I27" s="49">
        <v>600879679259.51721</v>
      </c>
      <c r="J27" s="50">
        <v>0.90195443038294809</v>
      </c>
      <c r="K27" s="61">
        <v>10745119047.619049</v>
      </c>
      <c r="L27" s="48" t="s">
        <v>178</v>
      </c>
      <c r="M27" s="49">
        <v>368557583333.33289</v>
      </c>
      <c r="N27" s="49">
        <v>627818660629.09912</v>
      </c>
      <c r="O27" s="50">
        <v>0.85172397614361917</v>
      </c>
      <c r="P27" s="61">
        <v>7521583333.333333</v>
      </c>
      <c r="Q27" s="48" t="s">
        <v>151</v>
      </c>
      <c r="R27" s="49">
        <v>382347152777.77808</v>
      </c>
      <c r="S27" s="49">
        <v>627658005028.31213</v>
      </c>
      <c r="T27" s="50">
        <v>0.82079597097602797</v>
      </c>
      <c r="U27" s="61">
        <v>6267986111.1111107</v>
      </c>
      <c r="V27" s="48" t="s">
        <v>147</v>
      </c>
      <c r="W27" s="49">
        <v>396136722222.22192</v>
      </c>
      <c r="X27" s="49">
        <v>616272832710.21313</v>
      </c>
      <c r="Y27" s="50">
        <v>0.77785370320262914</v>
      </c>
      <c r="Z27" s="61">
        <v>5014388888.8888893</v>
      </c>
      <c r="AA27" s="48" t="s">
        <v>143</v>
      </c>
    </row>
    <row r="28" spans="1:27" x14ac:dyDescent="0.25">
      <c r="A28" s="8">
        <v>23</v>
      </c>
      <c r="B28" s="8" t="s">
        <v>179</v>
      </c>
      <c r="C28" s="24">
        <v>278298583333.3338</v>
      </c>
      <c r="D28" s="24">
        <v>524143022718.45721</v>
      </c>
      <c r="E28" s="25">
        <v>0.94169186281962092</v>
      </c>
      <c r="F28" s="60">
        <v>15043166666.66667</v>
      </c>
      <c r="G28" s="8" t="s">
        <v>180</v>
      </c>
      <c r="H28" s="24">
        <v>327726130952.38129</v>
      </c>
      <c r="I28" s="24">
        <v>592137492476.09656</v>
      </c>
      <c r="J28" s="25">
        <v>0.90340292785828291</v>
      </c>
      <c r="K28" s="60">
        <v>10745119047.619049</v>
      </c>
      <c r="L28" s="8" t="s">
        <v>162</v>
      </c>
      <c r="M28" s="24">
        <v>364796791666.6662</v>
      </c>
      <c r="N28" s="24">
        <v>622389806164.52942</v>
      </c>
      <c r="O28" s="25">
        <v>0.85306370612661442</v>
      </c>
      <c r="P28" s="60">
        <v>7521583333.333333</v>
      </c>
      <c r="Q28" s="8" t="s">
        <v>163</v>
      </c>
      <c r="R28" s="24">
        <v>379213159722.22247</v>
      </c>
      <c r="S28" s="24">
        <v>623482212267.29541</v>
      </c>
      <c r="T28" s="25">
        <v>0.82207354397194765</v>
      </c>
      <c r="U28" s="60">
        <v>6267986111.1111107</v>
      </c>
      <c r="V28" s="8" t="s">
        <v>171</v>
      </c>
      <c r="W28" s="24">
        <v>393629527777.77753</v>
      </c>
      <c r="X28" s="24">
        <v>613312686597.0249</v>
      </c>
      <c r="Y28" s="25">
        <v>0.77904811925500284</v>
      </c>
      <c r="Z28" s="60">
        <v>5014388888.8888893</v>
      </c>
      <c r="AA28" s="8" t="s">
        <v>145</v>
      </c>
    </row>
    <row r="29" spans="1:27" x14ac:dyDescent="0.25">
      <c r="A29" s="48">
        <v>24</v>
      </c>
      <c r="B29" s="48" t="s">
        <v>181</v>
      </c>
      <c r="C29" s="49">
        <v>270777000000.00049</v>
      </c>
      <c r="D29" s="49">
        <v>510846999460.85211</v>
      </c>
      <c r="E29" s="50">
        <v>0.94329835890945535</v>
      </c>
      <c r="F29" s="61">
        <v>15043166666.66667</v>
      </c>
      <c r="G29" s="48" t="s">
        <v>182</v>
      </c>
      <c r="H29" s="49">
        <v>322353571428.57178</v>
      </c>
      <c r="I29" s="49">
        <v>583366165070.06458</v>
      </c>
      <c r="J29" s="50">
        <v>0.90485450880032958</v>
      </c>
      <c r="K29" s="61">
        <v>10745119047.619049</v>
      </c>
      <c r="L29" s="48" t="s">
        <v>183</v>
      </c>
      <c r="M29" s="49">
        <v>361035999999.99951</v>
      </c>
      <c r="N29" s="49">
        <v>616942855518.41113</v>
      </c>
      <c r="O29" s="50">
        <v>0.85440628568676247</v>
      </c>
      <c r="P29" s="61">
        <v>7521583333.333333</v>
      </c>
      <c r="Q29" s="48" t="s">
        <v>154</v>
      </c>
      <c r="R29" s="49">
        <v>376079166666.66699</v>
      </c>
      <c r="S29" s="49">
        <v>619292500197.07532</v>
      </c>
      <c r="T29" s="50">
        <v>0.82335390402784181</v>
      </c>
      <c r="U29" s="61">
        <v>6267986111.1111107</v>
      </c>
      <c r="V29" s="48" t="s">
        <v>149</v>
      </c>
      <c r="W29" s="49">
        <v>391122333333.33301</v>
      </c>
      <c r="X29" s="49">
        <v>610342673330.1261</v>
      </c>
      <c r="Y29" s="50">
        <v>0.78024523443661697</v>
      </c>
      <c r="Z29" s="61">
        <v>5014388888.8888893</v>
      </c>
      <c r="AA29" s="48" t="s">
        <v>145</v>
      </c>
    </row>
    <row r="30" spans="1:27" x14ac:dyDescent="0.25">
      <c r="A30" s="8">
        <v>25</v>
      </c>
      <c r="B30" s="8" t="s">
        <v>184</v>
      </c>
      <c r="C30" s="24">
        <v>263255416666.66711</v>
      </c>
      <c r="D30" s="24">
        <v>497506656125.72162</v>
      </c>
      <c r="E30" s="25">
        <v>0.94491247782312937</v>
      </c>
      <c r="F30" s="60">
        <v>15043166666.66667</v>
      </c>
      <c r="G30" s="8" t="s">
        <v>185</v>
      </c>
      <c r="H30" s="24">
        <v>316981011904.76233</v>
      </c>
      <c r="I30" s="24">
        <v>574565599906.01245</v>
      </c>
      <c r="J30" s="25">
        <v>0.90630917677592959</v>
      </c>
      <c r="K30" s="60">
        <v>10745119047.619049</v>
      </c>
      <c r="L30" s="8" t="s">
        <v>167</v>
      </c>
      <c r="M30" s="24">
        <v>357275208333.33282</v>
      </c>
      <c r="N30" s="24">
        <v>611477748370.13916</v>
      </c>
      <c r="O30" s="25">
        <v>0.85575172039314706</v>
      </c>
      <c r="P30" s="60">
        <v>7521583333.333333</v>
      </c>
      <c r="Q30" s="8" t="s">
        <v>168</v>
      </c>
      <c r="R30" s="24">
        <v>372945173611.11151</v>
      </c>
      <c r="S30" s="24">
        <v>615088822419.95447</v>
      </c>
      <c r="T30" s="25">
        <v>0.82463705920127861</v>
      </c>
      <c r="U30" s="60">
        <v>6267986111.1111107</v>
      </c>
      <c r="V30" s="8" t="s">
        <v>149</v>
      </c>
      <c r="W30" s="24">
        <v>388615138888.88849</v>
      </c>
      <c r="X30" s="24">
        <v>607362760019.00427</v>
      </c>
      <c r="Y30" s="25">
        <v>0.78144505867109215</v>
      </c>
      <c r="Z30" s="60">
        <v>5014388888.8888893</v>
      </c>
      <c r="AA30" s="8" t="s">
        <v>155</v>
      </c>
    </row>
    <row r="31" spans="1:27" x14ac:dyDescent="0.25">
      <c r="A31" s="48">
        <v>26</v>
      </c>
      <c r="B31" s="48" t="s">
        <v>186</v>
      </c>
      <c r="C31" s="49">
        <v>255733833333.3338</v>
      </c>
      <c r="D31" s="49">
        <v>484121844979.47388</v>
      </c>
      <c r="E31" s="50">
        <v>0.94653460332026162</v>
      </c>
      <c r="F31" s="61">
        <v>15043166666.66667</v>
      </c>
      <c r="G31" s="48" t="s">
        <v>187</v>
      </c>
      <c r="H31" s="49">
        <v>311608452380.95282</v>
      </c>
      <c r="I31" s="49">
        <v>565735699524.74683</v>
      </c>
      <c r="J31" s="50">
        <v>0.90776693507837547</v>
      </c>
      <c r="K31" s="61">
        <v>10745119047.619049</v>
      </c>
      <c r="L31" s="48" t="s">
        <v>188</v>
      </c>
      <c r="M31" s="49">
        <v>353514416666.66608</v>
      </c>
      <c r="N31" s="49">
        <v>605994424198.03955</v>
      </c>
      <c r="O31" s="50">
        <v>0.8571000157674481</v>
      </c>
      <c r="P31" s="61">
        <v>7521583333.333333</v>
      </c>
      <c r="Q31" s="48" t="s">
        <v>157</v>
      </c>
      <c r="R31" s="49">
        <v>369811180555.55591</v>
      </c>
      <c r="S31" s="49">
        <v>610871132383.57654</v>
      </c>
      <c r="T31" s="50">
        <v>0.82592301761385867</v>
      </c>
      <c r="U31" s="61">
        <v>6267986111.1111107</v>
      </c>
      <c r="V31" s="48" t="s">
        <v>151</v>
      </c>
      <c r="W31" s="49">
        <v>386107944444.44409</v>
      </c>
      <c r="X31" s="49">
        <v>604372913663.51208</v>
      </c>
      <c r="Y31" s="50">
        <v>0.78264760199783134</v>
      </c>
      <c r="Z31" s="61">
        <v>5014388888.8888893</v>
      </c>
      <c r="AA31" s="48" t="s">
        <v>155</v>
      </c>
    </row>
    <row r="32" spans="1:27" x14ac:dyDescent="0.25">
      <c r="A32" s="8">
        <v>27</v>
      </c>
      <c r="B32" s="8" t="s">
        <v>186</v>
      </c>
      <c r="C32" s="24">
        <v>248212250000.0004</v>
      </c>
      <c r="D32" s="24">
        <v>470692417796.07208</v>
      </c>
      <c r="E32" s="25">
        <v>0.94816516468480372</v>
      </c>
      <c r="F32" s="60">
        <v>15043166666.66667</v>
      </c>
      <c r="G32" s="8" t="s">
        <v>189</v>
      </c>
      <c r="H32" s="24">
        <v>306235892857.14319</v>
      </c>
      <c r="I32" s="24">
        <v>556876366142.21033</v>
      </c>
      <c r="J32" s="25">
        <v>0.90922778670165383</v>
      </c>
      <c r="K32" s="60">
        <v>10745119047.619049</v>
      </c>
      <c r="L32" s="8" t="s">
        <v>170</v>
      </c>
      <c r="M32" s="24">
        <v>349753624999.99951</v>
      </c>
      <c r="N32" s="24">
        <v>600492822278.69958</v>
      </c>
      <c r="O32" s="25">
        <v>0.85845117728043641</v>
      </c>
      <c r="P32" s="60">
        <v>7521583333.333333</v>
      </c>
      <c r="Q32" s="8" t="s">
        <v>157</v>
      </c>
      <c r="R32" s="24">
        <v>366677187500.00043</v>
      </c>
      <c r="S32" s="24">
        <v>606639383380.41077</v>
      </c>
      <c r="T32" s="25">
        <v>0.82721178745324886</v>
      </c>
      <c r="U32" s="60">
        <v>6267986111.1111107</v>
      </c>
      <c r="V32" s="8" t="s">
        <v>163</v>
      </c>
      <c r="W32" s="24">
        <v>383600749999.99957</v>
      </c>
      <c r="X32" s="24">
        <v>601373101153.50159</v>
      </c>
      <c r="Y32" s="25">
        <v>0.78385287457532626</v>
      </c>
      <c r="Z32" s="60">
        <v>5014388888.8888893</v>
      </c>
      <c r="AA32" s="8" t="s">
        <v>147</v>
      </c>
    </row>
    <row r="33" spans="1:27" x14ac:dyDescent="0.25">
      <c r="A33" s="48">
        <v>28</v>
      </c>
      <c r="B33" s="48" t="s">
        <v>190</v>
      </c>
      <c r="C33" s="49">
        <v>240690666666.66711</v>
      </c>
      <c r="D33" s="49">
        <v>457218225855.39227</v>
      </c>
      <c r="E33" s="50">
        <v>0.94980464383480778</v>
      </c>
      <c r="F33" s="61">
        <v>15043166666.66667</v>
      </c>
      <c r="G33" s="48" t="s">
        <v>191</v>
      </c>
      <c r="H33" s="49">
        <v>300863333333.33368</v>
      </c>
      <c r="I33" s="49">
        <v>547987501648.39868</v>
      </c>
      <c r="J33" s="50">
        <v>0.91069173431192119</v>
      </c>
      <c r="K33" s="61">
        <v>10745119047.619049</v>
      </c>
      <c r="L33" s="48" t="s">
        <v>173</v>
      </c>
      <c r="M33" s="49">
        <v>345992833333.33282</v>
      </c>
      <c r="N33" s="49">
        <v>594972881686.29517</v>
      </c>
      <c r="O33" s="50">
        <v>0.85980521034823387</v>
      </c>
      <c r="P33" s="61">
        <v>7521583333.333333</v>
      </c>
      <c r="Q33" s="48" t="s">
        <v>159</v>
      </c>
      <c r="R33" s="49">
        <v>363543194444.44482</v>
      </c>
      <c r="S33" s="49">
        <v>602393528547.23438</v>
      </c>
      <c r="T33" s="50">
        <v>0.82850337697531795</v>
      </c>
      <c r="U33" s="61">
        <v>6267986111.1111107</v>
      </c>
      <c r="V33" s="48" t="s">
        <v>163</v>
      </c>
      <c r="W33" s="49">
        <v>381093555555.55518</v>
      </c>
      <c r="X33" s="49">
        <v>598363289268.45764</v>
      </c>
      <c r="Y33" s="50">
        <v>0.78506088668459428</v>
      </c>
      <c r="Z33" s="61">
        <v>5014388888.8888893</v>
      </c>
      <c r="AA33" s="48" t="s">
        <v>171</v>
      </c>
    </row>
    <row r="34" spans="1:27" x14ac:dyDescent="0.25">
      <c r="A34" s="8">
        <v>29</v>
      </c>
      <c r="B34" s="8" t="s">
        <v>192</v>
      </c>
      <c r="C34" s="24">
        <v>233169083333.33371</v>
      </c>
      <c r="D34" s="24">
        <v>443699119941.57703</v>
      </c>
      <c r="E34" s="25">
        <v>0.95145358380826539</v>
      </c>
      <c r="F34" s="60">
        <v>15043166666.66667</v>
      </c>
      <c r="G34" s="8" t="s">
        <v>193</v>
      </c>
      <c r="H34" s="24">
        <v>295490773809.52417</v>
      </c>
      <c r="I34" s="24">
        <v>539069007606.27429</v>
      </c>
      <c r="J34" s="25">
        <v>0.91215878021586316</v>
      </c>
      <c r="K34" s="60">
        <v>10745119047.619049</v>
      </c>
      <c r="L34" s="8" t="s">
        <v>176</v>
      </c>
      <c r="M34" s="24">
        <v>342232041666.66608</v>
      </c>
      <c r="N34" s="24">
        <v>589434541291.91614</v>
      </c>
      <c r="O34" s="25">
        <v>0.86116212032832573</v>
      </c>
      <c r="P34" s="60">
        <v>7521583333.333333</v>
      </c>
      <c r="Q34" s="8" t="s">
        <v>174</v>
      </c>
      <c r="R34" s="24">
        <v>360409201388.88928</v>
      </c>
      <c r="S34" s="24">
        <v>598133520864.61401</v>
      </c>
      <c r="T34" s="25">
        <v>0.82979779450638258</v>
      </c>
      <c r="U34" s="60">
        <v>6267986111.1111107</v>
      </c>
      <c r="V34" s="8" t="s">
        <v>154</v>
      </c>
      <c r="W34" s="24">
        <v>378586361111.11072</v>
      </c>
      <c r="X34" s="24">
        <v>595343444677.13025</v>
      </c>
      <c r="Y34" s="25">
        <v>0.78627164873274957</v>
      </c>
      <c r="Z34" s="60">
        <v>5014388888.8888893</v>
      </c>
      <c r="AA34" s="8" t="s">
        <v>171</v>
      </c>
    </row>
    <row r="35" spans="1:27" x14ac:dyDescent="0.25">
      <c r="A35" s="48">
        <v>30</v>
      </c>
      <c r="B35" s="48" t="s">
        <v>194</v>
      </c>
      <c r="C35" s="49">
        <v>225647500000.0004</v>
      </c>
      <c r="D35" s="49">
        <v>430134950341.3822</v>
      </c>
      <c r="E35" s="50">
        <v>0.95311259894610278</v>
      </c>
      <c r="F35" s="61">
        <v>15043166666.66667</v>
      </c>
      <c r="G35" s="48" t="s">
        <v>195</v>
      </c>
      <c r="H35" s="49">
        <v>290118214285.71472</v>
      </c>
      <c r="I35" s="49">
        <v>530120785250.67621</v>
      </c>
      <c r="J35" s="50">
        <v>0.91362892632553183</v>
      </c>
      <c r="K35" s="61">
        <v>10745119047.619049</v>
      </c>
      <c r="L35" s="48" t="s">
        <v>196</v>
      </c>
      <c r="M35" s="49">
        <v>338471249999.99939</v>
      </c>
      <c r="N35" s="49">
        <v>583877739762.88916</v>
      </c>
      <c r="O35" s="50">
        <v>0.86252191251530252</v>
      </c>
      <c r="P35" s="61">
        <v>7521583333.333333</v>
      </c>
      <c r="Q35" s="48" t="s">
        <v>160</v>
      </c>
      <c r="R35" s="49">
        <v>357275208333.33368</v>
      </c>
      <c r="S35" s="49">
        <v>593859313156.38501</v>
      </c>
      <c r="T35" s="50">
        <v>0.83109504844556825</v>
      </c>
      <c r="U35" s="61">
        <v>6267986111.1111107</v>
      </c>
      <c r="V35" s="48" t="s">
        <v>168</v>
      </c>
      <c r="W35" s="49">
        <v>376079166666.66632</v>
      </c>
      <c r="X35" s="49">
        <v>592313533937.16516</v>
      </c>
      <c r="Y35" s="50">
        <v>0.78748517125671558</v>
      </c>
      <c r="Z35" s="61">
        <v>5014388888.8888893</v>
      </c>
      <c r="AA35" s="48" t="s">
        <v>149</v>
      </c>
    </row>
    <row r="36" spans="1:27" x14ac:dyDescent="0.25">
      <c r="A36" s="8">
        <v>31</v>
      </c>
      <c r="B36" s="8" t="s">
        <v>197</v>
      </c>
      <c r="C36" s="24">
        <v>218125916666.66711</v>
      </c>
      <c r="D36" s="24">
        <v>416525566842.52008</v>
      </c>
      <c r="E36" s="25">
        <v>0.95478238718198949</v>
      </c>
      <c r="F36" s="60">
        <v>15043166666.66667</v>
      </c>
      <c r="G36" s="8" t="s">
        <v>198</v>
      </c>
      <c r="H36" s="24">
        <v>284745654761.90521</v>
      </c>
      <c r="I36" s="24">
        <v>521142735487.22607</v>
      </c>
      <c r="J36" s="25">
        <v>0.91510217411919459</v>
      </c>
      <c r="K36" s="60">
        <v>10745119047.619049</v>
      </c>
      <c r="L36" s="8" t="s">
        <v>177</v>
      </c>
      <c r="M36" s="24">
        <v>334710458333.3327</v>
      </c>
      <c r="N36" s="24">
        <v>578302415562.09875</v>
      </c>
      <c r="O36" s="25">
        <v>0.86388459213631263</v>
      </c>
      <c r="P36" s="60">
        <v>7521583333.333333</v>
      </c>
      <c r="Q36" s="8" t="s">
        <v>178</v>
      </c>
      <c r="R36" s="24">
        <v>354141215277.7782</v>
      </c>
      <c r="S36" s="24">
        <v>589570858089.12854</v>
      </c>
      <c r="T36" s="25">
        <v>0.83239514726729291</v>
      </c>
      <c r="U36" s="60">
        <v>6267986111.1111107</v>
      </c>
      <c r="V36" s="8" t="s">
        <v>157</v>
      </c>
      <c r="W36" s="24">
        <v>373571972222.2218</v>
      </c>
      <c r="X36" s="24">
        <v>589273523494.73352</v>
      </c>
      <c r="Y36" s="25">
        <v>0.78870146492708537</v>
      </c>
      <c r="Z36" s="60">
        <v>5014388888.8888893</v>
      </c>
      <c r="AA36" s="8" t="s">
        <v>149</v>
      </c>
    </row>
    <row r="37" spans="1:27" x14ac:dyDescent="0.25">
      <c r="A37" s="48">
        <v>32</v>
      </c>
      <c r="B37" s="48" t="s">
        <v>199</v>
      </c>
      <c r="C37" s="49">
        <v>210604333333.33371</v>
      </c>
      <c r="D37" s="49">
        <v>402870818731.99518</v>
      </c>
      <c r="E37" s="50">
        <v>0.956463744965665</v>
      </c>
      <c r="F37" s="61">
        <v>15043166666.66667</v>
      </c>
      <c r="G37" s="48" t="s">
        <v>200</v>
      </c>
      <c r="H37" s="49">
        <v>279373095238.0957</v>
      </c>
      <c r="I37" s="49">
        <v>512134758891.2312</v>
      </c>
      <c r="J37" s="50">
        <v>0.91657852459766098</v>
      </c>
      <c r="K37" s="61">
        <v>10745119047.619049</v>
      </c>
      <c r="L37" s="48" t="s">
        <v>180</v>
      </c>
      <c r="M37" s="49">
        <v>330949666666.66602</v>
      </c>
      <c r="N37" s="49">
        <v>572708506947.30566</v>
      </c>
      <c r="O37" s="50">
        <v>0.86525016434619983</v>
      </c>
      <c r="P37" s="61">
        <v>7521583333.333333</v>
      </c>
      <c r="Q37" s="48" t="s">
        <v>162</v>
      </c>
      <c r="R37" s="49">
        <v>351007222222.22272</v>
      </c>
      <c r="S37" s="49">
        <v>585268108171.64783</v>
      </c>
      <c r="T37" s="50">
        <v>0.83369809952388185</v>
      </c>
      <c r="U37" s="61">
        <v>6267986111.1111107</v>
      </c>
      <c r="V37" s="48" t="s">
        <v>157</v>
      </c>
      <c r="W37" s="49">
        <v>371064777777.77728</v>
      </c>
      <c r="X37" s="49">
        <v>586223379684.1604</v>
      </c>
      <c r="Y37" s="50">
        <v>0.78992054055213623</v>
      </c>
      <c r="Z37" s="61">
        <v>5014388888.8888893</v>
      </c>
      <c r="AA37" s="48" t="s">
        <v>151</v>
      </c>
    </row>
    <row r="38" spans="1:27" x14ac:dyDescent="0.25">
      <c r="A38" s="8">
        <v>33</v>
      </c>
      <c r="B38" s="8" t="s">
        <v>201</v>
      </c>
      <c r="C38" s="24">
        <v>203082750000.0004</v>
      </c>
      <c r="D38" s="24">
        <v>389170554794.43512</v>
      </c>
      <c r="E38" s="25">
        <v>0.95815758550254615</v>
      </c>
      <c r="F38" s="60">
        <v>15043166666.66667</v>
      </c>
      <c r="G38" s="8" t="s">
        <v>202</v>
      </c>
      <c r="H38" s="24">
        <v>274000535714.28619</v>
      </c>
      <c r="I38" s="24">
        <v>503096755706.58289</v>
      </c>
      <c r="J38" s="25">
        <v>0.91805797823546342</v>
      </c>
      <c r="K38" s="60">
        <v>10745119047.619049</v>
      </c>
      <c r="L38" s="8" t="s">
        <v>203</v>
      </c>
      <c r="M38" s="24">
        <v>327188874999.99933</v>
      </c>
      <c r="N38" s="24">
        <v>567095951970.46326</v>
      </c>
      <c r="O38" s="25">
        <v>0.86661863422230423</v>
      </c>
      <c r="P38" s="60">
        <v>7521583333.333333</v>
      </c>
      <c r="Q38" s="8" t="s">
        <v>165</v>
      </c>
      <c r="R38" s="24">
        <v>347873229166.66711</v>
      </c>
      <c r="S38" s="24">
        <v>580951015754.44226</v>
      </c>
      <c r="T38" s="25">
        <v>0.83500391384832151</v>
      </c>
      <c r="U38" s="60">
        <v>6267986111.1111107</v>
      </c>
      <c r="V38" s="8" t="s">
        <v>159</v>
      </c>
      <c r="W38" s="24">
        <v>368557583333.33289</v>
      </c>
      <c r="X38" s="24">
        <v>583163068727.552</v>
      </c>
      <c r="Y38" s="25">
        <v>0.79114240908200828</v>
      </c>
      <c r="Z38" s="60">
        <v>5014388888.8888893</v>
      </c>
      <c r="AA38" s="8" t="s">
        <v>151</v>
      </c>
    </row>
    <row r="39" spans="1:27" x14ac:dyDescent="0.25">
      <c r="A39" s="48">
        <v>34</v>
      </c>
      <c r="B39" s="48" t="s">
        <v>201</v>
      </c>
      <c r="C39" s="49">
        <v>195561166666.66699</v>
      </c>
      <c r="D39" s="49">
        <v>375424623310.41663</v>
      </c>
      <c r="E39" s="50">
        <v>0.95986496120246068</v>
      </c>
      <c r="F39" s="61">
        <v>15043166666.66667</v>
      </c>
      <c r="G39" s="48" t="s">
        <v>204</v>
      </c>
      <c r="H39" s="49">
        <v>268627976190.47672</v>
      </c>
      <c r="I39" s="49">
        <v>494028625844.65253</v>
      </c>
      <c r="J39" s="50">
        <v>0.91954053492617327</v>
      </c>
      <c r="K39" s="61">
        <v>10745119047.619049</v>
      </c>
      <c r="L39" s="48" t="s">
        <v>182</v>
      </c>
      <c r="M39" s="49">
        <v>323428083333.33258</v>
      </c>
      <c r="N39" s="49">
        <v>561464688477.03137</v>
      </c>
      <c r="O39" s="50">
        <v>0.86799000675889448</v>
      </c>
      <c r="P39" s="61">
        <v>7521583333.333333</v>
      </c>
      <c r="Q39" s="48" t="s">
        <v>165</v>
      </c>
      <c r="R39" s="49">
        <v>344739236111.11157</v>
      </c>
      <c r="S39" s="49">
        <v>576619533029.17932</v>
      </c>
      <c r="T39" s="50">
        <v>0.83631259895715981</v>
      </c>
      <c r="U39" s="61">
        <v>6267986111.1111107</v>
      </c>
      <c r="V39" s="48" t="s">
        <v>174</v>
      </c>
      <c r="W39" s="49">
        <v>366050388888.88843</v>
      </c>
      <c r="X39" s="49">
        <v>580092556734.42163</v>
      </c>
      <c r="Y39" s="50">
        <v>0.79236708161305069</v>
      </c>
      <c r="Z39" s="61">
        <v>5014388888.8888893</v>
      </c>
      <c r="AA39" s="48" t="s">
        <v>163</v>
      </c>
    </row>
    <row r="40" spans="1:27" x14ac:dyDescent="0.25">
      <c r="A40" s="8">
        <v>35</v>
      </c>
      <c r="B40" s="8" t="s">
        <v>205</v>
      </c>
      <c r="C40" s="24">
        <v>188039583333.33371</v>
      </c>
      <c r="D40" s="24">
        <v>361632872054.78461</v>
      </c>
      <c r="E40" s="25">
        <v>0.96158709151606092</v>
      </c>
      <c r="F40" s="60">
        <v>15043166666.66667</v>
      </c>
      <c r="G40" s="8" t="s">
        <v>206</v>
      </c>
      <c r="H40" s="24">
        <v>263255416666.66721</v>
      </c>
      <c r="I40" s="24">
        <v>484930268883.18237</v>
      </c>
      <c r="J40" s="25">
        <v>0.92102619392101415</v>
      </c>
      <c r="K40" s="60">
        <v>10745119047.619049</v>
      </c>
      <c r="L40" s="8" t="s">
        <v>185</v>
      </c>
      <c r="M40" s="24">
        <v>319667291666.66602</v>
      </c>
      <c r="N40" s="24">
        <v>555814654105.28809</v>
      </c>
      <c r="O40" s="25">
        <v>0.86936428686120559</v>
      </c>
      <c r="P40" s="60">
        <v>7521583333.333333</v>
      </c>
      <c r="Q40" s="8" t="s">
        <v>183</v>
      </c>
      <c r="R40" s="24">
        <v>341605243055.55603</v>
      </c>
      <c r="S40" s="24">
        <v>572273612028.16553</v>
      </c>
      <c r="T40" s="25">
        <v>0.83762416365356451</v>
      </c>
      <c r="U40" s="60">
        <v>6267986111.1111107</v>
      </c>
      <c r="V40" s="8" t="s">
        <v>174</v>
      </c>
      <c r="W40" s="24">
        <v>363543194444.44397</v>
      </c>
      <c r="X40" s="24">
        <v>577011809701.31409</v>
      </c>
      <c r="Y40" s="25">
        <v>0.79359456939234774</v>
      </c>
      <c r="Z40" s="60">
        <v>5014388888.8888893</v>
      </c>
      <c r="AA40" s="8" t="s">
        <v>163</v>
      </c>
    </row>
    <row r="41" spans="1:27" x14ac:dyDescent="0.25">
      <c r="A41" s="48">
        <v>36</v>
      </c>
      <c r="B41" s="48" t="s">
        <v>207</v>
      </c>
      <c r="C41" s="49">
        <v>180518000000.00031</v>
      </c>
      <c r="D41" s="49">
        <v>347795148294.96722</v>
      </c>
      <c r="E41" s="50">
        <v>0.96332539773032766</v>
      </c>
      <c r="F41" s="61">
        <v>15043166666.66667</v>
      </c>
      <c r="G41" s="48" t="s">
        <v>208</v>
      </c>
      <c r="H41" s="49">
        <v>257882857142.8577</v>
      </c>
      <c r="I41" s="49">
        <v>475801584065.17401</v>
      </c>
      <c r="J41" s="50">
        <v>0.92251495375979431</v>
      </c>
      <c r="K41" s="61">
        <v>10745119047.619049</v>
      </c>
      <c r="L41" s="48" t="s">
        <v>187</v>
      </c>
      <c r="M41" s="49">
        <v>315906499999.99933</v>
      </c>
      <c r="N41" s="49">
        <v>550145786285.63904</v>
      </c>
      <c r="O41" s="50">
        <v>0.87074147933904544</v>
      </c>
      <c r="P41" s="61">
        <v>7521583333.333333</v>
      </c>
      <c r="Q41" s="48" t="s">
        <v>167</v>
      </c>
      <c r="R41" s="49">
        <v>338471250000.00049</v>
      </c>
      <c r="S41" s="49">
        <v>567913204623.81494</v>
      </c>
      <c r="T41" s="50">
        <v>0.83893861683054927</v>
      </c>
      <c r="U41" s="61">
        <v>6267986111.1111107</v>
      </c>
      <c r="V41" s="48" t="s">
        <v>160</v>
      </c>
      <c r="W41" s="49">
        <v>361035999999.99951</v>
      </c>
      <c r="X41" s="49">
        <v>573920793511.42957</v>
      </c>
      <c r="Y41" s="50">
        <v>0.79482488382243088</v>
      </c>
      <c r="Z41" s="61">
        <v>5014388888.8888893</v>
      </c>
      <c r="AA41" s="48" t="s">
        <v>154</v>
      </c>
    </row>
    <row r="42" spans="1:27" x14ac:dyDescent="0.25">
      <c r="A42" s="8">
        <v>37</v>
      </c>
      <c r="B42" s="8" t="s">
        <v>209</v>
      </c>
      <c r="C42" s="24">
        <v>172996416666.66699</v>
      </c>
      <c r="D42" s="24">
        <v>333911298789.28381</v>
      </c>
      <c r="E42" s="25">
        <v>0.965081546841143</v>
      </c>
      <c r="F42" s="60">
        <v>15043166666.66667</v>
      </c>
      <c r="G42" s="8" t="s">
        <v>210</v>
      </c>
      <c r="H42" s="24">
        <v>252510297619.04819</v>
      </c>
      <c r="I42" s="24">
        <v>466642470297.77222</v>
      </c>
      <c r="J42" s="25">
        <v>0.92400681219301473</v>
      </c>
      <c r="K42" s="60">
        <v>10745119047.619049</v>
      </c>
      <c r="L42" s="8" t="s">
        <v>211</v>
      </c>
      <c r="M42" s="24">
        <v>312145708333.33258</v>
      </c>
      <c r="N42" s="24">
        <v>544458022239.9245</v>
      </c>
      <c r="O42" s="25">
        <v>0.87212158889993674</v>
      </c>
      <c r="P42" s="60">
        <v>7521583333.333333</v>
      </c>
      <c r="Q42" s="8" t="s">
        <v>188</v>
      </c>
      <c r="R42" s="24">
        <v>335337256944.44489</v>
      </c>
      <c r="S42" s="24">
        <v>563538262528.11658</v>
      </c>
      <c r="T42" s="25">
        <v>0.84025596747437681</v>
      </c>
      <c r="U42" s="60">
        <v>6267986111.1111107</v>
      </c>
      <c r="V42" s="8" t="s">
        <v>178</v>
      </c>
      <c r="W42" s="24">
        <v>358528805555.55511</v>
      </c>
      <c r="X42" s="24">
        <v>570819473934.24536</v>
      </c>
      <c r="Y42" s="25">
        <v>0.79605803646618745</v>
      </c>
      <c r="Z42" s="60">
        <v>5014388888.8888893</v>
      </c>
      <c r="AA42" s="8" t="s">
        <v>168</v>
      </c>
    </row>
    <row r="43" spans="1:27" x14ac:dyDescent="0.25">
      <c r="A43" s="48">
        <v>38</v>
      </c>
      <c r="B43" s="48" t="s">
        <v>212</v>
      </c>
      <c r="C43" s="49">
        <v>165474833333.33359</v>
      </c>
      <c r="D43" s="49">
        <v>319981169785.24799</v>
      </c>
      <c r="E43" s="50">
        <v>0.96685750739109588</v>
      </c>
      <c r="F43" s="61">
        <v>15043166666.66667</v>
      </c>
      <c r="G43" s="48" t="s">
        <v>213</v>
      </c>
      <c r="H43" s="49">
        <v>247137738095.23859</v>
      </c>
      <c r="I43" s="49">
        <v>457452826151.14569</v>
      </c>
      <c r="J43" s="50">
        <v>0.92550176609381007</v>
      </c>
      <c r="K43" s="61">
        <v>10745119047.619049</v>
      </c>
      <c r="L43" s="48" t="s">
        <v>189</v>
      </c>
      <c r="M43" s="49">
        <v>308384916666.66589</v>
      </c>
      <c r="N43" s="49">
        <v>538751298980.72418</v>
      </c>
      <c r="O43" s="50">
        <v>0.8735046201417529</v>
      </c>
      <c r="P43" s="61">
        <v>7521583333.333333</v>
      </c>
      <c r="Q43" s="48" t="s">
        <v>170</v>
      </c>
      <c r="R43" s="49">
        <v>332203263888.8894</v>
      </c>
      <c r="S43" s="49">
        <v>559148737292.09924</v>
      </c>
      <c r="T43" s="50">
        <v>0.84157622466815274</v>
      </c>
      <c r="U43" s="61">
        <v>6267986111.1111107</v>
      </c>
      <c r="V43" s="48" t="s">
        <v>178</v>
      </c>
      <c r="W43" s="49">
        <v>356021611111.1106</v>
      </c>
      <c r="X43" s="49">
        <v>567707816625.13721</v>
      </c>
      <c r="Y43" s="50">
        <v>0.79729403905197427</v>
      </c>
      <c r="Z43" s="61">
        <v>5014388888.8888893</v>
      </c>
      <c r="AA43" s="48" t="s">
        <v>168</v>
      </c>
    </row>
    <row r="44" spans="1:27" x14ac:dyDescent="0.25">
      <c r="A44" s="8">
        <v>39</v>
      </c>
      <c r="B44" s="8" t="s">
        <v>212</v>
      </c>
      <c r="C44" s="24">
        <v>157953250000.00031</v>
      </c>
      <c r="D44" s="24">
        <v>306004607017.86548</v>
      </c>
      <c r="E44" s="25">
        <v>0.96865562126092652</v>
      </c>
      <c r="F44" s="60">
        <v>15043166666.66667</v>
      </c>
      <c r="G44" s="8" t="s">
        <v>214</v>
      </c>
      <c r="H44" s="24">
        <v>241765178571.42911</v>
      </c>
      <c r="I44" s="24">
        <v>448232549857.36377</v>
      </c>
      <c r="J44" s="25">
        <v>0.92699981135814036</v>
      </c>
      <c r="K44" s="60">
        <v>10745119047.619049</v>
      </c>
      <c r="L44" s="8" t="s">
        <v>215</v>
      </c>
      <c r="M44" s="24">
        <v>304624124999.99921</v>
      </c>
      <c r="N44" s="24">
        <v>533025553310.65997</v>
      </c>
      <c r="O44" s="25">
        <v>0.87489057754480448</v>
      </c>
      <c r="P44" s="60">
        <v>7521583333.333333</v>
      </c>
      <c r="Q44" s="8" t="s">
        <v>170</v>
      </c>
      <c r="R44" s="24">
        <v>329069270833.33392</v>
      </c>
      <c r="S44" s="24">
        <v>554744580305.29517</v>
      </c>
      <c r="T44" s="25">
        <v>0.8428993975956216</v>
      </c>
      <c r="U44" s="60">
        <v>6267986111.1111107</v>
      </c>
      <c r="V44" s="8" t="s">
        <v>162</v>
      </c>
      <c r="W44" s="24">
        <v>353514416666.66608</v>
      </c>
      <c r="X44" s="24">
        <v>564585787124.99878</v>
      </c>
      <c r="Y44" s="25">
        <v>0.79853290347894768</v>
      </c>
      <c r="Z44" s="60">
        <v>5014388888.8888893</v>
      </c>
      <c r="AA44" s="8" t="s">
        <v>157</v>
      </c>
    </row>
    <row r="45" spans="1:27" x14ac:dyDescent="0.25">
      <c r="A45" s="48">
        <v>40</v>
      </c>
      <c r="B45" s="48" t="s">
        <v>216</v>
      </c>
      <c r="C45" s="49">
        <v>150431666666.66699</v>
      </c>
      <c r="D45" s="49">
        <v>291981455707.92499</v>
      </c>
      <c r="E45" s="50">
        <v>0.97047869699838607</v>
      </c>
      <c r="F45" s="61">
        <v>15043166666.66667</v>
      </c>
      <c r="G45" s="48" t="s">
        <v>217</v>
      </c>
      <c r="H45" s="49">
        <v>236392619047.6196</v>
      </c>
      <c r="I45" s="49">
        <v>438981539309.26929</v>
      </c>
      <c r="J45" s="50">
        <v>0.92850094279136441</v>
      </c>
      <c r="K45" s="61">
        <v>10745119047.619049</v>
      </c>
      <c r="L45" s="48" t="s">
        <v>193</v>
      </c>
      <c r="M45" s="49">
        <v>300863333333.33252</v>
      </c>
      <c r="N45" s="49">
        <v>527280721821.69562</v>
      </c>
      <c r="O45" s="50">
        <v>0.87627946546332836</v>
      </c>
      <c r="P45" s="61">
        <v>7521583333.333333</v>
      </c>
      <c r="Q45" s="48" t="s">
        <v>173</v>
      </c>
      <c r="R45" s="49">
        <v>325935277777.77832</v>
      </c>
      <c r="S45" s="49">
        <v>550325742795.20178</v>
      </c>
      <c r="T45" s="50">
        <v>0.84422549554518034</v>
      </c>
      <c r="U45" s="61">
        <v>6267986111.1111107</v>
      </c>
      <c r="V45" s="48" t="s">
        <v>165</v>
      </c>
      <c r="W45" s="49">
        <v>351007222222.22168</v>
      </c>
      <c r="X45" s="49">
        <v>561453350859.85986</v>
      </c>
      <c r="Y45" s="50">
        <v>0.79977464182261948</v>
      </c>
      <c r="Z45" s="61">
        <v>5014388888.8888893</v>
      </c>
      <c r="AA45" s="48" t="s">
        <v>157</v>
      </c>
    </row>
    <row r="46" spans="1:27" x14ac:dyDescent="0.25">
      <c r="A46" s="8">
        <v>41</v>
      </c>
      <c r="B46" s="8" t="s">
        <v>218</v>
      </c>
      <c r="C46" s="24">
        <v>142910083333.33359</v>
      </c>
      <c r="D46" s="24">
        <v>277911560560.28473</v>
      </c>
      <c r="E46" s="25">
        <v>0.97233013261934809</v>
      </c>
      <c r="F46" s="60">
        <v>15043166666.66667</v>
      </c>
      <c r="G46" s="8" t="s">
        <v>219</v>
      </c>
      <c r="H46" s="24">
        <v>231020059523.81009</v>
      </c>
      <c r="I46" s="24">
        <v>429699692059.3479</v>
      </c>
      <c r="J46" s="25">
        <v>0.93000515397897909</v>
      </c>
      <c r="K46" s="60">
        <v>10745119047.619049</v>
      </c>
      <c r="L46" s="8" t="s">
        <v>220</v>
      </c>
      <c r="M46" s="24">
        <v>297102541666.66577</v>
      </c>
      <c r="N46" s="24">
        <v>521516740894.43457</v>
      </c>
      <c r="O46" s="25">
        <v>0.877671288116327</v>
      </c>
      <c r="P46" s="60">
        <v>7521583333.333333</v>
      </c>
      <c r="Q46" s="8" t="s">
        <v>221</v>
      </c>
      <c r="R46" s="24">
        <v>322801284722.22278</v>
      </c>
      <c r="S46" s="24">
        <v>545892175826.74127</v>
      </c>
      <c r="T46" s="25">
        <v>0.84555452791412045</v>
      </c>
      <c r="U46" s="60">
        <v>6267986111.1111107</v>
      </c>
      <c r="V46" s="8" t="s">
        <v>165</v>
      </c>
      <c r="W46" s="24">
        <v>348500027777.77722</v>
      </c>
      <c r="X46" s="24">
        <v>558310473140.50378</v>
      </c>
      <c r="Y46" s="25">
        <v>0.80101926634065179</v>
      </c>
      <c r="Z46" s="60">
        <v>5014388888.8888893</v>
      </c>
      <c r="AA46" s="8" t="s">
        <v>159</v>
      </c>
    </row>
    <row r="47" spans="1:27" x14ac:dyDescent="0.25">
      <c r="A47" s="48">
        <v>42</v>
      </c>
      <c r="B47" s="48" t="s">
        <v>222</v>
      </c>
      <c r="C47" s="49">
        <v>135388500000.00031</v>
      </c>
      <c r="D47" s="49">
        <v>263794765762.1524</v>
      </c>
      <c r="E47" s="50">
        <v>0.97421407934260229</v>
      </c>
      <c r="F47" s="61">
        <v>15043166666.66667</v>
      </c>
      <c r="G47" s="48" t="s">
        <v>223</v>
      </c>
      <c r="H47" s="49">
        <v>225647500000.00061</v>
      </c>
      <c r="I47" s="49">
        <v>420386905318.59338</v>
      </c>
      <c r="J47" s="50">
        <v>0.9315124371388831</v>
      </c>
      <c r="K47" s="61">
        <v>10745119047.619049</v>
      </c>
      <c r="L47" s="48" t="s">
        <v>195</v>
      </c>
      <c r="M47" s="49">
        <v>293341749999.99908</v>
      </c>
      <c r="N47" s="49">
        <v>515733546697.41608</v>
      </c>
      <c r="O47" s="50">
        <v>0.87906604957769829</v>
      </c>
      <c r="P47" s="61">
        <v>7521583333.333333</v>
      </c>
      <c r="Q47" s="48" t="s">
        <v>176</v>
      </c>
      <c r="R47" s="49">
        <v>319667291666.66718</v>
      </c>
      <c r="S47" s="49">
        <v>541443830301.71942</v>
      </c>
      <c r="T47" s="50">
        <v>0.84688650421312017</v>
      </c>
      <c r="U47" s="61">
        <v>6267986111.1111107</v>
      </c>
      <c r="V47" s="48" t="s">
        <v>183</v>
      </c>
      <c r="W47" s="49">
        <v>345992833333.33282</v>
      </c>
      <c r="X47" s="49">
        <v>555157119162.08325</v>
      </c>
      <c r="Y47" s="50">
        <v>0.80226678947890173</v>
      </c>
      <c r="Z47" s="61">
        <v>5014388888.8888893</v>
      </c>
      <c r="AA47" s="48" t="s">
        <v>159</v>
      </c>
    </row>
    <row r="48" spans="1:27" x14ac:dyDescent="0.25">
      <c r="A48" s="8">
        <v>43</v>
      </c>
      <c r="B48" s="8" t="s">
        <v>224</v>
      </c>
      <c r="C48" s="24">
        <v>127866916666.66701</v>
      </c>
      <c r="D48" s="24">
        <v>249630914981.35959</v>
      </c>
      <c r="E48" s="25">
        <v>0.9761356631133763</v>
      </c>
      <c r="F48" s="60">
        <v>15043166666.66667</v>
      </c>
      <c r="G48" s="8" t="s">
        <v>225</v>
      </c>
      <c r="H48" s="24">
        <v>220274940476.1911</v>
      </c>
      <c r="I48" s="24">
        <v>411043075955.36969</v>
      </c>
      <c r="J48" s="25">
        <v>0.93302278295201302</v>
      </c>
      <c r="K48" s="60">
        <v>10745119047.619049</v>
      </c>
      <c r="L48" s="8" t="s">
        <v>226</v>
      </c>
      <c r="M48" s="24">
        <v>289580958333.33252</v>
      </c>
      <c r="N48" s="24">
        <v>509931075186.40747</v>
      </c>
      <c r="O48" s="25">
        <v>0.88046375376559316</v>
      </c>
      <c r="P48" s="60">
        <v>7521583333.333333</v>
      </c>
      <c r="Q48" s="8" t="s">
        <v>196</v>
      </c>
      <c r="R48" s="24">
        <v>316533298611.11169</v>
      </c>
      <c r="S48" s="24">
        <v>536980656958.2807</v>
      </c>
      <c r="T48" s="25">
        <v>0.84822143407099726</v>
      </c>
      <c r="U48" s="60">
        <v>6267986111.1111107</v>
      </c>
      <c r="V48" s="8" t="s">
        <v>167</v>
      </c>
      <c r="W48" s="24">
        <v>343485638888.88831</v>
      </c>
      <c r="X48" s="24">
        <v>551993254003.73462</v>
      </c>
      <c r="Y48" s="25">
        <v>0.80351722387772806</v>
      </c>
      <c r="Z48" s="60">
        <v>5014388888.8888893</v>
      </c>
      <c r="AA48" s="8" t="s">
        <v>174</v>
      </c>
    </row>
    <row r="49" spans="1:27" x14ac:dyDescent="0.25">
      <c r="A49" s="48">
        <v>44</v>
      </c>
      <c r="B49" s="48" t="s">
        <v>227</v>
      </c>
      <c r="C49" s="49">
        <v>120345333333.3336</v>
      </c>
      <c r="D49" s="49">
        <v>235419851364.6308</v>
      </c>
      <c r="E49" s="50">
        <v>0.97810128919815553</v>
      </c>
      <c r="F49" s="61">
        <v>15043166666.66667</v>
      </c>
      <c r="G49" s="48" t="s">
        <v>228</v>
      </c>
      <c r="H49" s="49">
        <v>214902380952.38159</v>
      </c>
      <c r="I49" s="49">
        <v>401668100494.26862</v>
      </c>
      <c r="J49" s="50">
        <v>0.93453618036756603</v>
      </c>
      <c r="K49" s="61">
        <v>10745119047.619049</v>
      </c>
      <c r="L49" s="48" t="s">
        <v>198</v>
      </c>
      <c r="M49" s="49">
        <v>285820166666.66577</v>
      </c>
      <c r="N49" s="49">
        <v>504109262103.6955</v>
      </c>
      <c r="O49" s="50">
        <v>0.88186440443092784</v>
      </c>
      <c r="P49" s="61">
        <v>7521583333.333333</v>
      </c>
      <c r="Q49" s="48" t="s">
        <v>177</v>
      </c>
      <c r="R49" s="49">
        <v>313399305555.55621</v>
      </c>
      <c r="S49" s="49">
        <v>532502606370.36389</v>
      </c>
      <c r="T49" s="50">
        <v>0.84955932723974625</v>
      </c>
      <c r="U49" s="61">
        <v>6267986111.1111107</v>
      </c>
      <c r="V49" s="48" t="s">
        <v>188</v>
      </c>
      <c r="W49" s="49">
        <v>340978444444.44379</v>
      </c>
      <c r="X49" s="49">
        <v>548818842628.19153</v>
      </c>
      <c r="Y49" s="50">
        <v>0.80477058237857535</v>
      </c>
      <c r="Z49" s="61">
        <v>5014388888.8888893</v>
      </c>
      <c r="AA49" s="48" t="s">
        <v>174</v>
      </c>
    </row>
    <row r="50" spans="1:27" x14ac:dyDescent="0.25">
      <c r="A50" s="8">
        <v>45</v>
      </c>
      <c r="B50" s="8" t="s">
        <v>229</v>
      </c>
      <c r="C50" s="24">
        <v>112823750000.00031</v>
      </c>
      <c r="D50" s="24">
        <v>221161417535.84619</v>
      </c>
      <c r="E50" s="25">
        <v>0.98011906861740383</v>
      </c>
      <c r="F50" s="60">
        <v>15043166666.66667</v>
      </c>
      <c r="G50" s="8" t="s">
        <v>230</v>
      </c>
      <c r="H50" s="24">
        <v>209529821428.57211</v>
      </c>
      <c r="I50" s="24">
        <v>392261875114.96368</v>
      </c>
      <c r="J50" s="25">
        <v>0.93605261637824744</v>
      </c>
      <c r="K50" s="60">
        <v>10745119047.619049</v>
      </c>
      <c r="L50" s="8" t="s">
        <v>231</v>
      </c>
      <c r="M50" s="24">
        <v>282059374999.99908</v>
      </c>
      <c r="N50" s="24">
        <v>498268042977.37451</v>
      </c>
      <c r="O50" s="25">
        <v>0.88326800514497372</v>
      </c>
      <c r="P50" s="60">
        <v>7521583333.333333</v>
      </c>
      <c r="Q50" s="8" t="s">
        <v>180</v>
      </c>
      <c r="R50" s="24">
        <v>310265312500.00061</v>
      </c>
      <c r="S50" s="24">
        <v>528009628947.15399</v>
      </c>
      <c r="T50" s="25">
        <v>0.85090019359987745</v>
      </c>
      <c r="U50" s="60">
        <v>6267986111.1111107</v>
      </c>
      <c r="V50" s="8" t="s">
        <v>188</v>
      </c>
      <c r="W50" s="24">
        <v>338471249999.99939</v>
      </c>
      <c r="X50" s="24">
        <v>545633849881.39661</v>
      </c>
      <c r="Y50" s="25">
        <v>0.80602687803084838</v>
      </c>
      <c r="Z50" s="60">
        <v>5014388888.8888893</v>
      </c>
      <c r="AA50" s="8" t="s">
        <v>160</v>
      </c>
    </row>
    <row r="51" spans="1:27" x14ac:dyDescent="0.25">
      <c r="A51" s="48">
        <v>46</v>
      </c>
      <c r="B51" s="48" t="s">
        <v>229</v>
      </c>
      <c r="C51" s="49">
        <v>105302166666.66701</v>
      </c>
      <c r="D51" s="49">
        <v>206855455594.29901</v>
      </c>
      <c r="E51" s="50">
        <v>0.98219942733513765</v>
      </c>
      <c r="F51" s="61">
        <v>15043166666.66667</v>
      </c>
      <c r="G51" s="48" t="s">
        <v>232</v>
      </c>
      <c r="H51" s="49">
        <v>204157261904.7626</v>
      </c>
      <c r="I51" s="49">
        <v>382824295651.06128</v>
      </c>
      <c r="J51" s="50">
        <v>0.93757207576002166</v>
      </c>
      <c r="K51" s="61">
        <v>10745119047.619049</v>
      </c>
      <c r="L51" s="48" t="s">
        <v>202</v>
      </c>
      <c r="M51" s="49">
        <v>278298583333.3324</v>
      </c>
      <c r="N51" s="49">
        <v>492407353120.63239</v>
      </c>
      <c r="O51" s="50">
        <v>0.88467455928593619</v>
      </c>
      <c r="P51" s="61">
        <v>7521583333.333333</v>
      </c>
      <c r="Q51" s="48" t="s">
        <v>180</v>
      </c>
      <c r="R51" s="49">
        <v>307131319444.44513</v>
      </c>
      <c r="S51" s="49">
        <v>523501674932.53339</v>
      </c>
      <c r="T51" s="50">
        <v>0.85224404316607993</v>
      </c>
      <c r="U51" s="61">
        <v>6267986111.1111107</v>
      </c>
      <c r="V51" s="48" t="s">
        <v>170</v>
      </c>
      <c r="W51" s="49">
        <v>335964055555.55487</v>
      </c>
      <c r="X51" s="49">
        <v>542438240492.11243</v>
      </c>
      <c r="Y51" s="50">
        <v>0.80728612409909262</v>
      </c>
      <c r="Z51" s="61">
        <v>5014388888.8888893</v>
      </c>
      <c r="AA51" s="48" t="s">
        <v>178</v>
      </c>
    </row>
    <row r="52" spans="1:27" x14ac:dyDescent="0.25">
      <c r="A52" s="8">
        <v>47</v>
      </c>
      <c r="B52" s="8" t="s">
        <v>233</v>
      </c>
      <c r="C52" s="24">
        <v>97780583333.333649</v>
      </c>
      <c r="D52" s="24">
        <v>192501807112.94669</v>
      </c>
      <c r="E52" s="25">
        <v>0.98435599661288975</v>
      </c>
      <c r="F52" s="60">
        <v>15043166666.66667</v>
      </c>
      <c r="G52" s="8" t="s">
        <v>234</v>
      </c>
      <c r="H52" s="24">
        <v>198784702380.95309</v>
      </c>
      <c r="I52" s="24">
        <v>373355257588.9458</v>
      </c>
      <c r="J52" s="25">
        <v>0.93909454076965115</v>
      </c>
      <c r="K52" s="60">
        <v>10745119047.619049</v>
      </c>
      <c r="L52" s="8" t="s">
        <v>235</v>
      </c>
      <c r="M52" s="24">
        <v>274537791666.66571</v>
      </c>
      <c r="N52" s="24">
        <v>486527127631.03448</v>
      </c>
      <c r="O52" s="25">
        <v>0.88608407002442657</v>
      </c>
      <c r="P52" s="60">
        <v>7521583333.333333</v>
      </c>
      <c r="Q52" s="8" t="s">
        <v>203</v>
      </c>
      <c r="R52" s="24">
        <v>303997326388.88953</v>
      </c>
      <c r="S52" s="24">
        <v>518978694404.53082</v>
      </c>
      <c r="T52" s="25">
        <v>0.85359088609323119</v>
      </c>
      <c r="U52" s="60">
        <v>6267986111.1111107</v>
      </c>
      <c r="V52" s="8" t="s">
        <v>173</v>
      </c>
      <c r="W52" s="24">
        <v>333456861111.11047</v>
      </c>
      <c r="X52" s="24">
        <v>539231979071.53052</v>
      </c>
      <c r="Y52" s="25">
        <v>0.80854833407049631</v>
      </c>
      <c r="Z52" s="60">
        <v>5014388888.8888893</v>
      </c>
      <c r="AA52" s="8" t="s">
        <v>178</v>
      </c>
    </row>
    <row r="53" spans="1:27" x14ac:dyDescent="0.25">
      <c r="A53" s="48">
        <v>48</v>
      </c>
      <c r="B53" s="48" t="s">
        <v>236</v>
      </c>
      <c r="C53" s="49">
        <v>90259000000.00032</v>
      </c>
      <c r="D53" s="49">
        <v>178100313136.65659</v>
      </c>
      <c r="E53" s="50">
        <v>0.98660694854062159</v>
      </c>
      <c r="F53" s="61">
        <v>15043166666.66667</v>
      </c>
      <c r="G53" s="48" t="s">
        <v>237</v>
      </c>
      <c r="H53" s="49">
        <v>193412142857.14359</v>
      </c>
      <c r="I53" s="49">
        <v>363854656066.62329</v>
      </c>
      <c r="J53" s="50">
        <v>0.94061999079181535</v>
      </c>
      <c r="K53" s="61">
        <v>10745119047.619049</v>
      </c>
      <c r="L53" s="48" t="s">
        <v>204</v>
      </c>
      <c r="M53" s="49">
        <v>270776999999.99911</v>
      </c>
      <c r="N53" s="49">
        <v>480627301389.80469</v>
      </c>
      <c r="O53" s="50">
        <v>0.88749654030771874</v>
      </c>
      <c r="P53" s="61">
        <v>7521583333.333333</v>
      </c>
      <c r="Q53" s="48" t="s">
        <v>182</v>
      </c>
      <c r="R53" s="49">
        <v>300863333333.33398</v>
      </c>
      <c r="S53" s="49">
        <v>514440637274.76819</v>
      </c>
      <c r="T53" s="50">
        <v>0.85494073268278026</v>
      </c>
      <c r="U53" s="61">
        <v>6267986111.1111107</v>
      </c>
      <c r="V53" s="48" t="s">
        <v>173</v>
      </c>
      <c r="W53" s="49">
        <v>330949666666.66602</v>
      </c>
      <c r="X53" s="49">
        <v>536015030112.88013</v>
      </c>
      <c r="Y53" s="50">
        <v>0.80981352166273191</v>
      </c>
      <c r="Z53" s="61">
        <v>5014388888.8888893</v>
      </c>
      <c r="AA53" s="48" t="s">
        <v>162</v>
      </c>
    </row>
    <row r="54" spans="1:27" x14ac:dyDescent="0.25">
      <c r="A54" s="8">
        <v>49</v>
      </c>
      <c r="B54" s="8" t="s">
        <v>238</v>
      </c>
      <c r="C54" s="62">
        <v>82737416666.666992</v>
      </c>
      <c r="D54" s="62">
        <v>163650814180.4454</v>
      </c>
      <c r="E54" s="63">
        <v>0.98897706003900765</v>
      </c>
      <c r="F54" s="64">
        <v>15043166666.66667</v>
      </c>
      <c r="G54" s="65" t="s">
        <v>239</v>
      </c>
      <c r="H54" s="24">
        <v>188039583333.33401</v>
      </c>
      <c r="I54" s="24">
        <v>354322385872.55969</v>
      </c>
      <c r="J54" s="25">
        <v>0.94214840192572491</v>
      </c>
      <c r="K54" s="60">
        <v>10745119047.619049</v>
      </c>
      <c r="L54" s="8" t="s">
        <v>206</v>
      </c>
      <c r="M54" s="24">
        <v>267016208333.3324</v>
      </c>
      <c r="N54" s="24">
        <v>474707809061.10413</v>
      </c>
      <c r="O54" s="25">
        <v>0.88891197284267043</v>
      </c>
      <c r="P54" s="60">
        <v>7521583333.333333</v>
      </c>
      <c r="Q54" s="8" t="s">
        <v>240</v>
      </c>
      <c r="R54" s="24">
        <v>297729340277.77838</v>
      </c>
      <c r="S54" s="24">
        <v>509887453287.90631</v>
      </c>
      <c r="T54" s="25">
        <v>0.85629359338953037</v>
      </c>
      <c r="U54" s="60">
        <v>6267986111.1111107</v>
      </c>
      <c r="V54" s="8" t="s">
        <v>221</v>
      </c>
      <c r="W54" s="24">
        <v>328442472222.22162</v>
      </c>
      <c r="X54" s="24">
        <v>532787357991.03412</v>
      </c>
      <c r="Y54" s="25">
        <v>0.81108170083215425</v>
      </c>
      <c r="Z54" s="60">
        <v>5014388888.8888893</v>
      </c>
      <c r="AA54" s="8" t="s">
        <v>162</v>
      </c>
    </row>
    <row r="55" spans="1:27" x14ac:dyDescent="0.25">
      <c r="A55" s="48">
        <v>50</v>
      </c>
      <c r="B55" s="48" t="s">
        <v>241</v>
      </c>
      <c r="C55" s="62">
        <v>75215833333.333664</v>
      </c>
      <c r="D55" s="62">
        <v>149153150227.71359</v>
      </c>
      <c r="E55" s="63">
        <v>0.99150101526305146</v>
      </c>
      <c r="F55" s="64">
        <v>15043166666.66667</v>
      </c>
      <c r="G55" s="65" t="s">
        <v>242</v>
      </c>
      <c r="H55" s="49">
        <v>182667023809.52451</v>
      </c>
      <c r="I55" s="49">
        <v>344758341444.51593</v>
      </c>
      <c r="J55" s="50">
        <v>0.94367974649877573</v>
      </c>
      <c r="K55" s="61">
        <v>10745119047.619049</v>
      </c>
      <c r="L55" s="48" t="s">
        <v>208</v>
      </c>
      <c r="M55" s="49">
        <v>263255416666.6658</v>
      </c>
      <c r="N55" s="49">
        <v>468768585091.30768</v>
      </c>
      <c r="O55" s="50">
        <v>0.89033037007717664</v>
      </c>
      <c r="P55" s="61">
        <v>7521583333.333333</v>
      </c>
      <c r="Q55" s="48" t="s">
        <v>185</v>
      </c>
      <c r="R55" s="49">
        <v>294595347222.2229</v>
      </c>
      <c r="S55" s="49">
        <v>505319092021.08832</v>
      </c>
      <c r="T55" s="50">
        <v>0.8576494788288519</v>
      </c>
      <c r="U55" s="61">
        <v>6267986111.1111107</v>
      </c>
      <c r="V55" s="48" t="s">
        <v>176</v>
      </c>
      <c r="W55" s="49">
        <v>325935277777.7771</v>
      </c>
      <c r="X55" s="49">
        <v>529548926962.11517</v>
      </c>
      <c r="Y55" s="50">
        <v>0.81235288578237619</v>
      </c>
      <c r="Z55" s="61">
        <v>5014388888.8888893</v>
      </c>
      <c r="AA55" s="48" t="s">
        <v>165</v>
      </c>
    </row>
    <row r="56" spans="1:27" x14ac:dyDescent="0.25">
      <c r="A56" s="8">
        <v>51</v>
      </c>
      <c r="B56" s="8" t="s">
        <v>241</v>
      </c>
      <c r="C56" s="62">
        <v>67694250000.000328</v>
      </c>
      <c r="D56" s="62">
        <v>134607160728.4726</v>
      </c>
      <c r="E56" s="63">
        <v>0.99422890960806853</v>
      </c>
      <c r="F56" s="64">
        <v>15043166666.66667</v>
      </c>
      <c r="G56" s="65" t="s">
        <v>243</v>
      </c>
      <c r="H56" s="24">
        <v>177294464285.715</v>
      </c>
      <c r="I56" s="24">
        <v>335162416868.37848</v>
      </c>
      <c r="J56" s="25">
        <v>0.94521399249176463</v>
      </c>
      <c r="K56" s="60">
        <v>10745119047.619049</v>
      </c>
      <c r="L56" s="8" t="s">
        <v>244</v>
      </c>
      <c r="M56" s="24">
        <v>259494624999.99911</v>
      </c>
      <c r="N56" s="24">
        <v>462809563708.27881</v>
      </c>
      <c r="O56" s="25">
        <v>0.89175173418000542</v>
      </c>
      <c r="P56" s="60">
        <v>7521583333.333333</v>
      </c>
      <c r="Q56" s="8" t="s">
        <v>185</v>
      </c>
      <c r="R56" s="24">
        <v>291461354166.66742</v>
      </c>
      <c r="S56" s="24">
        <v>500735502883.3808</v>
      </c>
      <c r="T56" s="25">
        <v>0.85900839978435606</v>
      </c>
      <c r="U56" s="60">
        <v>6267986111.1111107</v>
      </c>
      <c r="V56" s="8" t="s">
        <v>176</v>
      </c>
      <c r="W56" s="24">
        <v>323428083333.33258</v>
      </c>
      <c r="X56" s="24">
        <v>526299701163.09998</v>
      </c>
      <c r="Y56" s="25">
        <v>0.81362709097323982</v>
      </c>
      <c r="Z56" s="60">
        <v>5014388888.8888893</v>
      </c>
      <c r="AA56" s="8" t="s">
        <v>165</v>
      </c>
    </row>
    <row r="57" spans="1:27" x14ac:dyDescent="0.25">
      <c r="A57" s="48">
        <v>52</v>
      </c>
      <c r="B57" s="48" t="s">
        <v>245</v>
      </c>
      <c r="C57" s="62">
        <v>60172666666.666992</v>
      </c>
      <c r="D57" s="62">
        <v>120012684597.5676</v>
      </c>
      <c r="E57" s="63">
        <v>0.99723588172010746</v>
      </c>
      <c r="F57" s="64">
        <v>15043166666.66667</v>
      </c>
      <c r="G57" s="65" t="s">
        <v>246</v>
      </c>
      <c r="H57" s="49">
        <v>171921904761.90549</v>
      </c>
      <c r="I57" s="49">
        <v>325534505876.98743</v>
      </c>
      <c r="J57" s="50">
        <v>0.94675110285632258</v>
      </c>
      <c r="K57" s="61">
        <v>10745119047.619049</v>
      </c>
      <c r="L57" s="48" t="s">
        <v>210</v>
      </c>
      <c r="M57" s="49">
        <v>255733833333.33249</v>
      </c>
      <c r="N57" s="49">
        <v>456830678920.63977</v>
      </c>
      <c r="O57" s="50">
        <v>0.89317606701884966</v>
      </c>
      <c r="P57" s="61">
        <v>7521583333.333333</v>
      </c>
      <c r="Q57" s="48" t="s">
        <v>187</v>
      </c>
      <c r="R57" s="49">
        <v>288327361111.11182</v>
      </c>
      <c r="S57" s="49">
        <v>496136635115.21429</v>
      </c>
      <c r="T57" s="50">
        <v>0.86037036721606808</v>
      </c>
      <c r="U57" s="61">
        <v>6267986111.1111107</v>
      </c>
      <c r="V57" s="48" t="s">
        <v>196</v>
      </c>
      <c r="W57" s="49">
        <v>320920888888.88818</v>
      </c>
      <c r="X57" s="49">
        <v>523039644611.42139</v>
      </c>
      <c r="Y57" s="50">
        <v>0.81490433113020644</v>
      </c>
      <c r="Z57" s="61">
        <v>5014388888.8888893</v>
      </c>
      <c r="AA57" s="48" t="s">
        <v>183</v>
      </c>
    </row>
    <row r="58" spans="1:27" x14ac:dyDescent="0.25">
      <c r="A58" s="8">
        <v>53</v>
      </c>
      <c r="B58" s="8" t="s">
        <v>247</v>
      </c>
      <c r="C58" s="62">
        <v>52651083333.333656</v>
      </c>
      <c r="D58" s="62">
        <v>105369560212.89281</v>
      </c>
      <c r="E58" s="63">
        <v>1.000640001515247</v>
      </c>
      <c r="F58" s="64">
        <v>15043166666.66667</v>
      </c>
      <c r="G58" s="65" t="s">
        <v>248</v>
      </c>
      <c r="H58" s="24">
        <v>166549345238.09601</v>
      </c>
      <c r="I58" s="24">
        <v>315874501848.95837</v>
      </c>
      <c r="J58" s="25">
        <v>0.9482910347002258</v>
      </c>
      <c r="K58" s="60">
        <v>10745119047.619049</v>
      </c>
      <c r="L58" s="8" t="s">
        <v>213</v>
      </c>
      <c r="M58" s="24">
        <v>251973041666.6658</v>
      </c>
      <c r="N58" s="24">
        <v>450831864517.04187</v>
      </c>
      <c r="O58" s="25">
        <v>0.89460337013640878</v>
      </c>
      <c r="P58" s="60">
        <v>7521583333.333333</v>
      </c>
      <c r="Q58" s="8" t="s">
        <v>211</v>
      </c>
      <c r="R58" s="24">
        <v>285193368055.55627</v>
      </c>
      <c r="S58" s="24">
        <v>491522437787.82062</v>
      </c>
      <c r="T58" s="25">
        <v>0.86173539226913409</v>
      </c>
      <c r="U58" s="60">
        <v>6267986111.1111107</v>
      </c>
      <c r="V58" s="8" t="s">
        <v>177</v>
      </c>
      <c r="W58" s="24">
        <v>318413694444.44373</v>
      </c>
      <c r="X58" s="24">
        <v>519768721204.57062</v>
      </c>
      <c r="Y58" s="25">
        <v>0.81618462125418878</v>
      </c>
      <c r="Z58" s="60">
        <v>5014388888.8888893</v>
      </c>
      <c r="AA58" s="8" t="s">
        <v>183</v>
      </c>
    </row>
    <row r="59" spans="1:27" x14ac:dyDescent="0.25">
      <c r="A59" s="48">
        <v>54</v>
      </c>
      <c r="B59" s="48" t="s">
        <v>249</v>
      </c>
      <c r="C59" s="62">
        <v>45129500000.00032</v>
      </c>
      <c r="D59" s="62">
        <v>90677625413.602417</v>
      </c>
      <c r="E59" s="63">
        <v>1.004638046218125</v>
      </c>
      <c r="F59" s="64">
        <v>15043166666.66667</v>
      </c>
      <c r="G59" s="65" t="s">
        <v>250</v>
      </c>
      <c r="H59" s="49">
        <v>161176785714.2865</v>
      </c>
      <c r="I59" s="49">
        <v>306182297807.50262</v>
      </c>
      <c r="J59" s="50">
        <v>0.94983373830975637</v>
      </c>
      <c r="K59" s="61">
        <v>10745119047.619049</v>
      </c>
      <c r="L59" s="48" t="s">
        <v>251</v>
      </c>
      <c r="M59" s="49">
        <v>248212249999.99911</v>
      </c>
      <c r="N59" s="49">
        <v>444813054065.43213</v>
      </c>
      <c r="O59" s="50">
        <v>0.89603364472429059</v>
      </c>
      <c r="P59" s="61">
        <v>7521583333.333333</v>
      </c>
      <c r="Q59" s="48" t="s">
        <v>189</v>
      </c>
      <c r="R59" s="49">
        <v>282059375000.00067</v>
      </c>
      <c r="S59" s="49">
        <v>486892859802.66888</v>
      </c>
      <c r="T59" s="50">
        <v>0.86310348628310563</v>
      </c>
      <c r="U59" s="61">
        <v>6267986111.1111107</v>
      </c>
      <c r="V59" s="48" t="s">
        <v>180</v>
      </c>
      <c r="W59" s="49">
        <v>315906499999.99933</v>
      </c>
      <c r="X59" s="49">
        <v>516486894719.69702</v>
      </c>
      <c r="Y59" s="50">
        <v>0.81746797663184856</v>
      </c>
      <c r="Z59" s="61">
        <v>5014388888.8888893</v>
      </c>
      <c r="AA59" s="48" t="s">
        <v>167</v>
      </c>
    </row>
    <row r="60" spans="1:27" x14ac:dyDescent="0.25">
      <c r="A60" s="8">
        <v>55</v>
      </c>
      <c r="B60" s="8" t="s">
        <v>252</v>
      </c>
      <c r="C60" s="62">
        <v>37607916666.666977</v>
      </c>
      <c r="D60" s="62">
        <v>75936717498.314423</v>
      </c>
      <c r="E60" s="63">
        <v>1.009584207646623</v>
      </c>
      <c r="F60" s="64">
        <v>15043166666.66667</v>
      </c>
      <c r="G60" s="65" t="s">
        <v>253</v>
      </c>
      <c r="H60" s="24">
        <v>155804226190.47699</v>
      </c>
      <c r="I60" s="24">
        <v>296457786419.24188</v>
      </c>
      <c r="J60" s="25">
        <v>0.95137915596978162</v>
      </c>
      <c r="K60" s="60">
        <v>10745119047.619049</v>
      </c>
      <c r="L60" s="8" t="s">
        <v>214</v>
      </c>
      <c r="M60" s="24">
        <v>244451458333.33249</v>
      </c>
      <c r="N60" s="24">
        <v>438774180912.31677</v>
      </c>
      <c r="O60" s="25">
        <v>0.89746689159450033</v>
      </c>
      <c r="P60" s="60">
        <v>7521583333.333333</v>
      </c>
      <c r="Q60" s="8" t="s">
        <v>215</v>
      </c>
      <c r="R60" s="24">
        <v>278925381944.44519</v>
      </c>
      <c r="S60" s="24">
        <v>482247849890.90009</v>
      </c>
      <c r="T60" s="25">
        <v>0.86447466080184765</v>
      </c>
      <c r="U60" s="60">
        <v>6267986111.1111107</v>
      </c>
      <c r="V60" s="8" t="s">
        <v>180</v>
      </c>
      <c r="W60" s="24">
        <v>313399305555.55481</v>
      </c>
      <c r="X60" s="24">
        <v>513194128813.20697</v>
      </c>
      <c r="Y60" s="25">
        <v>0.81875441284638639</v>
      </c>
      <c r="Z60" s="60">
        <v>5014388888.8888893</v>
      </c>
      <c r="AA60" s="8" t="s">
        <v>188</v>
      </c>
    </row>
    <row r="61" spans="1:27" x14ac:dyDescent="0.25">
      <c r="A61" s="48">
        <v>56</v>
      </c>
      <c r="B61" s="48" t="s">
        <v>254</v>
      </c>
      <c r="C61" s="62">
        <v>30086333333.333649</v>
      </c>
      <c r="D61" s="62">
        <v>61146673223.3088</v>
      </c>
      <c r="E61" s="63">
        <v>1.0161868604234729</v>
      </c>
      <c r="F61" s="64">
        <v>15043166666.66667</v>
      </c>
      <c r="G61" s="65" t="s">
        <v>255</v>
      </c>
      <c r="H61" s="49">
        <v>150431666666.66751</v>
      </c>
      <c r="I61" s="49">
        <v>286700859993.02032</v>
      </c>
      <c r="J61" s="50">
        <v>0.952927220530979</v>
      </c>
      <c r="K61" s="61">
        <v>10745119047.619049</v>
      </c>
      <c r="L61" s="48" t="s">
        <v>217</v>
      </c>
      <c r="M61" s="49">
        <v>240690666666.6658</v>
      </c>
      <c r="N61" s="49">
        <v>432715178182.0246</v>
      </c>
      <c r="O61" s="50">
        <v>0.89890311114824994</v>
      </c>
      <c r="P61" s="61">
        <v>7521583333.333333</v>
      </c>
      <c r="Q61" s="48" t="s">
        <v>191</v>
      </c>
      <c r="R61" s="49">
        <v>275791388888.88959</v>
      </c>
      <c r="S61" s="49">
        <v>477587356612.75873</v>
      </c>
      <c r="T61" s="50">
        <v>0.86584892758411725</v>
      </c>
      <c r="U61" s="61">
        <v>6267986111.1111107</v>
      </c>
      <c r="V61" s="48" t="s">
        <v>203</v>
      </c>
      <c r="W61" s="49">
        <v>310892111111.11041</v>
      </c>
      <c r="X61" s="49">
        <v>509890387020.36212</v>
      </c>
      <c r="Y61" s="50">
        <v>0.82004394578885176</v>
      </c>
      <c r="Z61" s="61">
        <v>5014388888.8888893</v>
      </c>
      <c r="AA61" s="48" t="s">
        <v>188</v>
      </c>
    </row>
    <row r="62" spans="1:27" x14ac:dyDescent="0.25">
      <c r="A62" s="8">
        <v>57</v>
      </c>
      <c r="B62" s="8" t="s">
        <v>256</v>
      </c>
      <c r="C62" s="62">
        <v>22564750000.00032</v>
      </c>
      <c r="D62" s="62">
        <v>46307328800.719833</v>
      </c>
      <c r="E62" s="63">
        <v>1.026098866610957</v>
      </c>
      <c r="F62" s="64">
        <v>15043166666.66667</v>
      </c>
      <c r="G62" s="65" t="s">
        <v>257</v>
      </c>
      <c r="H62" s="24">
        <v>145059107142.858</v>
      </c>
      <c r="I62" s="24">
        <v>276911410478.71143</v>
      </c>
      <c r="J62" s="25">
        <v>0.95447785365865323</v>
      </c>
      <c r="K62" s="60">
        <v>10745119047.619049</v>
      </c>
      <c r="L62" s="8" t="s">
        <v>219</v>
      </c>
      <c r="M62" s="24">
        <v>236929874999.99921</v>
      </c>
      <c r="N62" s="24">
        <v>426635978775.96472</v>
      </c>
      <c r="O62" s="25">
        <v>0.90034230334179299</v>
      </c>
      <c r="P62" s="60">
        <v>7521583333.333333</v>
      </c>
      <c r="Q62" s="8" t="s">
        <v>193</v>
      </c>
      <c r="R62" s="24">
        <v>272657395833.33411</v>
      </c>
      <c r="S62" s="24">
        <v>472911328357.02338</v>
      </c>
      <c r="T62" s="25">
        <v>0.86722629861486966</v>
      </c>
      <c r="U62" s="60">
        <v>6267986111.1111107</v>
      </c>
      <c r="V62" s="8" t="s">
        <v>182</v>
      </c>
      <c r="W62" s="24">
        <v>308384916666.66589</v>
      </c>
      <c r="X62" s="24">
        <v>506575632754.87439</v>
      </c>
      <c r="Y62" s="25">
        <v>0.82133659167000272</v>
      </c>
      <c r="Z62" s="60">
        <v>5014388888.8888893</v>
      </c>
      <c r="AA62" s="8" t="s">
        <v>170</v>
      </c>
    </row>
    <row r="63" spans="1:27" x14ac:dyDescent="0.25">
      <c r="A63" s="48">
        <v>58</v>
      </c>
      <c r="B63" s="48" t="s">
        <v>256</v>
      </c>
      <c r="C63" s="62">
        <v>15043166666.66699</v>
      </c>
      <c r="D63" s="62">
        <v>31418519896.72224</v>
      </c>
      <c r="E63" s="63">
        <v>1.04427879424949</v>
      </c>
      <c r="F63" s="64">
        <v>15043166666.66667</v>
      </c>
      <c r="G63" s="65" t="s">
        <v>258</v>
      </c>
      <c r="H63" s="49">
        <v>139686547619.04849</v>
      </c>
      <c r="I63" s="49">
        <v>267089329466.0213</v>
      </c>
      <c r="J63" s="50">
        <v>0.95603096367741958</v>
      </c>
      <c r="K63" s="61">
        <v>10745119047.619049</v>
      </c>
      <c r="L63" s="48" t="s">
        <v>259</v>
      </c>
      <c r="M63" s="49">
        <v>233169083333.33249</v>
      </c>
      <c r="N63" s="49">
        <v>420536515371.88458</v>
      </c>
      <c r="O63" s="50">
        <v>0.90178446764894737</v>
      </c>
      <c r="P63" s="61">
        <v>7521583333.333333</v>
      </c>
      <c r="Q63" s="48" t="s">
        <v>193</v>
      </c>
      <c r="R63" s="49">
        <v>269523402777.77859</v>
      </c>
      <c r="S63" s="49">
        <v>468219713340.43579</v>
      </c>
      <c r="T63" s="50">
        <v>0.86860678611734854</v>
      </c>
      <c r="U63" s="61">
        <v>6267986111.1111107</v>
      </c>
      <c r="V63" s="48" t="s">
        <v>182</v>
      </c>
      <c r="W63" s="49">
        <v>305877722222.22137</v>
      </c>
      <c r="X63" s="49">
        <v>503249829308.50171</v>
      </c>
      <c r="Y63" s="50">
        <v>0.82263236703274623</v>
      </c>
      <c r="Z63" s="61">
        <v>5014388888.8888893</v>
      </c>
      <c r="AA63" s="48" t="s">
        <v>170</v>
      </c>
    </row>
    <row r="64" spans="1:27" x14ac:dyDescent="0.25">
      <c r="A64" s="8">
        <v>59</v>
      </c>
      <c r="B64" s="8" t="s">
        <v>260</v>
      </c>
      <c r="C64" s="62">
        <v>7521583333.3336554</v>
      </c>
      <c r="D64" s="62">
        <v>16480081629.711309</v>
      </c>
      <c r="E64" s="63">
        <v>1.095519447127308</v>
      </c>
      <c r="F64" s="64">
        <v>15043166666.66667</v>
      </c>
      <c r="G64" s="65" t="s">
        <v>261</v>
      </c>
      <c r="H64" s="24">
        <v>134313988095.23891</v>
      </c>
      <c r="I64" s="24">
        <v>257234508183.289</v>
      </c>
      <c r="J64" s="25">
        <v>0.95758644289859818</v>
      </c>
      <c r="K64" s="60">
        <v>10745119047.619049</v>
      </c>
      <c r="L64" s="8" t="s">
        <v>223</v>
      </c>
      <c r="M64" s="24">
        <v>229408291666.66589</v>
      </c>
      <c r="N64" s="24">
        <v>414416720423.12433</v>
      </c>
      <c r="O64" s="25">
        <v>0.90322960301992661</v>
      </c>
      <c r="P64" s="60">
        <v>7521583333.333333</v>
      </c>
      <c r="Q64" s="8" t="s">
        <v>220</v>
      </c>
      <c r="R64" s="24">
        <v>266389409722.22299</v>
      </c>
      <c r="S64" s="24">
        <v>463512459607.12622</v>
      </c>
      <c r="T64" s="25">
        <v>0.86999040256602689</v>
      </c>
      <c r="U64" s="60">
        <v>6267986111.1111107</v>
      </c>
      <c r="V64" s="8" t="s">
        <v>240</v>
      </c>
      <c r="W64" s="24">
        <v>303370527777.77698</v>
      </c>
      <c r="X64" s="24">
        <v>499912939850.64111</v>
      </c>
      <c r="Y64" s="25">
        <v>0.82393128876519295</v>
      </c>
      <c r="Z64" s="60">
        <v>5014388888.8888893</v>
      </c>
      <c r="AA64" s="8" t="s">
        <v>173</v>
      </c>
    </row>
    <row r="65" spans="1:27" x14ac:dyDescent="0.25">
      <c r="A65" s="48">
        <v>60</v>
      </c>
      <c r="B65" s="48" t="s">
        <v>262</v>
      </c>
      <c r="C65" s="66">
        <v>3.223419189453125E-4</v>
      </c>
      <c r="D65" s="66">
        <v>1491848568.4770181</v>
      </c>
      <c r="E65" s="67">
        <v>2314077817365.9141</v>
      </c>
      <c r="F65" s="68">
        <v>15043166666.66667</v>
      </c>
      <c r="G65" s="69" t="s">
        <v>263</v>
      </c>
      <c r="H65" s="49">
        <v>128941428571.4294</v>
      </c>
      <c r="I65" s="49">
        <v>247346837496.28091</v>
      </c>
      <c r="J65" s="50">
        <v>0.95914416427943772</v>
      </c>
      <c r="K65" s="61">
        <v>10745119047.619049</v>
      </c>
      <c r="L65" s="48" t="s">
        <v>264</v>
      </c>
      <c r="M65" s="49">
        <v>225647499999.99921</v>
      </c>
      <c r="N65" s="49">
        <v>408276526157.86798</v>
      </c>
      <c r="O65" s="50">
        <v>0.90467770783604839</v>
      </c>
      <c r="P65" s="61">
        <v>7521583333.333333</v>
      </c>
      <c r="Q65" s="48" t="s">
        <v>195</v>
      </c>
      <c r="R65" s="49">
        <v>263255416666.66751</v>
      </c>
      <c r="S65" s="49">
        <v>458789515028.03882</v>
      </c>
      <c r="T65" s="50">
        <v>0.87137716070046811</v>
      </c>
      <c r="U65" s="61">
        <v>6267986111.1111107</v>
      </c>
      <c r="V65" s="48" t="s">
        <v>185</v>
      </c>
      <c r="W65" s="49">
        <v>300863333333.33252</v>
      </c>
      <c r="X65" s="49">
        <v>496564927427.92102</v>
      </c>
      <c r="Y65" s="50">
        <v>0.8252333741143637</v>
      </c>
      <c r="Z65" s="61">
        <v>5014388888.8888893</v>
      </c>
      <c r="AA65" s="48" t="s">
        <v>173</v>
      </c>
    </row>
    <row r="66" spans="1:27" x14ac:dyDescent="0.25">
      <c r="A66" s="8">
        <v>61</v>
      </c>
      <c r="B66" s="8" t="s">
        <v>265</v>
      </c>
      <c r="H66" s="24">
        <v>123568869047.6199</v>
      </c>
      <c r="I66" s="24">
        <v>237426207906.98279</v>
      </c>
      <c r="J66" s="25">
        <v>0.9607039772108199</v>
      </c>
      <c r="K66" s="60">
        <v>10745119047.619049</v>
      </c>
      <c r="L66" s="8" t="s">
        <v>228</v>
      </c>
      <c r="M66" s="24">
        <v>221886708333.33261</v>
      </c>
      <c r="N66" s="24">
        <v>402115864578.39429</v>
      </c>
      <c r="O66" s="25">
        <v>0.90612877985983242</v>
      </c>
      <c r="P66" s="60">
        <v>7521583333.333333</v>
      </c>
      <c r="Q66" s="8" t="s">
        <v>226</v>
      </c>
      <c r="R66" s="24">
        <v>260121423611.11191</v>
      </c>
      <c r="S66" s="24">
        <v>454050827300.35461</v>
      </c>
      <c r="T66" s="25">
        <v>0.87276707354018623</v>
      </c>
      <c r="U66" s="60">
        <v>6267986111.1111107</v>
      </c>
      <c r="V66" s="8" t="s">
        <v>185</v>
      </c>
      <c r="W66" s="24">
        <v>298356138888.88812</v>
      </c>
      <c r="X66" s="24">
        <v>493205754963.79187</v>
      </c>
      <c r="Y66" s="25">
        <v>0.82653864070058314</v>
      </c>
      <c r="Z66" s="60">
        <v>5014388888.8888893</v>
      </c>
      <c r="AA66" s="8" t="s">
        <v>221</v>
      </c>
    </row>
    <row r="67" spans="1:27" x14ac:dyDescent="0.25">
      <c r="A67" s="48">
        <v>62</v>
      </c>
      <c r="B67" s="48" t="s">
        <v>266</v>
      </c>
      <c r="H67" s="49">
        <v>118196309523.81039</v>
      </c>
      <c r="I67" s="49">
        <v>227472509552.38708</v>
      </c>
      <c r="J67" s="50">
        <v>0.96226570215613738</v>
      </c>
      <c r="K67" s="61">
        <v>10745119047.619049</v>
      </c>
      <c r="L67" s="48" t="s">
        <v>267</v>
      </c>
      <c r="M67" s="49">
        <v>218125916666.66589</v>
      </c>
      <c r="N67" s="49">
        <v>395934667460.32233</v>
      </c>
      <c r="O67" s="50">
        <v>0.90758281617992898</v>
      </c>
      <c r="P67" s="61">
        <v>7521583333.333333</v>
      </c>
      <c r="Q67" s="48" t="s">
        <v>198</v>
      </c>
      <c r="R67" s="49">
        <v>256987430555.5564</v>
      </c>
      <c r="S67" s="49">
        <v>449296343946.91132</v>
      </c>
      <c r="T67" s="50">
        <v>0.87416015440058836</v>
      </c>
      <c r="U67" s="61">
        <v>6267986111.1111107</v>
      </c>
      <c r="V67" s="48" t="s">
        <v>187</v>
      </c>
      <c r="W67" s="49">
        <v>295848944444.4436</v>
      </c>
      <c r="X67" s="49">
        <v>489835385258.1156</v>
      </c>
      <c r="Y67" s="50">
        <v>0.82784710653260418</v>
      </c>
      <c r="Z67" s="61">
        <v>5014388888.8888893</v>
      </c>
      <c r="AA67" s="48" t="s">
        <v>221</v>
      </c>
    </row>
    <row r="68" spans="1:27" x14ac:dyDescent="0.25">
      <c r="A68" s="8">
        <v>63</v>
      </c>
      <c r="B68" s="8" t="s">
        <v>266</v>
      </c>
      <c r="H68" s="24">
        <v>112823750000.00079</v>
      </c>
      <c r="I68" s="24">
        <v>217485632203.276</v>
      </c>
      <c r="J68" s="25">
        <v>0.96382912375840346</v>
      </c>
      <c r="K68" s="60">
        <v>10745119047.619049</v>
      </c>
      <c r="L68" s="8" t="s">
        <v>230</v>
      </c>
      <c r="M68" s="24">
        <v>214365124999.99921</v>
      </c>
      <c r="N68" s="24">
        <v>389732866351.85669</v>
      </c>
      <c r="O68" s="25">
        <v>0.90903981315024562</v>
      </c>
      <c r="P68" s="60">
        <v>7521583333.333333</v>
      </c>
      <c r="Q68" s="8" t="s">
        <v>198</v>
      </c>
      <c r="R68" s="24">
        <v>253853437500.00089</v>
      </c>
      <c r="S68" s="24">
        <v>444526012315.62329</v>
      </c>
      <c r="T68" s="25">
        <v>0.87555641691009556</v>
      </c>
      <c r="U68" s="60">
        <v>6267986111.1111107</v>
      </c>
      <c r="V68" s="8" t="s">
        <v>211</v>
      </c>
      <c r="W68" s="24">
        <v>293341749999.99908</v>
      </c>
      <c r="X68" s="24">
        <v>486453780986.75372</v>
      </c>
      <c r="Y68" s="25">
        <v>0.82915879002350523</v>
      </c>
      <c r="Z68" s="60">
        <v>5014388888.8888893</v>
      </c>
      <c r="AA68" s="8" t="s">
        <v>176</v>
      </c>
    </row>
    <row r="69" spans="1:27" x14ac:dyDescent="0.25">
      <c r="A69" s="48">
        <v>64</v>
      </c>
      <c r="B69" s="48" t="s">
        <v>268</v>
      </c>
      <c r="H69" s="49">
        <v>107451190476.1913</v>
      </c>
      <c r="I69" s="49">
        <v>207465465263.00119</v>
      </c>
      <c r="J69" s="50">
        <v>0.965393981879478</v>
      </c>
      <c r="K69" s="61">
        <v>10745119047.619049</v>
      </c>
      <c r="L69" s="48" t="s">
        <v>269</v>
      </c>
      <c r="M69" s="49">
        <v>210604333333.33261</v>
      </c>
      <c r="N69" s="49">
        <v>383510392573.02948</v>
      </c>
      <c r="O69" s="50">
        <v>0.91049976632254537</v>
      </c>
      <c r="P69" s="61">
        <v>7521583333.333333</v>
      </c>
      <c r="Q69" s="48" t="s">
        <v>200</v>
      </c>
      <c r="R69" s="49">
        <v>250719444444.44531</v>
      </c>
      <c r="S69" s="49">
        <v>439739779578.89758</v>
      </c>
      <c r="T69" s="50">
        <v>0.87695587502854344</v>
      </c>
      <c r="U69" s="61">
        <v>6267986111.1111107</v>
      </c>
      <c r="V69" s="48" t="s">
        <v>211</v>
      </c>
      <c r="W69" s="49">
        <v>290834555555.55469</v>
      </c>
      <c r="X69" s="49">
        <v>483060904701.15399</v>
      </c>
      <c r="Y69" s="50">
        <v>0.83047371000740755</v>
      </c>
      <c r="Z69" s="61">
        <v>5014388888.8888893</v>
      </c>
      <c r="AA69" s="48" t="s">
        <v>196</v>
      </c>
    </row>
    <row r="70" spans="1:27" x14ac:dyDescent="0.25">
      <c r="A70" s="8">
        <v>65</v>
      </c>
      <c r="B70" s="8" t="s">
        <v>270</v>
      </c>
      <c r="H70" s="24">
        <v>102078630952.38181</v>
      </c>
      <c r="I70" s="24">
        <v>197411897766.25879</v>
      </c>
      <c r="J70" s="25">
        <v>0.96695995980955407</v>
      </c>
      <c r="K70" s="60">
        <v>10745119047.619049</v>
      </c>
      <c r="L70" s="8" t="s">
        <v>232</v>
      </c>
      <c r="M70" s="24">
        <v>206843541666.66589</v>
      </c>
      <c r="N70" s="24">
        <v>377267177214.93958</v>
      </c>
      <c r="O70" s="25">
        <v>0.91196267037168632</v>
      </c>
      <c r="P70" s="60">
        <v>7521583333.333333</v>
      </c>
      <c r="Q70" s="8" t="s">
        <v>231</v>
      </c>
      <c r="R70" s="24">
        <v>247585451388.8898</v>
      </c>
      <c r="S70" s="24">
        <v>434937592733.04962</v>
      </c>
      <c r="T70" s="25">
        <v>0.87835854306697581</v>
      </c>
      <c r="U70" s="60">
        <v>6267986111.1111107</v>
      </c>
      <c r="V70" s="8" t="s">
        <v>189</v>
      </c>
      <c r="W70" s="24">
        <v>288327361111.11023</v>
      </c>
      <c r="X70" s="24">
        <v>479656718827.93561</v>
      </c>
      <c r="Y70" s="25">
        <v>0.8317918857570622</v>
      </c>
      <c r="Z70" s="60">
        <v>5014388888.8888893</v>
      </c>
      <c r="AA70" s="8" t="s">
        <v>196</v>
      </c>
    </row>
    <row r="71" spans="1:27" x14ac:dyDescent="0.25">
      <c r="A71" s="48">
        <v>66</v>
      </c>
      <c r="B71" s="48" t="s">
        <v>271</v>
      </c>
      <c r="H71" s="49">
        <v>96706071428.572266</v>
      </c>
      <c r="I71" s="49">
        <v>187324818377.8606</v>
      </c>
      <c r="J71" s="50">
        <v>0.96852666854645175</v>
      </c>
      <c r="K71" s="61">
        <v>10745119047.619049</v>
      </c>
      <c r="L71" s="48" t="s">
        <v>272</v>
      </c>
      <c r="M71" s="49">
        <v>203082749999.9993</v>
      </c>
      <c r="N71" s="49">
        <v>371003151138.98938</v>
      </c>
      <c r="O71" s="50">
        <v>0.91342851901254729</v>
      </c>
      <c r="P71" s="61">
        <v>7521583333.333333</v>
      </c>
      <c r="Q71" s="48" t="s">
        <v>202</v>
      </c>
      <c r="R71" s="49">
        <v>244451458333.3342</v>
      </c>
      <c r="S71" s="49">
        <v>430119398597.71527</v>
      </c>
      <c r="T71" s="50">
        <v>0.87976443570895813</v>
      </c>
      <c r="U71" s="61">
        <v>6267986111.1111107</v>
      </c>
      <c r="V71" s="48" t="s">
        <v>215</v>
      </c>
      <c r="W71" s="49">
        <v>285820166666.66577</v>
      </c>
      <c r="X71" s="49">
        <v>476241185668.47308</v>
      </c>
      <c r="Y71" s="50">
        <v>0.83311333700235979</v>
      </c>
      <c r="Z71" s="61">
        <v>5014388888.8888893</v>
      </c>
      <c r="AA71" s="48" t="s">
        <v>177</v>
      </c>
    </row>
    <row r="72" spans="1:27" x14ac:dyDescent="0.25">
      <c r="A72" s="8">
        <v>67</v>
      </c>
      <c r="B72" s="8" t="s">
        <v>273</v>
      </c>
      <c r="H72" s="24">
        <v>91333511904.762741</v>
      </c>
      <c r="I72" s="24">
        <v>177204115391.5011</v>
      </c>
      <c r="J72" s="25">
        <v>0.97009362552640688</v>
      </c>
      <c r="K72" s="60">
        <v>10745119047.619049</v>
      </c>
      <c r="L72" s="8" t="s">
        <v>237</v>
      </c>
      <c r="M72" s="24">
        <v>199321958333.33261</v>
      </c>
      <c r="N72" s="24">
        <v>364718244976.11938</v>
      </c>
      <c r="O72" s="25">
        <v>0.91489730490754373</v>
      </c>
      <c r="P72" s="60">
        <v>7521583333.333333</v>
      </c>
      <c r="Q72" s="8" t="s">
        <v>235</v>
      </c>
      <c r="R72" s="24">
        <v>241317465277.77869</v>
      </c>
      <c r="S72" s="24">
        <v>425285143815.26331</v>
      </c>
      <c r="T72" s="25">
        <v>0.8811735680335463</v>
      </c>
      <c r="U72" s="60">
        <v>6267986111.1111107</v>
      </c>
      <c r="V72" s="8" t="s">
        <v>191</v>
      </c>
      <c r="W72" s="24">
        <v>283312972222.22131</v>
      </c>
      <c r="X72" s="24">
        <v>472814267398.47913</v>
      </c>
      <c r="Y72" s="25">
        <v>0.83443808394982222</v>
      </c>
      <c r="Z72" s="60">
        <v>5014388888.8888893</v>
      </c>
      <c r="AA72" s="8" t="s">
        <v>177</v>
      </c>
    </row>
    <row r="73" spans="1:27" x14ac:dyDescent="0.25">
      <c r="A73" s="48">
        <v>68</v>
      </c>
      <c r="B73" s="48" t="s">
        <v>274</v>
      </c>
      <c r="H73" s="62">
        <v>85960952380.953217</v>
      </c>
      <c r="I73" s="62">
        <v>167049676728.52039</v>
      </c>
      <c r="J73" s="63">
        <v>0.97166022537888008</v>
      </c>
      <c r="K73" s="64">
        <v>10745119047.619049</v>
      </c>
      <c r="L73" s="65" t="s">
        <v>275</v>
      </c>
      <c r="M73" s="49">
        <v>195561166666.66599</v>
      </c>
      <c r="N73" s="49">
        <v>358412389126.03992</v>
      </c>
      <c r="O73" s="50">
        <v>0.91636901956346439</v>
      </c>
      <c r="P73" s="61">
        <v>7521583333.333333</v>
      </c>
      <c r="Q73" s="48" t="s">
        <v>204</v>
      </c>
      <c r="R73" s="49">
        <v>238183472222.22311</v>
      </c>
      <c r="S73" s="49">
        <v>420434774850.20313</v>
      </c>
      <c r="T73" s="50">
        <v>0.88258595554006591</v>
      </c>
      <c r="U73" s="61">
        <v>6267986111.1111107</v>
      </c>
      <c r="V73" s="48" t="s">
        <v>191</v>
      </c>
      <c r="W73" s="49">
        <v>280805777777.77692</v>
      </c>
      <c r="X73" s="49">
        <v>469375926067.58508</v>
      </c>
      <c r="Y73" s="50">
        <v>0.83576614730313403</v>
      </c>
      <c r="Z73" s="61">
        <v>5014388888.8888893</v>
      </c>
      <c r="AA73" s="48" t="s">
        <v>180</v>
      </c>
    </row>
    <row r="74" spans="1:27" x14ac:dyDescent="0.25">
      <c r="A74" s="8">
        <v>69</v>
      </c>
      <c r="B74" s="8" t="s">
        <v>276</v>
      </c>
      <c r="H74" s="62">
        <v>80588392857.143692</v>
      </c>
      <c r="I74" s="62">
        <v>156861389936.66309</v>
      </c>
      <c r="J74" s="63">
        <v>0.97322569898326372</v>
      </c>
      <c r="K74" s="64">
        <v>10745119047.619049</v>
      </c>
      <c r="L74" s="65" t="s">
        <v>239</v>
      </c>
      <c r="M74" s="24">
        <v>191800374999.9993</v>
      </c>
      <c r="N74" s="24">
        <v>352085513756.46002</v>
      </c>
      <c r="O74" s="25">
        <v>0.91784365321616634</v>
      </c>
      <c r="P74" s="60">
        <v>7521583333.333333</v>
      </c>
      <c r="Q74" s="8" t="s">
        <v>204</v>
      </c>
      <c r="R74" s="24">
        <v>235049479166.6676</v>
      </c>
      <c r="S74" s="24">
        <v>415568237988.59271</v>
      </c>
      <c r="T74" s="25">
        <v>0.88400161417486878</v>
      </c>
      <c r="U74" s="60">
        <v>6267986111.1111107</v>
      </c>
      <c r="V74" s="8" t="s">
        <v>193</v>
      </c>
      <c r="W74" s="24">
        <v>278298583333.3324</v>
      </c>
      <c r="X74" s="24">
        <v>465926123598.92151</v>
      </c>
      <c r="Y74" s="25">
        <v>0.83709754828478244</v>
      </c>
      <c r="Z74" s="60">
        <v>5014388888.8888893</v>
      </c>
      <c r="AA74" s="8" t="s">
        <v>180</v>
      </c>
    </row>
    <row r="75" spans="1:27" x14ac:dyDescent="0.25">
      <c r="A75" s="48">
        <v>70</v>
      </c>
      <c r="B75" s="48" t="s">
        <v>276</v>
      </c>
      <c r="H75" s="62">
        <v>75215833333.334167</v>
      </c>
      <c r="I75" s="62">
        <v>146639142188.83289</v>
      </c>
      <c r="J75" s="63">
        <v>0.97478905497843715</v>
      </c>
      <c r="K75" s="64">
        <v>10745119047.619049</v>
      </c>
      <c r="L75" s="65" t="s">
        <v>242</v>
      </c>
      <c r="M75" s="49">
        <v>188039583333.33261</v>
      </c>
      <c r="N75" s="49">
        <v>345737548802.31488</v>
      </c>
      <c r="O75" s="50">
        <v>0.91932119470142448</v>
      </c>
      <c r="P75" s="61">
        <v>7521583333.333333</v>
      </c>
      <c r="Q75" s="48" t="s">
        <v>206</v>
      </c>
      <c r="R75" s="49">
        <v>231915486111.11209</v>
      </c>
      <c r="S75" s="49">
        <v>410685479337.4436</v>
      </c>
      <c r="T75" s="50">
        <v>0.88542056036025507</v>
      </c>
      <c r="U75" s="61">
        <v>6267986111.1111107</v>
      </c>
      <c r="V75" s="48" t="s">
        <v>220</v>
      </c>
      <c r="W75" s="49">
        <v>275791388888.88788</v>
      </c>
      <c r="X75" s="49">
        <v>462464821788.69568</v>
      </c>
      <c r="Y75" s="50">
        <v>0.83843230865887475</v>
      </c>
      <c r="Z75" s="61">
        <v>5014388888.8888893</v>
      </c>
      <c r="AA75" s="48" t="s">
        <v>203</v>
      </c>
    </row>
    <row r="76" spans="1:27" x14ac:dyDescent="0.25">
      <c r="A76" s="8">
        <v>71</v>
      </c>
      <c r="B76" s="8" t="s">
        <v>277</v>
      </c>
      <c r="H76" s="62">
        <v>69843273809.524643</v>
      </c>
      <c r="I76" s="62">
        <v>136382820281.84331</v>
      </c>
      <c r="J76" s="63">
        <v>0.97634899427670119</v>
      </c>
      <c r="K76" s="64">
        <v>10745119047.619049</v>
      </c>
      <c r="L76" s="65" t="s">
        <v>243</v>
      </c>
      <c r="M76" s="24">
        <v>184278791666.66599</v>
      </c>
      <c r="N76" s="24">
        <v>339368423964.98932</v>
      </c>
      <c r="O76" s="25">
        <v>0.92080163130996173</v>
      </c>
      <c r="P76" s="60">
        <v>7521583333.333333</v>
      </c>
      <c r="Q76" s="8" t="s">
        <v>278</v>
      </c>
      <c r="R76" s="24">
        <v>228781493055.55649</v>
      </c>
      <c r="S76" s="24">
        <v>405786444824.12402</v>
      </c>
      <c r="T76" s="25">
        <v>0.88684281102576823</v>
      </c>
      <c r="U76" s="60">
        <v>6267986111.1111107</v>
      </c>
      <c r="V76" s="8" t="s">
        <v>220</v>
      </c>
      <c r="W76" s="24">
        <v>273284194444.44351</v>
      </c>
      <c r="X76" s="24">
        <v>458991982305.7691</v>
      </c>
      <c r="Y76" s="25">
        <v>0.83977045075520929</v>
      </c>
      <c r="Z76" s="60">
        <v>5014388888.8888893</v>
      </c>
      <c r="AA76" s="8" t="s">
        <v>203</v>
      </c>
    </row>
    <row r="77" spans="1:27" x14ac:dyDescent="0.25">
      <c r="A77" s="48">
        <v>72</v>
      </c>
      <c r="B77" s="48" t="s">
        <v>279</v>
      </c>
      <c r="H77" s="62">
        <v>64470714285.715118</v>
      </c>
      <c r="I77" s="62">
        <v>126092310635.1637</v>
      </c>
      <c r="J77" s="63">
        <v>0.97790378183464777</v>
      </c>
      <c r="K77" s="64">
        <v>10745119047.619049</v>
      </c>
      <c r="L77" s="65" t="s">
        <v>280</v>
      </c>
      <c r="M77" s="49">
        <v>180517999999.9993</v>
      </c>
      <c r="N77" s="49">
        <v>332978068711.53918</v>
      </c>
      <c r="O77" s="50">
        <v>0.92228494862434907</v>
      </c>
      <c r="P77" s="61">
        <v>7521583333.333333</v>
      </c>
      <c r="Q77" s="48" t="s">
        <v>208</v>
      </c>
      <c r="R77" s="49">
        <v>225647500000.00101</v>
      </c>
      <c r="S77" s="49">
        <v>400871080195.76001</v>
      </c>
      <c r="T77" s="50">
        <v>0.88826838364209282</v>
      </c>
      <c r="U77" s="61">
        <v>6267986111.1111107</v>
      </c>
      <c r="V77" s="48" t="s">
        <v>195</v>
      </c>
      <c r="W77" s="49">
        <v>270776999999.99899</v>
      </c>
      <c r="X77" s="49">
        <v>455507566691.23273</v>
      </c>
      <c r="Y77" s="50">
        <v>0.8411119974946808</v>
      </c>
      <c r="Z77" s="61">
        <v>5014388888.8888893</v>
      </c>
      <c r="AA77" s="48" t="s">
        <v>182</v>
      </c>
    </row>
    <row r="78" spans="1:27" x14ac:dyDescent="0.25">
      <c r="A78" s="8">
        <v>73</v>
      </c>
      <c r="B78" s="8" t="s">
        <v>281</v>
      </c>
      <c r="H78" s="62">
        <v>59098154761.905586</v>
      </c>
      <c r="I78" s="62">
        <v>115767499289.6619</v>
      </c>
      <c r="J78" s="63">
        <v>0.97945104848083264</v>
      </c>
      <c r="K78" s="64">
        <v>10745119047.619049</v>
      </c>
      <c r="L78" s="65" t="s">
        <v>246</v>
      </c>
      <c r="M78" s="24">
        <v>176757208333.3327</v>
      </c>
      <c r="N78" s="24">
        <v>326566412273.91107</v>
      </c>
      <c r="O78" s="25">
        <v>0.92377113033507774</v>
      </c>
      <c r="P78" s="60">
        <v>7521583333.333333</v>
      </c>
      <c r="Q78" s="8" t="s">
        <v>244</v>
      </c>
      <c r="R78" s="24">
        <v>222513506944.4454</v>
      </c>
      <c r="S78" s="24">
        <v>395939331018.63483</v>
      </c>
      <c r="T78" s="25">
        <v>0.8896972962578138</v>
      </c>
      <c r="U78" s="60">
        <v>6267986111.1111107</v>
      </c>
      <c r="V78" s="8" t="s">
        <v>226</v>
      </c>
      <c r="W78" s="24">
        <v>268269805555.5546</v>
      </c>
      <c r="X78" s="24">
        <v>452011536357.98132</v>
      </c>
      <c r="Y78" s="25">
        <v>0.84245697241610851</v>
      </c>
      <c r="Z78" s="60">
        <v>5014388888.8888893</v>
      </c>
      <c r="AA78" s="8" t="s">
        <v>240</v>
      </c>
    </row>
    <row r="79" spans="1:27" x14ac:dyDescent="0.25">
      <c r="A79" s="48">
        <v>74</v>
      </c>
      <c r="B79" s="48" t="s">
        <v>282</v>
      </c>
      <c r="H79" s="62">
        <v>53725595238.096069</v>
      </c>
      <c r="I79" s="62">
        <v>105408271906.34171</v>
      </c>
      <c r="J79" s="63">
        <v>0.98098747384001239</v>
      </c>
      <c r="K79" s="64">
        <v>10745119047.619049</v>
      </c>
      <c r="L79" s="65" t="s">
        <v>248</v>
      </c>
      <c r="M79" s="49">
        <v>172996416666.66599</v>
      </c>
      <c r="N79" s="49">
        <v>320133383648.15747</v>
      </c>
      <c r="O79" s="50">
        <v>0.92526015803263362</v>
      </c>
      <c r="P79" s="61">
        <v>7521583333.333333</v>
      </c>
      <c r="Q79" s="48" t="s">
        <v>210</v>
      </c>
      <c r="R79" s="49">
        <v>219379513888.88989</v>
      </c>
      <c r="S79" s="49">
        <v>390991142677.58582</v>
      </c>
      <c r="T79" s="50">
        <v>0.89112956753932093</v>
      </c>
      <c r="U79" s="61">
        <v>6267986111.1111107</v>
      </c>
      <c r="V79" s="48" t="s">
        <v>226</v>
      </c>
      <c r="W79" s="49">
        <v>265762611111.11011</v>
      </c>
      <c r="X79" s="49">
        <v>448503852590.28558</v>
      </c>
      <c r="Y79" s="50">
        <v>0.84380539970457891</v>
      </c>
      <c r="Z79" s="61">
        <v>5014388888.8888893</v>
      </c>
      <c r="AA79" s="48" t="s">
        <v>240</v>
      </c>
    </row>
    <row r="80" spans="1:27" x14ac:dyDescent="0.25">
      <c r="A80" s="8">
        <v>75</v>
      </c>
      <c r="B80" s="8" t="s">
        <v>282</v>
      </c>
      <c r="H80" s="62">
        <v>48353035714.286537</v>
      </c>
      <c r="I80" s="62">
        <v>95014513765.077148</v>
      </c>
      <c r="J80" s="63">
        <v>0.98250825787349538</v>
      </c>
      <c r="K80" s="64">
        <v>10745119047.619049</v>
      </c>
      <c r="L80" s="65" t="s">
        <v>283</v>
      </c>
      <c r="M80" s="24">
        <v>169235624999.99939</v>
      </c>
      <c r="N80" s="24">
        <v>313678911593.65143</v>
      </c>
      <c r="O80" s="25">
        <v>0.92675201097184046</v>
      </c>
      <c r="P80" s="60">
        <v>7521583333.333333</v>
      </c>
      <c r="Q80" s="8" t="s">
        <v>210</v>
      </c>
      <c r="R80" s="24">
        <v>216245520833.33441</v>
      </c>
      <c r="S80" s="24">
        <v>386026460375.40002</v>
      </c>
      <c r="T80" s="25">
        <v>0.89256521681417844</v>
      </c>
      <c r="U80" s="60">
        <v>6267986111.1111107</v>
      </c>
      <c r="V80" s="8" t="s">
        <v>198</v>
      </c>
      <c r="W80" s="24">
        <v>263255416666.66559</v>
      </c>
      <c r="X80" s="24">
        <v>444984476543.36432</v>
      </c>
      <c r="Y80" s="25">
        <v>0.84515730422140611</v>
      </c>
      <c r="Z80" s="60">
        <v>5014388888.8888893</v>
      </c>
      <c r="AA80" s="8" t="s">
        <v>185</v>
      </c>
    </row>
    <row r="81" spans="1:27" x14ac:dyDescent="0.25">
      <c r="A81" s="48">
        <v>76</v>
      </c>
      <c r="B81" s="48" t="s">
        <v>284</v>
      </c>
      <c r="H81" s="62">
        <v>42980476190.47702</v>
      </c>
      <c r="I81" s="62">
        <v>84586109763.34169</v>
      </c>
      <c r="J81" s="63">
        <v>0.98400619607470785</v>
      </c>
      <c r="K81" s="64">
        <v>10745119047.619049</v>
      </c>
      <c r="L81" s="65" t="s">
        <v>250</v>
      </c>
      <c r="M81" s="49">
        <v>165474833333.3327</v>
      </c>
      <c r="N81" s="49">
        <v>307202924632.29688</v>
      </c>
      <c r="O81" s="50">
        <v>0.92824666580405901</v>
      </c>
      <c r="P81" s="61">
        <v>7521583333.333333</v>
      </c>
      <c r="Q81" s="48" t="s">
        <v>213</v>
      </c>
      <c r="R81" s="49">
        <v>213111527777.77881</v>
      </c>
      <c r="S81" s="49">
        <v>381045229132.20697</v>
      </c>
      <c r="T81" s="50">
        <v>0.89400426411831735</v>
      </c>
      <c r="U81" s="61">
        <v>6267986111.1111107</v>
      </c>
      <c r="V81" s="48" t="s">
        <v>200</v>
      </c>
      <c r="W81" s="49">
        <v>260748222222.22119</v>
      </c>
      <c r="X81" s="49">
        <v>441453369242.95331</v>
      </c>
      <c r="Y81" s="50">
        <v>0.84651271153581864</v>
      </c>
      <c r="Z81" s="61">
        <v>5014388888.8888893</v>
      </c>
      <c r="AA81" s="48" t="s">
        <v>185</v>
      </c>
    </row>
    <row r="82" spans="1:27" x14ac:dyDescent="0.25">
      <c r="A82" s="8">
        <v>77</v>
      </c>
      <c r="B82" s="8" t="s">
        <v>285</v>
      </c>
      <c r="H82" s="62">
        <v>37607916666.667503</v>
      </c>
      <c r="I82" s="62">
        <v>74122944414.933777</v>
      </c>
      <c r="J82" s="63">
        <v>0.98546996197518888</v>
      </c>
      <c r="K82" s="64">
        <v>10745119047.619049</v>
      </c>
      <c r="L82" s="65" t="s">
        <v>253</v>
      </c>
      <c r="M82" s="24">
        <v>161714041666.66599</v>
      </c>
      <c r="N82" s="24">
        <v>300705351047.73792</v>
      </c>
      <c r="O82" s="25">
        <v>0.92974409627201227</v>
      </c>
      <c r="P82" s="60">
        <v>7521583333.333333</v>
      </c>
      <c r="Q82" s="8" t="s">
        <v>251</v>
      </c>
      <c r="R82" s="24">
        <v>209977534722.2233</v>
      </c>
      <c r="S82" s="24">
        <v>376047393784.86987</v>
      </c>
      <c r="T82" s="25">
        <v>0.89544673024744881</v>
      </c>
      <c r="U82" s="60">
        <v>6267986111.1111107</v>
      </c>
      <c r="V82" s="8" t="s">
        <v>200</v>
      </c>
      <c r="W82" s="24">
        <v>258241027777.7767</v>
      </c>
      <c r="X82" s="24">
        <v>437910491584.87421</v>
      </c>
      <c r="Y82" s="25">
        <v>0.84787164795848746</v>
      </c>
      <c r="Z82" s="60">
        <v>5014388888.8888893</v>
      </c>
      <c r="AA82" s="8" t="s">
        <v>187</v>
      </c>
    </row>
    <row r="83" spans="1:27" x14ac:dyDescent="0.25">
      <c r="A83" s="48">
        <v>78</v>
      </c>
      <c r="B83" s="48" t="s">
        <v>286</v>
      </c>
      <c r="H83" s="62">
        <v>32235357142.857971</v>
      </c>
      <c r="I83" s="62">
        <v>63624901848.697853</v>
      </c>
      <c r="J83" s="63">
        <v>0.98688067215651287</v>
      </c>
      <c r="K83" s="64">
        <v>10745119047.619049</v>
      </c>
      <c r="L83" s="65" t="s">
        <v>255</v>
      </c>
      <c r="M83" s="49">
        <v>157953249999.99939</v>
      </c>
      <c r="N83" s="49">
        <v>294186118884.56372</v>
      </c>
      <c r="O83" s="50">
        <v>0.93124427286100431</v>
      </c>
      <c r="P83" s="61">
        <v>7521583333.333333</v>
      </c>
      <c r="Q83" s="48" t="s">
        <v>214</v>
      </c>
      <c r="R83" s="49">
        <v>206843541666.66769</v>
      </c>
      <c r="S83" s="49">
        <v>371032898986.37512</v>
      </c>
      <c r="T83" s="50">
        <v>0.89689263681314635</v>
      </c>
      <c r="U83" s="61">
        <v>6267986111.1111107</v>
      </c>
      <c r="V83" s="48" t="s">
        <v>231</v>
      </c>
      <c r="W83" s="49">
        <v>255733833333.33231</v>
      </c>
      <c r="X83" s="49">
        <v>434355804334.60162</v>
      </c>
      <c r="Y83" s="50">
        <v>0.84923414057702573</v>
      </c>
      <c r="Z83" s="61">
        <v>5014388888.8888893</v>
      </c>
      <c r="AA83" s="48" t="s">
        <v>187</v>
      </c>
    </row>
    <row r="84" spans="1:27" x14ac:dyDescent="0.25">
      <c r="A84" s="8">
        <v>79</v>
      </c>
      <c r="B84" s="8" t="s">
        <v>287</v>
      </c>
      <c r="H84" s="62">
        <v>26862797619.04845</v>
      </c>
      <c r="I84" s="62">
        <v>53091865807.241119</v>
      </c>
      <c r="J84" s="63">
        <v>0.98820432927644153</v>
      </c>
      <c r="K84" s="64">
        <v>10745119047.619049</v>
      </c>
      <c r="L84" s="65" t="s">
        <v>288</v>
      </c>
      <c r="M84" s="24">
        <v>154192458333.3327</v>
      </c>
      <c r="N84" s="24">
        <v>287645155947.51233</v>
      </c>
      <c r="O84" s="25">
        <v>0.93274716239909072</v>
      </c>
      <c r="P84" s="60">
        <v>7521583333.333333</v>
      </c>
      <c r="Q84" s="8" t="s">
        <v>289</v>
      </c>
      <c r="R84" s="24">
        <v>203709548611.11221</v>
      </c>
      <c r="S84" s="24">
        <v>366001689205.21863</v>
      </c>
      <c r="T84" s="25">
        <v>0.89834200630410088</v>
      </c>
      <c r="U84" s="60">
        <v>6267986111.1111107</v>
      </c>
      <c r="V84" s="8" t="s">
        <v>202</v>
      </c>
      <c r="W84" s="24">
        <v>253226638888.88779</v>
      </c>
      <c r="X84" s="24">
        <v>430789268126.828</v>
      </c>
      <c r="Y84" s="25">
        <v>0.85060021729359225</v>
      </c>
      <c r="Z84" s="60">
        <v>5014388888.8888893</v>
      </c>
      <c r="AA84" s="8" t="s">
        <v>211</v>
      </c>
    </row>
    <row r="85" spans="1:27" x14ac:dyDescent="0.25">
      <c r="A85" s="48">
        <v>80</v>
      </c>
      <c r="B85" s="48" t="s">
        <v>290</v>
      </c>
      <c r="H85" s="62">
        <v>21490238095.238918</v>
      </c>
      <c r="I85" s="62">
        <v>42523719645.64621</v>
      </c>
      <c r="J85" s="63">
        <v>0.98937292963420387</v>
      </c>
      <c r="K85" s="64">
        <v>10745119047.619049</v>
      </c>
      <c r="L85" s="65" t="s">
        <v>257</v>
      </c>
      <c r="M85" s="49">
        <v>150431666666.66611</v>
      </c>
      <c r="N85" s="49">
        <v>281082389800.67072</v>
      </c>
      <c r="O85" s="50">
        <v>0.93425272759726485</v>
      </c>
      <c r="P85" s="61">
        <v>7521583333.333333</v>
      </c>
      <c r="Q85" s="48" t="s">
        <v>217</v>
      </c>
      <c r="R85" s="49">
        <v>200575555555.55661</v>
      </c>
      <c r="S85" s="49">
        <v>360953708724.79163</v>
      </c>
      <c r="T85" s="50">
        <v>0.89979486215311122</v>
      </c>
      <c r="U85" s="61">
        <v>6267986111.1111107</v>
      </c>
      <c r="V85" s="48" t="s">
        <v>235</v>
      </c>
      <c r="W85" s="49">
        <v>250719444444.44339</v>
      </c>
      <c r="X85" s="49">
        <v>427210843465.0285</v>
      </c>
      <c r="Y85" s="50">
        <v>0.85196990686474994</v>
      </c>
      <c r="Z85" s="61">
        <v>5014388888.8888893</v>
      </c>
      <c r="AA85" s="48" t="s">
        <v>211</v>
      </c>
    </row>
    <row r="86" spans="1:27" x14ac:dyDescent="0.25">
      <c r="A86" s="8">
        <v>81</v>
      </c>
      <c r="B86" s="8" t="s">
        <v>291</v>
      </c>
      <c r="H86" s="62">
        <v>16117678571.429399</v>
      </c>
      <c r="I86" s="62">
        <v>31920346330.17931</v>
      </c>
      <c r="J86" s="63">
        <v>0.99022778586620164</v>
      </c>
      <c r="K86" s="64">
        <v>10745119047.619049</v>
      </c>
      <c r="L86" s="65" t="s">
        <v>292</v>
      </c>
      <c r="M86" s="24">
        <v>146670874999.99939</v>
      </c>
      <c r="N86" s="24">
        <v>274497747766.67291</v>
      </c>
      <c r="O86" s="25">
        <v>0.93576092651889464</v>
      </c>
      <c r="P86" s="60">
        <v>7521583333.333333</v>
      </c>
      <c r="Q86" s="8" t="s">
        <v>219</v>
      </c>
      <c r="R86" s="24">
        <v>197441562500.0011</v>
      </c>
      <c r="S86" s="24">
        <v>355888901642.76312</v>
      </c>
      <c r="T86" s="25">
        <v>0.9012512288104515</v>
      </c>
      <c r="U86" s="60">
        <v>6267986111.1111107</v>
      </c>
      <c r="V86" s="8" t="s">
        <v>235</v>
      </c>
      <c r="W86" s="24">
        <v>248212249999.9989</v>
      </c>
      <c r="X86" s="24">
        <v>423620490721.02301</v>
      </c>
      <c r="Y86" s="25">
        <v>0.85334323894373643</v>
      </c>
      <c r="Z86" s="60">
        <v>5014388888.8888893</v>
      </c>
      <c r="AA86" s="8" t="s">
        <v>189</v>
      </c>
    </row>
    <row r="87" spans="1:27" x14ac:dyDescent="0.25">
      <c r="A87" s="48">
        <v>82</v>
      </c>
      <c r="B87" s="48" t="s">
        <v>291</v>
      </c>
      <c r="H87" s="62">
        <v>10745119047.619869</v>
      </c>
      <c r="I87" s="62">
        <v>21281628436.99419</v>
      </c>
      <c r="J87" s="63">
        <v>0.99029281772863365</v>
      </c>
      <c r="K87" s="64">
        <v>10745119047.619049</v>
      </c>
      <c r="L87" s="65" t="s">
        <v>261</v>
      </c>
      <c r="M87" s="49">
        <v>142910083333.33279</v>
      </c>
      <c r="N87" s="49">
        <v>267891156925.89511</v>
      </c>
      <c r="O87" s="50">
        <v>0.93727171196537751</v>
      </c>
      <c r="P87" s="61">
        <v>7521583333.333333</v>
      </c>
      <c r="Q87" s="48" t="s">
        <v>219</v>
      </c>
      <c r="R87" s="49">
        <v>194307569444.44559</v>
      </c>
      <c r="S87" s="49">
        <v>350807211870.46118</v>
      </c>
      <c r="T87" s="50">
        <v>0.90271113182433294</v>
      </c>
      <c r="U87" s="61">
        <v>6267986111.1111107</v>
      </c>
      <c r="V87" s="48" t="s">
        <v>204</v>
      </c>
      <c r="W87" s="49">
        <v>245705055555.55441</v>
      </c>
      <c r="X87" s="49">
        <v>420018170134.53748</v>
      </c>
      <c r="Y87" s="50">
        <v>0.85472024412531977</v>
      </c>
      <c r="Z87" s="61">
        <v>5014388888.8888893</v>
      </c>
      <c r="AA87" s="48" t="s">
        <v>215</v>
      </c>
    </row>
    <row r="88" spans="1:27" x14ac:dyDescent="0.25">
      <c r="A88" s="8">
        <v>83</v>
      </c>
      <c r="B88" s="8" t="s">
        <v>293</v>
      </c>
      <c r="H88" s="62">
        <v>5372559523.8103495</v>
      </c>
      <c r="I88" s="62">
        <v>10607448150.831791</v>
      </c>
      <c r="J88" s="63">
        <v>0.9871875875754591</v>
      </c>
      <c r="K88" s="64">
        <v>10745119047.619049</v>
      </c>
      <c r="L88" s="65" t="s">
        <v>294</v>
      </c>
      <c r="M88" s="24">
        <v>139149291666.66611</v>
      </c>
      <c r="N88" s="24">
        <v>261262544115.6481</v>
      </c>
      <c r="O88" s="25">
        <v>0.93878503076216091</v>
      </c>
      <c r="P88" s="60">
        <v>7521583333.333333</v>
      </c>
      <c r="Q88" s="8" t="s">
        <v>259</v>
      </c>
      <c r="R88" s="24">
        <v>191173576388.89001</v>
      </c>
      <c r="S88" s="24">
        <v>345708583132.25171</v>
      </c>
      <c r="T88" s="25">
        <v>0.90417459792927335</v>
      </c>
      <c r="U88" s="60">
        <v>6267986111.1111107</v>
      </c>
      <c r="V88" s="8" t="s">
        <v>206</v>
      </c>
      <c r="W88" s="24">
        <v>243197861111.10999</v>
      </c>
      <c r="X88" s="24">
        <v>416403841812.76367</v>
      </c>
      <c r="Y88" s="25">
        <v>0.85610095399342545</v>
      </c>
      <c r="Z88" s="60">
        <v>5014388888.8888893</v>
      </c>
      <c r="AA88" s="8" t="s">
        <v>215</v>
      </c>
    </row>
    <row r="89" spans="1:27" x14ac:dyDescent="0.25">
      <c r="A89" s="48">
        <v>84</v>
      </c>
      <c r="B89" s="48" t="s">
        <v>295</v>
      </c>
      <c r="H89" s="66">
        <v>8.258819580078125E-4</v>
      </c>
      <c r="I89" s="66">
        <v>0</v>
      </c>
      <c r="J89" s="67">
        <v>0</v>
      </c>
      <c r="K89" s="68">
        <v>10745119047.619049</v>
      </c>
      <c r="L89" s="69" t="s">
        <v>263</v>
      </c>
      <c r="M89" s="49">
        <v>135388499999.9994</v>
      </c>
      <c r="N89" s="49">
        <v>254611835929.36691</v>
      </c>
      <c r="O89" s="50">
        <v>0.9403008229257579</v>
      </c>
      <c r="P89" s="61">
        <v>7521583333.333333</v>
      </c>
      <c r="Q89" s="48" t="s">
        <v>223</v>
      </c>
      <c r="R89" s="49">
        <v>188039583333.3345</v>
      </c>
      <c r="S89" s="49">
        <v>340592958964.91479</v>
      </c>
      <c r="T89" s="50">
        <v>0.90564165514329931</v>
      </c>
      <c r="U89" s="61">
        <v>6267986111.1111107</v>
      </c>
      <c r="V89" s="48" t="s">
        <v>206</v>
      </c>
      <c r="W89" s="49">
        <v>240690666666.6655</v>
      </c>
      <c r="X89" s="49">
        <v>412777465729.9173</v>
      </c>
      <c r="Y89" s="50">
        <v>0.85748540117173755</v>
      </c>
      <c r="Z89" s="61">
        <v>5014388888.8888893</v>
      </c>
      <c r="AA89" s="48" t="s">
        <v>191</v>
      </c>
    </row>
    <row r="90" spans="1:27" x14ac:dyDescent="0.25">
      <c r="A90" s="8">
        <v>85</v>
      </c>
      <c r="B90" s="8" t="s">
        <v>296</v>
      </c>
      <c r="M90" s="24">
        <v>131627708333.33279</v>
      </c>
      <c r="N90" s="24">
        <v>247938958715.7981</v>
      </c>
      <c r="O90" s="25">
        <v>0.94181902068795353</v>
      </c>
      <c r="P90" s="60">
        <v>7521583333.333333</v>
      </c>
      <c r="Q90" s="8" t="s">
        <v>264</v>
      </c>
      <c r="R90" s="24">
        <v>184905590277.7789</v>
      </c>
      <c r="S90" s="24">
        <v>335460282717.02008</v>
      </c>
      <c r="T90" s="25">
        <v>0.90711233287502746</v>
      </c>
      <c r="U90" s="60">
        <v>6267986111.1111107</v>
      </c>
      <c r="V90" s="8" t="s">
        <v>278</v>
      </c>
      <c r="W90" s="24">
        <v>238183472222.2211</v>
      </c>
      <c r="X90" s="24">
        <v>409139001726.7948</v>
      </c>
      <c r="Y90" s="25">
        <v>0.85887361937749229</v>
      </c>
      <c r="Z90" s="60">
        <v>5014388888.8888893</v>
      </c>
      <c r="AA90" s="8" t="s">
        <v>191</v>
      </c>
    </row>
    <row r="91" spans="1:27" x14ac:dyDescent="0.25">
      <c r="A91" s="48">
        <v>86</v>
      </c>
      <c r="B91" s="48" t="s">
        <v>297</v>
      </c>
      <c r="M91" s="49">
        <v>127866916666.66611</v>
      </c>
      <c r="N91" s="49">
        <v>241243838578.18411</v>
      </c>
      <c r="O91" s="50">
        <v>0.94333954734780301</v>
      </c>
      <c r="P91" s="61">
        <v>7521583333.333333</v>
      </c>
      <c r="Q91" s="48" t="s">
        <v>225</v>
      </c>
      <c r="R91" s="49">
        <v>181771597222.22339</v>
      </c>
      <c r="S91" s="49">
        <v>330310497548.29907</v>
      </c>
      <c r="T91" s="50">
        <v>0.90858666204181682</v>
      </c>
      <c r="U91" s="61">
        <v>6267986111.1111107</v>
      </c>
      <c r="V91" s="48" t="s">
        <v>208</v>
      </c>
      <c r="W91" s="49">
        <v>235676277777.77661</v>
      </c>
      <c r="X91" s="49">
        <v>405488409510.32861</v>
      </c>
      <c r="Y91" s="50">
        <v>0.86026564347870182</v>
      </c>
      <c r="Z91" s="61">
        <v>5014388888.8888893</v>
      </c>
      <c r="AA91" s="48" t="s">
        <v>193</v>
      </c>
    </row>
    <row r="92" spans="1:27" x14ac:dyDescent="0.25">
      <c r="A92" s="8">
        <v>87</v>
      </c>
      <c r="B92" s="8" t="s">
        <v>297</v>
      </c>
      <c r="M92" s="24">
        <v>124106124999.9994</v>
      </c>
      <c r="N92" s="24">
        <v>234526401373.4447</v>
      </c>
      <c r="O92" s="25">
        <v>0.94486231591489045</v>
      </c>
      <c r="P92" s="60">
        <v>7521583333.333333</v>
      </c>
      <c r="Q92" s="8" t="s">
        <v>225</v>
      </c>
      <c r="R92" s="24">
        <v>178637604166.66779</v>
      </c>
      <c r="S92" s="24">
        <v>325143546429.01563</v>
      </c>
      <c r="T92" s="25">
        <v>0.91006467520035306</v>
      </c>
      <c r="U92" s="60">
        <v>6267986111.1111107</v>
      </c>
      <c r="V92" s="8" t="s">
        <v>208</v>
      </c>
      <c r="W92" s="24">
        <v>233169083333.33221</v>
      </c>
      <c r="X92" s="24">
        <v>401825648653.14069</v>
      </c>
      <c r="Y92" s="25">
        <v>0.86166150955506771</v>
      </c>
      <c r="Z92" s="60">
        <v>5014388888.8888893</v>
      </c>
      <c r="AA92" s="8" t="s">
        <v>193</v>
      </c>
    </row>
    <row r="93" spans="1:27" x14ac:dyDescent="0.25">
      <c r="A93" s="48">
        <v>88</v>
      </c>
      <c r="B93" s="48" t="s">
        <v>298</v>
      </c>
      <c r="M93" s="49">
        <v>120345333333.3327</v>
      </c>
      <c r="N93" s="49">
        <v>227786572711.35611</v>
      </c>
      <c r="O93" s="50">
        <v>0.94638722749818815</v>
      </c>
      <c r="P93" s="61">
        <v>7521583333.333333</v>
      </c>
      <c r="Q93" s="48" t="s">
        <v>228</v>
      </c>
      <c r="R93" s="49">
        <v>175503611111.1123</v>
      </c>
      <c r="S93" s="49">
        <v>319959372139.33459</v>
      </c>
      <c r="T93" s="50">
        <v>0.91154640669121778</v>
      </c>
      <c r="U93" s="61">
        <v>6267986111.1111107</v>
      </c>
      <c r="V93" s="48" t="s">
        <v>244</v>
      </c>
      <c r="W93" s="49">
        <v>230661888888.8877</v>
      </c>
      <c r="X93" s="49">
        <v>398150678593.09558</v>
      </c>
      <c r="Y93" s="50">
        <v>0.86306125496286279</v>
      </c>
      <c r="Z93" s="61">
        <v>5014388888.8888893</v>
      </c>
      <c r="AA93" s="48" t="s">
        <v>220</v>
      </c>
    </row>
    <row r="94" spans="1:27" x14ac:dyDescent="0.25">
      <c r="A94" s="8">
        <v>89</v>
      </c>
      <c r="B94" s="8" t="s">
        <v>299</v>
      </c>
      <c r="M94" s="24">
        <v>116584541666.66611</v>
      </c>
      <c r="N94" s="24">
        <v>221024277953.72729</v>
      </c>
      <c r="O94" s="25">
        <v>0.94791416938306972</v>
      </c>
      <c r="P94" s="60">
        <v>7521583333.333333</v>
      </c>
      <c r="Q94" s="8" t="s">
        <v>267</v>
      </c>
      <c r="R94" s="24">
        <v>172369618055.55679</v>
      </c>
      <c r="S94" s="24">
        <v>314757917268.68799</v>
      </c>
      <c r="T94" s="25">
        <v>0.91303189279922226</v>
      </c>
      <c r="U94" s="60">
        <v>6267986111.1111107</v>
      </c>
      <c r="V94" s="8" t="s">
        <v>210</v>
      </c>
      <c r="W94" s="24">
        <v>228154694444.44321</v>
      </c>
      <c r="X94" s="24">
        <v>394463458632.8504</v>
      </c>
      <c r="Y94" s="25">
        <v>0.86446491840408779</v>
      </c>
      <c r="Z94" s="60">
        <v>5014388888.8888893</v>
      </c>
      <c r="AA94" s="8" t="s">
        <v>220</v>
      </c>
    </row>
    <row r="95" spans="1:27" x14ac:dyDescent="0.25">
      <c r="A95" s="48">
        <v>90</v>
      </c>
      <c r="B95" s="48" t="s">
        <v>300</v>
      </c>
      <c r="M95" s="49">
        <v>112823749999.9994</v>
      </c>
      <c r="N95" s="49">
        <v>214239442213.57309</v>
      </c>
      <c r="O95" s="50">
        <v>0.94944301272371368</v>
      </c>
      <c r="P95" s="61">
        <v>7521583333.333333</v>
      </c>
      <c r="Q95" s="48" t="s">
        <v>230</v>
      </c>
      <c r="R95" s="49">
        <v>169235625000.00119</v>
      </c>
      <c r="S95" s="49">
        <v>309539124215.13922</v>
      </c>
      <c r="T95" s="50">
        <v>0.91452117193155102</v>
      </c>
      <c r="U95" s="61">
        <v>6267986111.1111107</v>
      </c>
      <c r="V95" s="48" t="s">
        <v>210</v>
      </c>
      <c r="W95" s="49">
        <v>225647499999.99881</v>
      </c>
      <c r="X95" s="49">
        <v>390763947939.4043</v>
      </c>
      <c r="Y95" s="50">
        <v>0.86587254000023584</v>
      </c>
      <c r="Z95" s="61">
        <v>5014388888.8888893</v>
      </c>
      <c r="AA95" s="48" t="s">
        <v>195</v>
      </c>
    </row>
    <row r="96" spans="1:27" x14ac:dyDescent="0.25">
      <c r="A96" s="8">
        <v>91</v>
      </c>
      <c r="B96" s="8" t="s">
        <v>301</v>
      </c>
      <c r="M96" s="24">
        <v>109062958333.3327</v>
      </c>
      <c r="N96" s="24">
        <v>207431990354.285</v>
      </c>
      <c r="O96" s="25">
        <v>0.95097360975806156</v>
      </c>
      <c r="P96" s="60">
        <v>7521583333.333333</v>
      </c>
      <c r="Q96" s="8" t="s">
        <v>269</v>
      </c>
      <c r="R96" s="24">
        <v>166101631944.44571</v>
      </c>
      <c r="S96" s="24">
        <v>304302935184.74518</v>
      </c>
      <c r="T96" s="25">
        <v>0.91601428481606473</v>
      </c>
      <c r="U96" s="60">
        <v>6267986111.1111107</v>
      </c>
      <c r="V96" s="8" t="s">
        <v>213</v>
      </c>
      <c r="W96" s="24">
        <v>223140305555.55429</v>
      </c>
      <c r="X96" s="24">
        <v>387052105543.64673</v>
      </c>
      <c r="Y96" s="25">
        <v>0.86728416137102571</v>
      </c>
      <c r="Z96" s="60">
        <v>5014388888.8888893</v>
      </c>
      <c r="AA96" s="8" t="s">
        <v>226</v>
      </c>
    </row>
    <row r="97" spans="1:27" x14ac:dyDescent="0.25">
      <c r="A97" s="48">
        <v>92</v>
      </c>
      <c r="B97" s="48" t="s">
        <v>302</v>
      </c>
      <c r="M97" s="49">
        <v>105302166666.66611</v>
      </c>
      <c r="N97" s="49">
        <v>200601846988.79929</v>
      </c>
      <c r="O97" s="50">
        <v>0.95250579042596661</v>
      </c>
      <c r="P97" s="61">
        <v>7521583333.333333</v>
      </c>
      <c r="Q97" s="48" t="s">
        <v>232</v>
      </c>
      <c r="R97" s="49">
        <v>162967638888.89011</v>
      </c>
      <c r="S97" s="49">
        <v>299049292190.91663</v>
      </c>
      <c r="T97" s="50">
        <v>0.91751127472247951</v>
      </c>
      <c r="U97" s="61">
        <v>6267986111.1111107</v>
      </c>
      <c r="V97" s="48" t="s">
        <v>251</v>
      </c>
      <c r="W97" s="49">
        <v>220633111111.10989</v>
      </c>
      <c r="X97" s="49">
        <v>383327890339.90332</v>
      </c>
      <c r="Y97" s="50">
        <v>0.86869982571850035</v>
      </c>
      <c r="Z97" s="61">
        <v>5014388888.8888893</v>
      </c>
      <c r="AA97" s="48" t="s">
        <v>226</v>
      </c>
    </row>
    <row r="98" spans="1:27" x14ac:dyDescent="0.25">
      <c r="A98" s="8">
        <v>93</v>
      </c>
      <c r="B98" s="8" t="s">
        <v>303</v>
      </c>
      <c r="M98" s="24">
        <v>101541374999.9994</v>
      </c>
      <c r="N98" s="24">
        <v>193748936478.7619</v>
      </c>
      <c r="O98" s="25">
        <v>0.9540393582358081</v>
      </c>
      <c r="P98" s="60">
        <v>7521583333.333333</v>
      </c>
      <c r="Q98" s="8" t="s">
        <v>234</v>
      </c>
      <c r="R98" s="24">
        <v>159833645833.33459</v>
      </c>
      <c r="S98" s="24">
        <v>293778137053.77533</v>
      </c>
      <c r="T98" s="25">
        <v>0.91901218770955884</v>
      </c>
      <c r="U98" s="60">
        <v>6267986111.1111107</v>
      </c>
      <c r="V98" s="8" t="s">
        <v>214</v>
      </c>
      <c r="W98" s="24">
        <v>218125916666.66541</v>
      </c>
      <c r="X98" s="24">
        <v>379591261085.48077</v>
      </c>
      <c r="Y98" s="25">
        <v>0.87011957791692096</v>
      </c>
      <c r="Z98" s="60">
        <v>5014388888.8888893</v>
      </c>
      <c r="AA98" s="8" t="s">
        <v>198</v>
      </c>
    </row>
    <row r="99" spans="1:27" x14ac:dyDescent="0.25">
      <c r="A99" s="48">
        <v>94</v>
      </c>
      <c r="B99" s="48" t="s">
        <v>303</v>
      </c>
      <c r="M99" s="49">
        <v>97780583333.332718</v>
      </c>
      <c r="N99" s="49">
        <v>186873182933.6911</v>
      </c>
      <c r="O99" s="50">
        <v>0.95557408517723241</v>
      </c>
      <c r="P99" s="61">
        <v>7521583333.333333</v>
      </c>
      <c r="Q99" s="48" t="s">
        <v>234</v>
      </c>
      <c r="R99" s="49">
        <v>156699652777.77911</v>
      </c>
      <c r="S99" s="49">
        <v>288489411399.51007</v>
      </c>
      <c r="T99" s="50">
        <v>0.92051707290196261</v>
      </c>
      <c r="U99" s="61">
        <v>6267986111.1111107</v>
      </c>
      <c r="V99" s="48" t="s">
        <v>214</v>
      </c>
      <c r="W99" s="49">
        <v>215618722222.22089</v>
      </c>
      <c r="X99" s="49">
        <v>375842176400.21008</v>
      </c>
      <c r="Y99" s="50">
        <v>0.87154346460893062</v>
      </c>
      <c r="Z99" s="61">
        <v>5014388888.8888893</v>
      </c>
      <c r="AA99" s="48" t="s">
        <v>198</v>
      </c>
    </row>
    <row r="100" spans="1:27" x14ac:dyDescent="0.25">
      <c r="A100" s="8">
        <v>95</v>
      </c>
      <c r="B100" s="8" t="s">
        <v>304</v>
      </c>
      <c r="M100" s="24">
        <v>94019791666.666046</v>
      </c>
      <c r="N100" s="24">
        <v>179974510210.13669</v>
      </c>
      <c r="O100" s="25">
        <v>0.95710970541293605</v>
      </c>
      <c r="P100" s="60">
        <v>7521583333.333333</v>
      </c>
      <c r="Q100" s="8" t="s">
        <v>272</v>
      </c>
      <c r="R100" s="24">
        <v>153565659722.22351</v>
      </c>
      <c r="S100" s="24">
        <v>283183056659.73077</v>
      </c>
      <c r="T100" s="25">
        <v>0.92202598280098902</v>
      </c>
      <c r="U100" s="60">
        <v>6267986111.1111107</v>
      </c>
      <c r="V100" s="8" t="s">
        <v>289</v>
      </c>
      <c r="W100" s="24">
        <v>213111527777.77649</v>
      </c>
      <c r="X100" s="24">
        <v>372080594765.98859</v>
      </c>
      <c r="Y100" s="25">
        <v>0.87297153430850105</v>
      </c>
      <c r="Z100" s="60">
        <v>5014388888.8888893</v>
      </c>
      <c r="AA100" s="8" t="s">
        <v>200</v>
      </c>
    </row>
    <row r="101" spans="1:27" x14ac:dyDescent="0.25">
      <c r="A101" s="48">
        <v>96</v>
      </c>
      <c r="B101" s="48" t="s">
        <v>305</v>
      </c>
      <c r="M101" s="49">
        <v>90258999999.999374</v>
      </c>
      <c r="N101" s="49">
        <v>173052841910.83719</v>
      </c>
      <c r="O101" s="50">
        <v>0.95864590739338107</v>
      </c>
      <c r="P101" s="61">
        <v>7521583333.333333</v>
      </c>
      <c r="Q101" s="48" t="s">
        <v>237</v>
      </c>
      <c r="R101" s="49">
        <v>150431666666.668</v>
      </c>
      <c r="S101" s="49">
        <v>277859014070.81879</v>
      </c>
      <c r="T101" s="50">
        <v>0.92353897363415183</v>
      </c>
      <c r="U101" s="61">
        <v>6267986111.1111107</v>
      </c>
      <c r="V101" s="48" t="s">
        <v>217</v>
      </c>
      <c r="W101" s="49">
        <v>210604333333.332</v>
      </c>
      <c r="X101" s="49">
        <v>368306474526.31958</v>
      </c>
      <c r="Y101" s="50">
        <v>0.87440383751123019</v>
      </c>
      <c r="Z101" s="61">
        <v>5014388888.8888893</v>
      </c>
      <c r="AA101" s="48" t="s">
        <v>200</v>
      </c>
    </row>
    <row r="102" spans="1:27" x14ac:dyDescent="0.25">
      <c r="A102" s="8">
        <v>97</v>
      </c>
      <c r="B102" s="8" t="s">
        <v>306</v>
      </c>
      <c r="M102" s="62">
        <v>86498208333.332703</v>
      </c>
      <c r="N102" s="62">
        <v>166108101383.87329</v>
      </c>
      <c r="O102" s="63">
        <v>0.96018232391446146</v>
      </c>
      <c r="P102" s="64">
        <v>7521583333.333333</v>
      </c>
      <c r="Q102" s="65" t="s">
        <v>275</v>
      </c>
      <c r="R102" s="24">
        <v>147297673611.1124</v>
      </c>
      <c r="S102" s="24">
        <v>272517224673.2771</v>
      </c>
      <c r="T102" s="25">
        <v>0.92505610574937769</v>
      </c>
      <c r="U102" s="60">
        <v>6267986111.1111107</v>
      </c>
      <c r="V102" s="8" t="s">
        <v>217</v>
      </c>
      <c r="W102" s="24">
        <v>208097138888.8876</v>
      </c>
      <c r="X102" s="24">
        <v>364519773885.85181</v>
      </c>
      <c r="Y102" s="25">
        <v>0.87584042681260821</v>
      </c>
      <c r="Z102" s="60">
        <v>5014388888.8888893</v>
      </c>
      <c r="AA102" s="8" t="s">
        <v>231</v>
      </c>
    </row>
    <row r="103" spans="1:27" x14ac:dyDescent="0.25">
      <c r="A103" s="48">
        <v>98</v>
      </c>
      <c r="B103" s="48" t="s">
        <v>307</v>
      </c>
      <c r="M103" s="62">
        <v>82737416666.666031</v>
      </c>
      <c r="N103" s="62">
        <v>159140211721.81949</v>
      </c>
      <c r="O103" s="63">
        <v>0.96171851946360853</v>
      </c>
      <c r="P103" s="64">
        <v>7521583333.333333</v>
      </c>
      <c r="Q103" s="65" t="s">
        <v>239</v>
      </c>
      <c r="R103" s="49">
        <v>144163680555.55688</v>
      </c>
      <c r="S103" s="49">
        <v>267157629311.0769</v>
      </c>
      <c r="T103" s="50">
        <v>0.92657744406061193</v>
      </c>
      <c r="U103" s="61">
        <v>6267986111.1111107</v>
      </c>
      <c r="V103" s="48" t="s">
        <v>219</v>
      </c>
      <c r="W103" s="49">
        <v>205589944444.44312</v>
      </c>
      <c r="X103" s="49">
        <v>360720450909.91571</v>
      </c>
      <c r="Y103" s="50">
        <v>0.87728135703493448</v>
      </c>
      <c r="Z103" s="61">
        <v>5014388888.8888893</v>
      </c>
      <c r="AA103" s="48" t="s">
        <v>231</v>
      </c>
    </row>
    <row r="104" spans="1:27" x14ac:dyDescent="0.25">
      <c r="A104" s="8">
        <v>99</v>
      </c>
      <c r="B104" s="8" t="s">
        <v>307</v>
      </c>
      <c r="M104" s="62">
        <v>78976624999.999359</v>
      </c>
      <c r="N104" s="62">
        <v>152149095760.89221</v>
      </c>
      <c r="O104" s="63">
        <v>0.96325397395047863</v>
      </c>
      <c r="P104" s="64">
        <v>7521583333.333333</v>
      </c>
      <c r="Q104" s="65" t="s">
        <v>239</v>
      </c>
      <c r="R104" s="24">
        <v>141029687500.00131</v>
      </c>
      <c r="S104" s="24">
        <v>261780168631.00269</v>
      </c>
      <c r="T104" s="25">
        <v>0.92810305855283193</v>
      </c>
      <c r="U104" s="60">
        <v>6267986111.1111107</v>
      </c>
      <c r="V104" s="8" t="s">
        <v>259</v>
      </c>
      <c r="W104" s="24">
        <v>203082749999.99869</v>
      </c>
      <c r="X104" s="24">
        <v>356908463524.05988</v>
      </c>
      <c r="Y104" s="25">
        <v>0.87872668536363185</v>
      </c>
      <c r="Z104" s="60">
        <v>5014388888.8888893</v>
      </c>
      <c r="AA104" s="8" t="s">
        <v>202</v>
      </c>
    </row>
    <row r="105" spans="1:27" x14ac:dyDescent="0.25">
      <c r="A105" s="48">
        <v>100</v>
      </c>
      <c r="B105" s="48" t="s">
        <v>308</v>
      </c>
      <c r="M105" s="62">
        <v>75215833333.332687</v>
      </c>
      <c r="N105" s="62">
        <v>145134676080.09521</v>
      </c>
      <c r="O105" s="63">
        <v>0.96478806155682928</v>
      </c>
      <c r="P105" s="64">
        <v>7521583333.333333</v>
      </c>
      <c r="Q105" s="65" t="s">
        <v>242</v>
      </c>
      <c r="R105" s="49">
        <v>137895694444.4458</v>
      </c>
      <c r="S105" s="49">
        <v>256384783081.9949</v>
      </c>
      <c r="T105" s="50">
        <v>0.92963302485591726</v>
      </c>
      <c r="U105" s="61">
        <v>6267986111.1111107</v>
      </c>
      <c r="V105" s="48" t="s">
        <v>259</v>
      </c>
      <c r="W105" s="49">
        <v>200575555555.5542</v>
      </c>
      <c r="X105" s="49">
        <v>353083769513.58447</v>
      </c>
      <c r="Y105" s="50">
        <v>0.88017647149377953</v>
      </c>
      <c r="Z105" s="61">
        <v>5014388888.8888893</v>
      </c>
      <c r="AA105" s="48" t="s">
        <v>235</v>
      </c>
    </row>
    <row r="106" spans="1:27" x14ac:dyDescent="0.25">
      <c r="A106" s="8">
        <v>101</v>
      </c>
      <c r="B106" s="8" t="s">
        <v>309</v>
      </c>
      <c r="M106" s="62">
        <v>71455041666.666016</v>
      </c>
      <c r="N106" s="62">
        <v>138096875000.36221</v>
      </c>
      <c r="O106" s="63">
        <v>0.96632002290738805</v>
      </c>
      <c r="P106" s="64">
        <v>7521583333.333333</v>
      </c>
      <c r="Q106" s="65" t="s">
        <v>310</v>
      </c>
      <c r="R106" s="24">
        <v>134761701388.8902</v>
      </c>
      <c r="S106" s="24">
        <v>250971412914.49039</v>
      </c>
      <c r="T106" s="25">
        <v>0.93116742489858673</v>
      </c>
      <c r="U106" s="60">
        <v>6267986111.1111107</v>
      </c>
      <c r="V106" s="8" t="s">
        <v>223</v>
      </c>
      <c r="W106" s="24">
        <v>198068361111.10971</v>
      </c>
      <c r="X106" s="24">
        <v>349246326523.07422</v>
      </c>
      <c r="Y106" s="25">
        <v>0.88163077778777255</v>
      </c>
      <c r="Z106" s="60">
        <v>5014388888.8888893</v>
      </c>
      <c r="AA106" s="8" t="s">
        <v>235</v>
      </c>
    </row>
    <row r="107" spans="1:27" x14ac:dyDescent="0.25">
      <c r="A107" s="48">
        <v>102</v>
      </c>
      <c r="B107" s="48" t="s">
        <v>311</v>
      </c>
      <c r="M107" s="62">
        <v>67694249999.999352</v>
      </c>
      <c r="N107" s="62">
        <v>131035614583.6967</v>
      </c>
      <c r="O107" s="63">
        <v>0.96784892796432453</v>
      </c>
      <c r="P107" s="64">
        <v>7521583333.333333</v>
      </c>
      <c r="Q107" s="65" t="s">
        <v>243</v>
      </c>
      <c r="R107" s="49">
        <v>131627708333.3347</v>
      </c>
      <c r="S107" s="49">
        <v>245539998179.76099</v>
      </c>
      <c r="T107" s="50">
        <v>0.93270634765574667</v>
      </c>
      <c r="U107" s="61">
        <v>6267986111.1111107</v>
      </c>
      <c r="V107" s="48" t="s">
        <v>264</v>
      </c>
      <c r="W107" s="49">
        <v>195561166666.66531</v>
      </c>
      <c r="X107" s="49">
        <v>345396092055.92877</v>
      </c>
      <c r="Y107" s="50">
        <v>0.88308966944510436</v>
      </c>
      <c r="Z107" s="61">
        <v>5014388888.8888893</v>
      </c>
      <c r="AA107" s="48" t="s">
        <v>204</v>
      </c>
    </row>
    <row r="108" spans="1:27" x14ac:dyDescent="0.25">
      <c r="A108" s="8">
        <v>103</v>
      </c>
      <c r="B108" s="8" t="s">
        <v>312</v>
      </c>
      <c r="M108" s="62">
        <v>63933458333.332687</v>
      </c>
      <c r="N108" s="62">
        <v>123950816632.30901</v>
      </c>
      <c r="O108" s="63">
        <v>0.96937362582562947</v>
      </c>
      <c r="P108" s="64">
        <v>7521583333.333333</v>
      </c>
      <c r="Q108" s="65" t="s">
        <v>280</v>
      </c>
      <c r="R108" s="24">
        <v>128493715277.7791</v>
      </c>
      <c r="S108" s="24">
        <v>240090478729.24911</v>
      </c>
      <c r="T108" s="25">
        <v>0.93424989000519909</v>
      </c>
      <c r="U108" s="60">
        <v>6267986111.1111107</v>
      </c>
      <c r="V108" s="8" t="s">
        <v>225</v>
      </c>
      <c r="W108" s="24">
        <v>193053972222.22079</v>
      </c>
      <c r="X108" s="24">
        <v>341533023473.89301</v>
      </c>
      <c r="Y108" s="25">
        <v>0.88455321468537496</v>
      </c>
      <c r="Z108" s="60">
        <v>5014388888.8888893</v>
      </c>
      <c r="AA108" s="8" t="s">
        <v>204</v>
      </c>
    </row>
    <row r="109" spans="1:27" x14ac:dyDescent="0.25">
      <c r="A109" s="48">
        <v>104</v>
      </c>
      <c r="B109" s="48" t="s">
        <v>313</v>
      </c>
      <c r="M109" s="62">
        <v>60172666666.666023</v>
      </c>
      <c r="N109" s="62">
        <v>116842402687.75011</v>
      </c>
      <c r="O109" s="63">
        <v>0.97089267569786375</v>
      </c>
      <c r="P109" s="64">
        <v>7521583333.333333</v>
      </c>
      <c r="Q109" s="65" t="s">
        <v>246</v>
      </c>
      <c r="R109" s="49">
        <v>125359722222.2236</v>
      </c>
      <c r="S109" s="49">
        <v>234622794213.9021</v>
      </c>
      <c r="T109" s="50">
        <v>0.93579815771284691</v>
      </c>
      <c r="U109" s="61">
        <v>6267986111.1111107</v>
      </c>
      <c r="V109" s="48" t="s">
        <v>225</v>
      </c>
      <c r="W109" s="49">
        <v>190546777777.7764</v>
      </c>
      <c r="X109" s="49">
        <v>337657077996.58368</v>
      </c>
      <c r="Y109" s="50">
        <v>0.88602148494574273</v>
      </c>
      <c r="Z109" s="61">
        <v>5014388888.8888893</v>
      </c>
      <c r="AA109" s="48" t="s">
        <v>206</v>
      </c>
    </row>
    <row r="110" spans="1:27" x14ac:dyDescent="0.25">
      <c r="A110" s="8">
        <v>105</v>
      </c>
      <c r="B110" s="8" t="s">
        <v>314</v>
      </c>
      <c r="M110" s="62">
        <v>56411874999.999359</v>
      </c>
      <c r="N110" s="62">
        <v>109710294030.0426</v>
      </c>
      <c r="O110" s="63">
        <v>0.97240425025798038</v>
      </c>
      <c r="P110" s="64">
        <v>7521583333.333333</v>
      </c>
      <c r="Q110" s="65" t="s">
        <v>248</v>
      </c>
      <c r="R110" s="24">
        <v>122225729166.668</v>
      </c>
      <c r="S110" s="24">
        <v>229136884083.504</v>
      </c>
      <c r="T110" s="25">
        <v>0.93735126656945955</v>
      </c>
      <c r="U110" s="60">
        <v>6267986111.1111107</v>
      </c>
      <c r="V110" s="8" t="s">
        <v>228</v>
      </c>
      <c r="W110" s="24">
        <v>188039583333.33191</v>
      </c>
      <c r="X110" s="24">
        <v>333768212701.01678</v>
      </c>
      <c r="Y110" s="25">
        <v>0.88749455509416941</v>
      </c>
      <c r="Z110" s="60">
        <v>5014388888.8888893</v>
      </c>
      <c r="AA110" s="8" t="s">
        <v>206</v>
      </c>
    </row>
    <row r="111" spans="1:27" x14ac:dyDescent="0.25">
      <c r="A111" s="48">
        <v>106</v>
      </c>
      <c r="B111" s="48" t="s">
        <v>314</v>
      </c>
      <c r="M111" s="62">
        <v>52651083333.332703</v>
      </c>
      <c r="N111" s="62">
        <v>102554411676.8094</v>
      </c>
      <c r="O111" s="63">
        <v>0.97390599759875751</v>
      </c>
      <c r="P111" s="64">
        <v>7521583333.333333</v>
      </c>
      <c r="Q111" s="65" t="s">
        <v>248</v>
      </c>
      <c r="R111" s="49">
        <v>119091736111.1125</v>
      </c>
      <c r="S111" s="49">
        <v>223632687586.00461</v>
      </c>
      <c r="T111" s="50">
        <v>0.93890934370691992</v>
      </c>
      <c r="U111" s="61">
        <v>6267986111.1111107</v>
      </c>
      <c r="V111" s="48" t="s">
        <v>267</v>
      </c>
      <c r="W111" s="49">
        <v>185532388888.88751</v>
      </c>
      <c r="X111" s="49">
        <v>329866384521.13129</v>
      </c>
      <c r="Y111" s="50">
        <v>0.88897250365994929</v>
      </c>
      <c r="Z111" s="61">
        <v>5014388888.8888893</v>
      </c>
      <c r="AA111" s="48" t="s">
        <v>278</v>
      </c>
    </row>
    <row r="112" spans="1:27" x14ac:dyDescent="0.25">
      <c r="A112" s="8">
        <v>107</v>
      </c>
      <c r="B112" s="8" t="s">
        <v>315</v>
      </c>
      <c r="M112" s="62">
        <v>48890291666.666031</v>
      </c>
      <c r="N112" s="62">
        <v>95374676382.398758</v>
      </c>
      <c r="O112" s="63">
        <v>0.9753948394567088</v>
      </c>
      <c r="P112" s="64">
        <v>7521583333.333333</v>
      </c>
      <c r="Q112" s="65" t="s">
        <v>283</v>
      </c>
      <c r="R112" s="24">
        <v>115957743055.5569</v>
      </c>
      <c r="S112" s="24">
        <v>218110143766.8468</v>
      </c>
      <c r="T112" s="25">
        <v>0.94047252912790535</v>
      </c>
      <c r="U112" s="60">
        <v>6267986111.1111107</v>
      </c>
      <c r="V112" s="8" t="s">
        <v>267</v>
      </c>
      <c r="W112" s="24">
        <v>183025194444.44299</v>
      </c>
      <c r="X112" s="24">
        <v>325951550247.31281</v>
      </c>
      <c r="Y112" s="25">
        <v>0.8904554130831831</v>
      </c>
      <c r="Z112" s="60">
        <v>5014388888.8888893</v>
      </c>
      <c r="AA112" s="8" t="s">
        <v>278</v>
      </c>
    </row>
    <row r="113" spans="1:27" x14ac:dyDescent="0.25">
      <c r="A113" s="48">
        <v>108</v>
      </c>
      <c r="B113" s="48" t="s">
        <v>316</v>
      </c>
      <c r="M113" s="62">
        <v>45129499999.999367</v>
      </c>
      <c r="N113" s="62">
        <v>88171008637.00676</v>
      </c>
      <c r="O113" s="63">
        <v>0.97686666855391702</v>
      </c>
      <c r="P113" s="64">
        <v>7521583333.333333</v>
      </c>
      <c r="Q113" s="65" t="s">
        <v>250</v>
      </c>
      <c r="R113" s="49">
        <v>112823750000.0013</v>
      </c>
      <c r="S113" s="49">
        <v>212569191468.29181</v>
      </c>
      <c r="T113" s="50">
        <v>0.94204097749050764</v>
      </c>
      <c r="U113" s="61">
        <v>6267986111.1111107</v>
      </c>
      <c r="V113" s="48" t="s">
        <v>230</v>
      </c>
      <c r="W113" s="49">
        <v>180517999999.9985</v>
      </c>
      <c r="X113" s="49">
        <v>322023666525.91492</v>
      </c>
      <c r="Y113" s="50">
        <v>0.89194336998503621</v>
      </c>
      <c r="Z113" s="61">
        <v>5014388888.8888893</v>
      </c>
      <c r="AA113" s="48" t="s">
        <v>208</v>
      </c>
    </row>
    <row r="114" spans="1:27" x14ac:dyDescent="0.25">
      <c r="A114" s="8">
        <v>109</v>
      </c>
      <c r="B114" s="8" t="s">
        <v>317</v>
      </c>
      <c r="M114" s="62">
        <v>41368708333.332703</v>
      </c>
      <c r="N114" s="62">
        <v>80943328665.796783</v>
      </c>
      <c r="O114" s="63">
        <v>0.97831588085356003</v>
      </c>
      <c r="P114" s="64">
        <v>7521583333.333333</v>
      </c>
      <c r="Q114" s="65" t="s">
        <v>318</v>
      </c>
      <c r="R114" s="24">
        <v>109689756944.4458</v>
      </c>
      <c r="S114" s="24">
        <v>207009769328.7417</v>
      </c>
      <c r="T114" s="25">
        <v>0.94361486019877527</v>
      </c>
      <c r="U114" s="60">
        <v>6267986111.1111107</v>
      </c>
      <c r="V114" s="8" t="s">
        <v>269</v>
      </c>
      <c r="W114" s="24">
        <v>178010805555.55411</v>
      </c>
      <c r="X114" s="24">
        <v>318082689858.77911</v>
      </c>
      <c r="Y114" s="25">
        <v>0.89343646546083122</v>
      </c>
      <c r="Z114" s="60">
        <v>5014388888.8888893</v>
      </c>
      <c r="AA114" s="8" t="s">
        <v>244</v>
      </c>
    </row>
    <row r="115" spans="1:27" x14ac:dyDescent="0.25">
      <c r="A115" s="48">
        <v>110</v>
      </c>
      <c r="B115" s="48" t="s">
        <v>319</v>
      </c>
      <c r="M115" s="62">
        <v>37607916666.666039</v>
      </c>
      <c r="N115" s="62">
        <v>73691556428.016113</v>
      </c>
      <c r="O115" s="63">
        <v>0.9797346271687124</v>
      </c>
      <c r="P115" s="64">
        <v>7521583333.333333</v>
      </c>
      <c r="Q115" s="65" t="s">
        <v>253</v>
      </c>
      <c r="R115" s="49">
        <v>106555763888.8902</v>
      </c>
      <c r="S115" s="49">
        <v>201431815782.05969</v>
      </c>
      <c r="T115" s="50">
        <v>0.94519436786216648</v>
      </c>
      <c r="U115" s="61">
        <v>6267986111.1111107</v>
      </c>
      <c r="V115" s="48" t="s">
        <v>269</v>
      </c>
      <c r="W115" s="49">
        <v>175503611111.10959</v>
      </c>
      <c r="X115" s="49">
        <v>314128576602.75269</v>
      </c>
      <c r="Y115" s="50">
        <v>0.89493479539825826</v>
      </c>
      <c r="Z115" s="61">
        <v>5014388888.8888893</v>
      </c>
      <c r="AA115" s="48" t="s">
        <v>244</v>
      </c>
    </row>
    <row r="116" spans="1:27" x14ac:dyDescent="0.25">
      <c r="A116" s="8">
        <v>111</v>
      </c>
      <c r="B116" s="8" t="s">
        <v>319</v>
      </c>
      <c r="M116" s="62">
        <v>33847124999.999371</v>
      </c>
      <c r="N116" s="62">
        <v>66415611616.109497</v>
      </c>
      <c r="O116" s="63">
        <v>0.98111156584363868</v>
      </c>
      <c r="P116" s="64">
        <v>7521583333.333333</v>
      </c>
      <c r="Q116" s="65" t="s">
        <v>253</v>
      </c>
      <c r="R116" s="24">
        <v>103421770833.3347</v>
      </c>
      <c r="S116" s="24">
        <v>195835269056.88879</v>
      </c>
      <c r="T116" s="25">
        <v>0.9467797132021627</v>
      </c>
      <c r="U116" s="60">
        <v>6267986111.1111107</v>
      </c>
      <c r="V116" s="8" t="s">
        <v>232</v>
      </c>
      <c r="W116" s="24">
        <v>172996416666.66519</v>
      </c>
      <c r="X116" s="24">
        <v>310161282969.20642</v>
      </c>
      <c r="Y116" s="25">
        <v>0.89643846082325129</v>
      </c>
      <c r="Z116" s="60">
        <v>5014388888.8888893</v>
      </c>
      <c r="AA116" s="8" t="s">
        <v>210</v>
      </c>
    </row>
    <row r="117" spans="1:27" x14ac:dyDescent="0.25">
      <c r="A117" s="48">
        <v>112</v>
      </c>
      <c r="B117" s="48" t="s">
        <v>320</v>
      </c>
      <c r="M117" s="62">
        <v>30086333333.332699</v>
      </c>
      <c r="N117" s="62">
        <v>59115413654.829857</v>
      </c>
      <c r="O117" s="63">
        <v>0.98242967994600716</v>
      </c>
      <c r="P117" s="64">
        <v>7521583333.333333</v>
      </c>
      <c r="Q117" s="65" t="s">
        <v>255</v>
      </c>
      <c r="R117" s="49">
        <v>100287777777.7791</v>
      </c>
      <c r="S117" s="49">
        <v>190220067175.96729</v>
      </c>
      <c r="T117" s="50">
        <v>0.94837113450386279</v>
      </c>
      <c r="U117" s="61">
        <v>6267986111.1111107</v>
      </c>
      <c r="V117" s="48" t="s">
        <v>234</v>
      </c>
      <c r="W117" s="49">
        <v>170489222222.2207</v>
      </c>
      <c r="X117" s="49">
        <v>306180765023.54822</v>
      </c>
      <c r="Y117" s="50">
        <v>0.89794756827637778</v>
      </c>
      <c r="Z117" s="61">
        <v>5014388888.8888893</v>
      </c>
      <c r="AA117" s="48" t="s">
        <v>210</v>
      </c>
    </row>
    <row r="118" spans="1:27" x14ac:dyDescent="0.25">
      <c r="A118" s="8">
        <v>113</v>
      </c>
      <c r="B118" s="8" t="s">
        <v>321</v>
      </c>
      <c r="M118" s="62">
        <v>26325541666.666031</v>
      </c>
      <c r="N118" s="62">
        <v>51790881700.345963</v>
      </c>
      <c r="O118" s="63">
        <v>0.98366222348094523</v>
      </c>
      <c r="P118" s="64">
        <v>7521583333.333333</v>
      </c>
      <c r="Q118" s="65" t="s">
        <v>288</v>
      </c>
      <c r="R118" s="24">
        <v>97153784722.223557</v>
      </c>
      <c r="S118" s="24">
        <v>184586147955.44269</v>
      </c>
      <c r="T118" s="25">
        <v>0.9499688997356136</v>
      </c>
      <c r="U118" s="60">
        <v>6267986111.1111107</v>
      </c>
      <c r="V118" s="8" t="s">
        <v>234</v>
      </c>
      <c r="W118" s="24">
        <v>167982027777.77621</v>
      </c>
      <c r="X118" s="24">
        <v>302186978684.73767</v>
      </c>
      <c r="Y118" s="25">
        <v>0.89946223022293037</v>
      </c>
      <c r="Z118" s="60">
        <v>5014388888.8888893</v>
      </c>
      <c r="AA118" s="8" t="s">
        <v>213</v>
      </c>
    </row>
    <row r="119" spans="1:27" x14ac:dyDescent="0.25">
      <c r="A119" s="48">
        <v>114</v>
      </c>
      <c r="B119" s="48" t="s">
        <v>322</v>
      </c>
      <c r="M119" s="62">
        <v>22564749999.999371</v>
      </c>
      <c r="N119" s="62">
        <v>44441934639.347107</v>
      </c>
      <c r="O119" s="63">
        <v>0.9847646138190842</v>
      </c>
      <c r="P119" s="64">
        <v>7521583333.333333</v>
      </c>
      <c r="Q119" s="65" t="s">
        <v>257</v>
      </c>
      <c r="R119" s="49">
        <v>94019791666.667999</v>
      </c>
      <c r="S119" s="49">
        <v>178933449004.18311</v>
      </c>
      <c r="T119" s="50">
        <v>0.95157331149255664</v>
      </c>
      <c r="U119" s="61">
        <v>6267986111.1111107</v>
      </c>
      <c r="V119" s="48" t="s">
        <v>272</v>
      </c>
      <c r="W119" s="49">
        <v>165474833333.33179</v>
      </c>
      <c r="X119" s="49">
        <v>298179879724.79791</v>
      </c>
      <c r="Y119" s="50">
        <v>0.90098256550029465</v>
      </c>
      <c r="Z119" s="61">
        <v>5014388888.8888893</v>
      </c>
      <c r="AA119" s="48" t="s">
        <v>213</v>
      </c>
    </row>
    <row r="120" spans="1:27" x14ac:dyDescent="0.25">
      <c r="A120" s="8">
        <v>115</v>
      </c>
      <c r="B120" s="8" t="s">
        <v>323</v>
      </c>
      <c r="M120" s="62">
        <v>18803958333.332699</v>
      </c>
      <c r="N120" s="62">
        <v>37068491088.144943</v>
      </c>
      <c r="O120" s="63">
        <v>0.98565659503817737</v>
      </c>
      <c r="P120" s="64">
        <v>7521583333.333333</v>
      </c>
      <c r="Q120" s="65" t="s">
        <v>292</v>
      </c>
      <c r="R120" s="24">
        <v>90885798611.112442</v>
      </c>
      <c r="S120" s="24">
        <v>173261907723.08591</v>
      </c>
      <c r="T120" s="25">
        <v>0.95318471296296403</v>
      </c>
      <c r="U120" s="60">
        <v>6267986111.1111107</v>
      </c>
      <c r="V120" s="8" t="s">
        <v>237</v>
      </c>
      <c r="W120" s="24">
        <v>162967638888.8873</v>
      </c>
      <c r="X120" s="24">
        <v>294159423768.32501</v>
      </c>
      <c r="Y120" s="25">
        <v>0.90250869980660797</v>
      </c>
      <c r="Z120" s="60">
        <v>5014388888.8888893</v>
      </c>
      <c r="AA120" s="8" t="s">
        <v>251</v>
      </c>
    </row>
    <row r="121" spans="1:27" x14ac:dyDescent="0.25">
      <c r="A121" s="48">
        <v>116</v>
      </c>
      <c r="B121" s="48" t="s">
        <v>324</v>
      </c>
      <c r="M121" s="62">
        <v>15043166666.666031</v>
      </c>
      <c r="N121" s="62">
        <v>29670469391.772079</v>
      </c>
      <c r="O121" s="63">
        <v>0.98617764627704718</v>
      </c>
      <c r="P121" s="64">
        <v>7521583333.333333</v>
      </c>
      <c r="Q121" s="65" t="s">
        <v>258</v>
      </c>
      <c r="R121" s="62">
        <v>87751805555.556885</v>
      </c>
      <c r="S121" s="62">
        <v>167571461304.3851</v>
      </c>
      <c r="T121" s="63">
        <v>0.95480349517306107</v>
      </c>
      <c r="U121" s="64">
        <v>6267986111.1111107</v>
      </c>
      <c r="V121" s="65" t="s">
        <v>275</v>
      </c>
      <c r="W121" s="49">
        <v>160460444444.4429</v>
      </c>
      <c r="X121" s="49">
        <v>290125566291.99719</v>
      </c>
      <c r="Y121" s="50">
        <v>0.90404076623522323</v>
      </c>
      <c r="Z121" s="61">
        <v>5014388888.8888893</v>
      </c>
      <c r="AA121" s="48" t="s">
        <v>251</v>
      </c>
    </row>
    <row r="122" spans="1:27" x14ac:dyDescent="0.25">
      <c r="A122" s="8">
        <v>117</v>
      </c>
      <c r="B122" s="8" t="s">
        <v>325</v>
      </c>
      <c r="M122" s="62">
        <v>11282374999.999371</v>
      </c>
      <c r="N122" s="62">
        <v>22247787623.077991</v>
      </c>
      <c r="O122" s="63">
        <v>0.98595320679729404</v>
      </c>
      <c r="P122" s="64">
        <v>7521583333.333333</v>
      </c>
      <c r="Q122" s="65" t="s">
        <v>261</v>
      </c>
      <c r="R122" s="62">
        <v>84617812500.001328</v>
      </c>
      <c r="S122" s="62">
        <v>161862046730.95529</v>
      </c>
      <c r="T122" s="63">
        <v>0.95643010584179733</v>
      </c>
      <c r="U122" s="64">
        <v>6267986111.1111107</v>
      </c>
      <c r="V122" s="65" t="s">
        <v>275</v>
      </c>
      <c r="W122" s="24">
        <v>157953249999.99841</v>
      </c>
      <c r="X122" s="24">
        <v>286078262624.0816</v>
      </c>
      <c r="Y122" s="25">
        <v>0.90557890586007084</v>
      </c>
      <c r="Z122" s="60">
        <v>5014388888.8888893</v>
      </c>
      <c r="AA122" s="8" t="s">
        <v>214</v>
      </c>
    </row>
    <row r="123" spans="1:27" x14ac:dyDescent="0.25">
      <c r="A123" s="48">
        <v>118</v>
      </c>
      <c r="B123" s="48" t="s">
        <v>325</v>
      </c>
      <c r="M123" s="62">
        <v>7521583333.3327007</v>
      </c>
      <c r="N123" s="62">
        <v>14800363581.82159</v>
      </c>
      <c r="O123" s="63">
        <v>0.98385957622992704</v>
      </c>
      <c r="P123" s="64">
        <v>7521583333.333333</v>
      </c>
      <c r="Q123" s="65" t="s">
        <v>261</v>
      </c>
      <c r="R123" s="62">
        <v>81483819444.44577</v>
      </c>
      <c r="S123" s="62">
        <v>156133600775.61401</v>
      </c>
      <c r="T123" s="63">
        <v>0.95806506027901106</v>
      </c>
      <c r="U123" s="64">
        <v>6267986111.1111107</v>
      </c>
      <c r="V123" s="65" t="s">
        <v>239</v>
      </c>
      <c r="W123" s="49">
        <v>155446055555.55399</v>
      </c>
      <c r="X123" s="49">
        <v>282017467943.93958</v>
      </c>
      <c r="Y123" s="50">
        <v>0.90712326837766255</v>
      </c>
      <c r="Z123" s="61">
        <v>5014388888.8888893</v>
      </c>
      <c r="AA123" s="48" t="s">
        <v>289</v>
      </c>
    </row>
    <row r="124" spans="1:27" x14ac:dyDescent="0.25">
      <c r="A124" s="8">
        <v>119</v>
      </c>
      <c r="B124" s="8" t="s">
        <v>326</v>
      </c>
      <c r="M124" s="62">
        <v>3760791666.6660342</v>
      </c>
      <c r="N124" s="62">
        <v>7328114793.760993</v>
      </c>
      <c r="O124" s="63">
        <v>0.974278216301385</v>
      </c>
      <c r="P124" s="64">
        <v>7521583333.333333</v>
      </c>
      <c r="Q124" s="65" t="s">
        <v>294</v>
      </c>
      <c r="R124" s="62">
        <v>78349826388.890213</v>
      </c>
      <c r="S124" s="62">
        <v>150386060000.4216</v>
      </c>
      <c r="T124" s="63">
        <v>0.95970895489913866</v>
      </c>
      <c r="U124" s="64">
        <v>6267986111.1111107</v>
      </c>
      <c r="V124" s="65" t="s">
        <v>242</v>
      </c>
      <c r="W124" s="24">
        <v>152938861111.1095</v>
      </c>
      <c r="X124" s="24">
        <v>277943137281.53052</v>
      </c>
      <c r="Y124" s="25">
        <v>0.90867401281223703</v>
      </c>
      <c r="Z124" s="60">
        <v>5014388888.8888893</v>
      </c>
      <c r="AA124" s="8" t="s">
        <v>289</v>
      </c>
    </row>
    <row r="125" spans="1:27" x14ac:dyDescent="0.25">
      <c r="A125" s="48">
        <v>120</v>
      </c>
      <c r="B125" s="48" t="s">
        <v>327</v>
      </c>
      <c r="M125" s="66">
        <v>0</v>
      </c>
      <c r="N125" s="66">
        <v>0</v>
      </c>
      <c r="O125" s="67">
        <v>0</v>
      </c>
      <c r="P125" s="68">
        <v>7521583333.333333</v>
      </c>
      <c r="Q125" s="69" t="s">
        <v>263</v>
      </c>
      <c r="R125" s="62">
        <v>75215833333.334656</v>
      </c>
      <c r="S125" s="62">
        <v>144619360755.97849</v>
      </c>
      <c r="T125" s="63">
        <v>0.96136248411333591</v>
      </c>
      <c r="U125" s="64">
        <v>6267986111.1111107</v>
      </c>
      <c r="V125" s="65" t="s">
        <v>242</v>
      </c>
      <c r="W125" s="49">
        <v>150431666666.66501</v>
      </c>
      <c r="X125" s="49">
        <v>273855225516.91339</v>
      </c>
      <c r="Y125" s="50">
        <v>0.91023130829141596</v>
      </c>
      <c r="Z125" s="61">
        <v>5014388888.8888893</v>
      </c>
      <c r="AA125" s="48" t="s">
        <v>217</v>
      </c>
    </row>
    <row r="126" spans="1:27" x14ac:dyDescent="0.25">
      <c r="A126" s="8">
        <v>121</v>
      </c>
      <c r="B126" s="8" t="s">
        <v>328</v>
      </c>
      <c r="R126" s="62">
        <v>72081840277.779099</v>
      </c>
      <c r="S126" s="62">
        <v>138833439180.7207</v>
      </c>
      <c r="T126" s="63">
        <v>0.96302646162822303</v>
      </c>
      <c r="U126" s="64">
        <v>6267986111.1111107</v>
      </c>
      <c r="V126" s="65" t="s">
        <v>310</v>
      </c>
      <c r="W126" s="24">
        <v>147924472222.22061</v>
      </c>
      <c r="X126" s="24">
        <v>269753687379.74759</v>
      </c>
      <c r="Y126" s="25">
        <v>0.91179533490073306</v>
      </c>
      <c r="Z126" s="60">
        <v>5014388888.8888893</v>
      </c>
      <c r="AA126" s="8" t="s">
        <v>217</v>
      </c>
    </row>
    <row r="127" spans="1:27" x14ac:dyDescent="0.25">
      <c r="A127" s="48">
        <v>122</v>
      </c>
      <c r="B127" s="48" t="s">
        <v>329</v>
      </c>
      <c r="R127" s="62">
        <v>68947847222.223541</v>
      </c>
      <c r="S127" s="62">
        <v>133028231200.21201</v>
      </c>
      <c r="T127" s="63">
        <v>0.96470184755336197</v>
      </c>
      <c r="U127" s="64">
        <v>6267986111.1111107</v>
      </c>
      <c r="V127" s="65" t="s">
        <v>243</v>
      </c>
      <c r="W127" s="49">
        <v>145417277777.77609</v>
      </c>
      <c r="X127" s="49">
        <v>265638477448.7912</v>
      </c>
      <c r="Y127" s="50">
        <v>0.91336628462655856</v>
      </c>
      <c r="Z127" s="61">
        <v>5014388888.8888893</v>
      </c>
      <c r="AA127" s="48" t="s">
        <v>219</v>
      </c>
    </row>
    <row r="128" spans="1:27" x14ac:dyDescent="0.25">
      <c r="A128" s="8">
        <v>123</v>
      </c>
      <c r="B128" s="8" t="s">
        <v>329</v>
      </c>
      <c r="R128" s="62">
        <v>65813854166.667976</v>
      </c>
      <c r="S128" s="62">
        <v>127203672526.43491</v>
      </c>
      <c r="T128" s="63">
        <v>0.9663897832537085</v>
      </c>
      <c r="U128" s="64">
        <v>6267986111.1111107</v>
      </c>
      <c r="V128" s="65" t="s">
        <v>243</v>
      </c>
      <c r="W128" s="24">
        <v>142910083333.3317</v>
      </c>
      <c r="X128" s="24">
        <v>261509550151.39828</v>
      </c>
      <c r="Y128" s="25">
        <v>0.91494436239827259</v>
      </c>
      <c r="Z128" s="60">
        <v>5014388888.8888893</v>
      </c>
      <c r="AA128" s="8" t="s">
        <v>219</v>
      </c>
    </row>
    <row r="129" spans="1:27" x14ac:dyDescent="0.25">
      <c r="A129" s="48">
        <v>124</v>
      </c>
      <c r="B129" s="48" t="s">
        <v>330</v>
      </c>
      <c r="R129" s="62">
        <v>62679861111.112427</v>
      </c>
      <c r="S129" s="62">
        <v>121359698657.0786</v>
      </c>
      <c r="T129" s="63">
        <v>0.96809163665778186</v>
      </c>
      <c r="U129" s="64">
        <v>6267986111.1111107</v>
      </c>
      <c r="V129" s="65" t="s">
        <v>280</v>
      </c>
      <c r="W129" s="49">
        <v>140402888888.88721</v>
      </c>
      <c r="X129" s="49">
        <v>257366859763.0141</v>
      </c>
      <c r="Y129" s="50">
        <v>0.91652978724209311</v>
      </c>
      <c r="Z129" s="61">
        <v>5014388888.8888893</v>
      </c>
      <c r="AA129" s="48" t="s">
        <v>259</v>
      </c>
    </row>
    <row r="130" spans="1:27" x14ac:dyDescent="0.25">
      <c r="A130" s="8">
        <v>125</v>
      </c>
      <c r="B130" s="8" t="s">
        <v>331</v>
      </c>
      <c r="R130" s="62">
        <v>59545868055.55687</v>
      </c>
      <c r="S130" s="62">
        <v>115496244874.8244</v>
      </c>
      <c r="T130" s="63">
        <v>0.96980906187365745</v>
      </c>
      <c r="U130" s="64">
        <v>6267986111.1111107</v>
      </c>
      <c r="V130" s="65" t="s">
        <v>246</v>
      </c>
      <c r="W130" s="24">
        <v>137895694444.44269</v>
      </c>
      <c r="X130" s="24">
        <v>253210360406.66849</v>
      </c>
      <c r="Y130" s="25">
        <v>0.91812279356077109</v>
      </c>
      <c r="Z130" s="60">
        <v>5014388888.8888893</v>
      </c>
      <c r="AA130" s="8" t="s">
        <v>259</v>
      </c>
    </row>
    <row r="131" spans="1:27" x14ac:dyDescent="0.25">
      <c r="A131" s="48">
        <v>126</v>
      </c>
      <c r="B131" s="48" t="s">
        <v>332</v>
      </c>
      <c r="R131" s="62">
        <v>56411875000.001312</v>
      </c>
      <c r="S131" s="62">
        <v>109613246246.6293</v>
      </c>
      <c r="T131" s="63">
        <v>0.9715440786769346</v>
      </c>
      <c r="U131" s="64">
        <v>6267986111.1111107</v>
      </c>
      <c r="V131" s="65" t="s">
        <v>248</v>
      </c>
      <c r="W131" s="49">
        <v>135388499999.99831</v>
      </c>
      <c r="X131" s="49">
        <v>249040006052.4686</v>
      </c>
      <c r="Y131" s="50">
        <v>0.91972363255546696</v>
      </c>
      <c r="Z131" s="61">
        <v>5014388888.8888893</v>
      </c>
      <c r="AA131" s="48" t="s">
        <v>223</v>
      </c>
    </row>
    <row r="132" spans="1:27" x14ac:dyDescent="0.25">
      <c r="A132" s="8">
        <v>127</v>
      </c>
      <c r="B132" s="8" t="s">
        <v>333</v>
      </c>
      <c r="R132" s="62">
        <v>53277881944.445763</v>
      </c>
      <c r="S132" s="62">
        <v>103710637623.007</v>
      </c>
      <c r="T132" s="63">
        <v>0.97329918005326121</v>
      </c>
      <c r="U132" s="64">
        <v>6267986111.1111107</v>
      </c>
      <c r="V132" s="65" t="s">
        <v>248</v>
      </c>
      <c r="W132" s="24">
        <v>132881305555.55389</v>
      </c>
      <c r="X132" s="24">
        <v>244855750517.08789</v>
      </c>
      <c r="Y132" s="25">
        <v>0.92133257380858868</v>
      </c>
      <c r="Z132" s="60">
        <v>5014388888.8888893</v>
      </c>
      <c r="AA132" s="8" t="s">
        <v>264</v>
      </c>
    </row>
    <row r="133" spans="1:27" x14ac:dyDescent="0.25">
      <c r="A133" s="48">
        <v>128</v>
      </c>
      <c r="B133" s="48" t="s">
        <v>334</v>
      </c>
      <c r="R133" s="62">
        <v>50143888888.890198</v>
      </c>
      <c r="S133" s="62">
        <v>97788353637.305908</v>
      </c>
      <c r="T133" s="63">
        <v>0.97507748006927863</v>
      </c>
      <c r="U133" s="64">
        <v>6267986111.1111107</v>
      </c>
      <c r="V133" s="65" t="s">
        <v>283</v>
      </c>
      <c r="W133" s="49">
        <v>130374111111.10941</v>
      </c>
      <c r="X133" s="49">
        <v>240657547463.25601</v>
      </c>
      <c r="Y133" s="50">
        <v>0.92294990704925739</v>
      </c>
      <c r="Z133" s="61">
        <v>5014388888.8888893</v>
      </c>
      <c r="AA133" s="48" t="s">
        <v>264</v>
      </c>
    </row>
    <row r="134" spans="1:27" x14ac:dyDescent="0.25">
      <c r="A134" s="8">
        <v>129</v>
      </c>
      <c r="B134" s="8" t="s">
        <v>335</v>
      </c>
      <c r="R134" s="62">
        <v>47009895833.334641</v>
      </c>
      <c r="S134" s="62">
        <v>91846328704.985809</v>
      </c>
      <c r="T134" s="63">
        <v>0.9768829208919213</v>
      </c>
      <c r="U134" s="64">
        <v>6267986111.1111107</v>
      </c>
      <c r="V134" s="65" t="s">
        <v>250</v>
      </c>
      <c r="W134" s="24">
        <v>127866916666.66499</v>
      </c>
      <c r="X134" s="24">
        <v>236445350399.2446</v>
      </c>
      <c r="Y134" s="25">
        <v>0.92457594412646904</v>
      </c>
      <c r="Z134" s="60">
        <v>5014388888.8888893</v>
      </c>
      <c r="AA134" s="8" t="s">
        <v>225</v>
      </c>
    </row>
    <row r="135" spans="1:27" x14ac:dyDescent="0.25">
      <c r="A135" s="48">
        <v>130</v>
      </c>
      <c r="B135" s="48" t="s">
        <v>335</v>
      </c>
      <c r="R135" s="62">
        <v>43875902777.779083</v>
      </c>
      <c r="S135" s="62">
        <v>85884497022.891312</v>
      </c>
      <c r="T135" s="63">
        <v>0.97872056853024403</v>
      </c>
      <c r="U135" s="64">
        <v>6267986111.1111107</v>
      </c>
      <c r="V135" s="65" t="s">
        <v>250</v>
      </c>
      <c r="W135" s="49">
        <v>125359722222.2205</v>
      </c>
      <c r="X135" s="49">
        <v>232219112678.35321</v>
      </c>
      <c r="Y135" s="50">
        <v>0.92621102121902832</v>
      </c>
      <c r="Z135" s="61">
        <v>5014388888.8888893</v>
      </c>
      <c r="AA135" s="48" t="s">
        <v>225</v>
      </c>
    </row>
    <row r="136" spans="1:27" x14ac:dyDescent="0.25">
      <c r="A136" s="8">
        <v>131</v>
      </c>
      <c r="B136" s="8" t="s">
        <v>336</v>
      </c>
      <c r="R136" s="62">
        <v>40741909722.223534</v>
      </c>
      <c r="S136" s="62">
        <v>79902792568.523163</v>
      </c>
      <c r="T136" s="63">
        <v>0.98059704507344825</v>
      </c>
      <c r="U136" s="64">
        <v>6267986111.1111107</v>
      </c>
      <c r="V136" s="65" t="s">
        <v>318</v>
      </c>
      <c r="W136" s="24">
        <v>122852527777.77609</v>
      </c>
      <c r="X136" s="24">
        <v>227978787498.39221</v>
      </c>
      <c r="Y136" s="25">
        <v>0.92785550131608008</v>
      </c>
      <c r="Z136" s="60">
        <v>5014388888.8888893</v>
      </c>
      <c r="AA136" s="8" t="s">
        <v>228</v>
      </c>
    </row>
    <row r="137" spans="1:27" x14ac:dyDescent="0.25">
      <c r="A137" s="48">
        <v>132</v>
      </c>
      <c r="B137" s="48" t="s">
        <v>337</v>
      </c>
      <c r="R137" s="62">
        <v>37607916666.667969</v>
      </c>
      <c r="S137" s="62">
        <v>73901149099.307129</v>
      </c>
      <c r="T137" s="63">
        <v>0.98252117704788977</v>
      </c>
      <c r="U137" s="64">
        <v>6267986111.1111107</v>
      </c>
      <c r="V137" s="65" t="s">
        <v>253</v>
      </c>
      <c r="W137" s="49">
        <v>120345333333.3316</v>
      </c>
      <c r="X137" s="49">
        <v>223724327901.16461</v>
      </c>
      <c r="Y137" s="50">
        <v>0.92950977700769899</v>
      </c>
      <c r="Z137" s="61">
        <v>5014388888.8888893</v>
      </c>
      <c r="AA137" s="48" t="s">
        <v>228</v>
      </c>
    </row>
    <row r="138" spans="1:27" x14ac:dyDescent="0.25">
      <c r="A138" s="8">
        <v>133</v>
      </c>
      <c r="B138" s="8" t="s">
        <v>338</v>
      </c>
      <c r="R138" s="62">
        <v>34473923611.112411</v>
      </c>
      <c r="S138" s="62">
        <v>67879500151.860367</v>
      </c>
      <c r="T138" s="63">
        <v>0.98450499742332664</v>
      </c>
      <c r="U138" s="64">
        <v>6267986111.1111107</v>
      </c>
      <c r="V138" s="65" t="s">
        <v>253</v>
      </c>
      <c r="W138" s="24">
        <v>117838138888.88721</v>
      </c>
      <c r="X138" s="24">
        <v>219455686771.94629</v>
      </c>
      <c r="Y138" s="25">
        <v>0.93117427363171879</v>
      </c>
      <c r="Z138" s="60">
        <v>5014388888.8888893</v>
      </c>
      <c r="AA138" s="8" t="s">
        <v>267</v>
      </c>
    </row>
    <row r="139" spans="1:27" x14ac:dyDescent="0.25">
      <c r="A139" s="48">
        <v>134</v>
      </c>
      <c r="B139" s="48" t="s">
        <v>339</v>
      </c>
      <c r="R139" s="62">
        <v>31339930555.55685</v>
      </c>
      <c r="S139" s="62">
        <v>61837779041.255463</v>
      </c>
      <c r="T139" s="63">
        <v>0.98656534882287839</v>
      </c>
      <c r="U139" s="64">
        <v>6267986111.1111107</v>
      </c>
      <c r="V139" s="65" t="s">
        <v>255</v>
      </c>
      <c r="W139" s="49">
        <v>115330944444.44279</v>
      </c>
      <c r="X139" s="49">
        <v>215172816838.9639</v>
      </c>
      <c r="Y139" s="50">
        <v>0.93284945283100917</v>
      </c>
      <c r="Z139" s="61">
        <v>5014388888.8888893</v>
      </c>
      <c r="AA139" s="48" t="s">
        <v>267</v>
      </c>
    </row>
    <row r="140" spans="1:27" x14ac:dyDescent="0.25">
      <c r="A140" s="8">
        <v>135</v>
      </c>
      <c r="B140" s="8" t="s">
        <v>339</v>
      </c>
      <c r="R140" s="62">
        <v>28205937500.001301</v>
      </c>
      <c r="S140" s="62">
        <v>55775918860.281883</v>
      </c>
      <c r="T140" s="63">
        <v>0.98872655553957944</v>
      </c>
      <c r="U140" s="64">
        <v>6267986111.1111107</v>
      </c>
      <c r="V140" s="65" t="s">
        <v>288</v>
      </c>
      <c r="W140" s="24">
        <v>112823749999.99831</v>
      </c>
      <c r="X140" s="24">
        <v>210875670672.87161</v>
      </c>
      <c r="Y140" s="25">
        <v>0.93453581658504836</v>
      </c>
      <c r="Z140" s="60">
        <v>5014388888.8888893</v>
      </c>
      <c r="AA140" s="8" t="s">
        <v>230</v>
      </c>
    </row>
    <row r="141" spans="1:27" x14ac:dyDescent="0.25">
      <c r="A141" s="48">
        <v>136</v>
      </c>
      <c r="B141" s="48" t="s">
        <v>340</v>
      </c>
      <c r="R141" s="62">
        <v>25071944444.44574</v>
      </c>
      <c r="S141" s="62">
        <v>49693852478.705032</v>
      </c>
      <c r="T141" s="63">
        <v>0.99102509956530027</v>
      </c>
      <c r="U141" s="64">
        <v>6267986111.1111107</v>
      </c>
      <c r="V141" s="65" t="s">
        <v>288</v>
      </c>
      <c r="W141" s="49">
        <v>110316555555.55389</v>
      </c>
      <c r="X141" s="49">
        <v>206564200686.22559</v>
      </c>
      <c r="Y141" s="50">
        <v>0.93623391179124849</v>
      </c>
      <c r="Z141" s="61">
        <v>5014388888.8888893</v>
      </c>
      <c r="AA141" s="48" t="s">
        <v>269</v>
      </c>
    </row>
    <row r="142" spans="1:27" x14ac:dyDescent="0.25">
      <c r="A142" s="8">
        <v>137</v>
      </c>
      <c r="B142" s="8" t="s">
        <v>341</v>
      </c>
      <c r="R142" s="62">
        <v>21937951388.890179</v>
      </c>
      <c r="S142" s="62">
        <v>43591512542.522926</v>
      </c>
      <c r="T142" s="63">
        <v>0.9935183046444015</v>
      </c>
      <c r="U142" s="64">
        <v>6267986111.1111107</v>
      </c>
      <c r="V142" s="65" t="s">
        <v>257</v>
      </c>
      <c r="W142" s="24">
        <v>107809361111.10941</v>
      </c>
      <c r="X142" s="24">
        <v>202238359132.95749</v>
      </c>
      <c r="Y142" s="25">
        <v>0.93794433548552669</v>
      </c>
      <c r="Z142" s="60">
        <v>5014388888.8888893</v>
      </c>
      <c r="AA142" s="8" t="s">
        <v>269</v>
      </c>
    </row>
    <row r="143" spans="1:27" x14ac:dyDescent="0.25">
      <c r="A143" s="48">
        <v>138</v>
      </c>
      <c r="B143" s="48" t="s">
        <v>342</v>
      </c>
      <c r="R143" s="62">
        <v>18803958333.334629</v>
      </c>
      <c r="S143" s="62">
        <v>37468831473.22023</v>
      </c>
      <c r="T143" s="63">
        <v>0.99630170438097443</v>
      </c>
      <c r="U143" s="64">
        <v>6267986111.1111107</v>
      </c>
      <c r="V143" s="65" t="s">
        <v>292</v>
      </c>
      <c r="W143" s="49">
        <v>105302166666.66499</v>
      </c>
      <c r="X143" s="49">
        <v>197898098107.84509</v>
      </c>
      <c r="Y143" s="50">
        <v>0.93966774080866444</v>
      </c>
      <c r="Z143" s="61">
        <v>5014388888.8888893</v>
      </c>
      <c r="AA143" s="48" t="s">
        <v>232</v>
      </c>
    </row>
    <row r="144" spans="1:27" x14ac:dyDescent="0.25">
      <c r="A144" s="8">
        <v>139</v>
      </c>
      <c r="B144" s="8" t="s">
        <v>343</v>
      </c>
      <c r="R144" s="62">
        <v>15669965277.77907</v>
      </c>
      <c r="S144" s="62">
        <v>31325741467.019859</v>
      </c>
      <c r="T144" s="63">
        <v>0.9995472520746933</v>
      </c>
      <c r="U144" s="64">
        <v>6267986111.1111107</v>
      </c>
      <c r="V144" s="65" t="s">
        <v>258</v>
      </c>
      <c r="W144" s="24">
        <v>102794972222.2206</v>
      </c>
      <c r="X144" s="24">
        <v>193543369545.98239</v>
      </c>
      <c r="Y144" s="25">
        <v>0.94140484384578338</v>
      </c>
      <c r="Z144" s="60">
        <v>5014388888.8888893</v>
      </c>
      <c r="AA144" s="8" t="s">
        <v>232</v>
      </c>
    </row>
    <row r="145" spans="1:27" x14ac:dyDescent="0.25">
      <c r="A145" s="48">
        <v>140</v>
      </c>
      <c r="B145" s="48" t="s">
        <v>344</v>
      </c>
      <c r="R145" s="62">
        <v>12535972222.223511</v>
      </c>
      <c r="S145" s="62">
        <v>25162174494.132141</v>
      </c>
      <c r="T145" s="63">
        <v>1.003598845310345</v>
      </c>
      <c r="U145" s="64">
        <v>6267986111.1111107</v>
      </c>
      <c r="V145" s="65" t="s">
        <v>258</v>
      </c>
      <c r="W145" s="49">
        <v>100287777777.77609</v>
      </c>
      <c r="X145" s="49">
        <v>189174125222.2467</v>
      </c>
      <c r="Y145" s="50">
        <v>0.94315643149173434</v>
      </c>
      <c r="Z145" s="61">
        <v>5014388888.8888893</v>
      </c>
      <c r="AA145" s="48" t="s">
        <v>234</v>
      </c>
    </row>
    <row r="146" spans="1:27" x14ac:dyDescent="0.25">
      <c r="A146" s="8">
        <v>141</v>
      </c>
      <c r="B146" s="8" t="s">
        <v>345</v>
      </c>
      <c r="R146" s="62">
        <v>9401979166.6679592</v>
      </c>
      <c r="S146" s="62">
        <v>18978062298.00148</v>
      </c>
      <c r="T146" s="63">
        <v>1.009258899726283</v>
      </c>
      <c r="U146" s="64">
        <v>6267986111.1111107</v>
      </c>
      <c r="V146" s="65" t="s">
        <v>261</v>
      </c>
      <c r="W146" s="24">
        <v>97780583333.331665</v>
      </c>
      <c r="X146" s="24">
        <v>184790316750.76541</v>
      </c>
      <c r="Y146" s="25">
        <v>0.94492337052653685</v>
      </c>
      <c r="Z146" s="60">
        <v>5014388888.8888893</v>
      </c>
      <c r="AA146" s="8" t="s">
        <v>234</v>
      </c>
    </row>
    <row r="147" spans="1:27" x14ac:dyDescent="0.25">
      <c r="A147" s="48">
        <v>142</v>
      </c>
      <c r="B147" s="48" t="s">
        <v>345</v>
      </c>
      <c r="R147" s="62">
        <v>6267986111.1124039</v>
      </c>
      <c r="S147" s="62">
        <v>12773336394.550369</v>
      </c>
      <c r="T147" s="63">
        <v>1.018934644088054</v>
      </c>
      <c r="U147" s="64">
        <v>6267986111.1111107</v>
      </c>
      <c r="V147" s="65" t="s">
        <v>294</v>
      </c>
      <c r="W147" s="49">
        <v>95273388888.887222</v>
      </c>
      <c r="X147" s="49">
        <v>180391895584.379</v>
      </c>
      <c r="Y147" s="50">
        <v>0.94670661812377344</v>
      </c>
      <c r="Z147" s="61">
        <v>5014388888.8888893</v>
      </c>
      <c r="AA147" s="48" t="s">
        <v>272</v>
      </c>
    </row>
    <row r="148" spans="1:27" x14ac:dyDescent="0.25">
      <c r="A148" s="8">
        <v>143</v>
      </c>
      <c r="B148" s="8" t="s">
        <v>346</v>
      </c>
      <c r="R148" s="62">
        <v>3133993055.556849</v>
      </c>
      <c r="S148" s="62">
        <v>6547928071.421093</v>
      </c>
      <c r="T148" s="63">
        <v>1.0446621858033529</v>
      </c>
      <c r="U148" s="64">
        <v>6267986111.1111107</v>
      </c>
      <c r="V148" s="65" t="s">
        <v>294</v>
      </c>
      <c r="W148" s="24">
        <v>92766194444.44278</v>
      </c>
      <c r="X148" s="24">
        <v>175978813014.10471</v>
      </c>
      <c r="Y148" s="25">
        <v>0.94850723406303783</v>
      </c>
      <c r="Z148" s="60">
        <v>5014388888.8888893</v>
      </c>
      <c r="AA148" s="8" t="s">
        <v>272</v>
      </c>
    </row>
    <row r="149" spans="1:27" x14ac:dyDescent="0.25">
      <c r="A149" s="48">
        <v>144</v>
      </c>
      <c r="B149" s="48" t="s">
        <v>347</v>
      </c>
      <c r="R149" s="66">
        <v>1.293182373046875E-3</v>
      </c>
      <c r="S149" s="66">
        <v>301768387.21471882</v>
      </c>
      <c r="T149" s="67">
        <v>116676655011.8219</v>
      </c>
      <c r="U149" s="68">
        <v>6267986111.1111107</v>
      </c>
      <c r="V149" s="69" t="s">
        <v>263</v>
      </c>
      <c r="W149" s="49">
        <v>90258999999.998337</v>
      </c>
      <c r="X149" s="49">
        <v>171551020168.59619</v>
      </c>
      <c r="Y149" s="50">
        <v>0.9503263949777826</v>
      </c>
      <c r="Z149" s="61">
        <v>5014388888.8888893</v>
      </c>
      <c r="AA149" s="48" t="s">
        <v>237</v>
      </c>
    </row>
    <row r="150" spans="1:27" x14ac:dyDescent="0.25">
      <c r="A150" s="8">
        <v>145</v>
      </c>
      <c r="B150" s="8" t="s">
        <v>348</v>
      </c>
      <c r="W150" s="62">
        <v>87751805555.553894</v>
      </c>
      <c r="X150" s="62">
        <v>167108468013.6026</v>
      </c>
      <c r="Y150" s="63">
        <v>0.95216541104564301</v>
      </c>
      <c r="Z150" s="64">
        <v>5014388888.8888893</v>
      </c>
      <c r="AA150" s="65" t="s">
        <v>275</v>
      </c>
    </row>
    <row r="151" spans="1:27" x14ac:dyDescent="0.25">
      <c r="A151" s="48">
        <v>146</v>
      </c>
      <c r="B151" s="48" t="s">
        <v>349</v>
      </c>
      <c r="W151" s="62">
        <v>85244611111.109451</v>
      </c>
      <c r="X151" s="62">
        <v>162651107351.42581</v>
      </c>
      <c r="Y151" s="63">
        <v>0.95402574562410281</v>
      </c>
      <c r="Z151" s="64">
        <v>5014388888.8888893</v>
      </c>
      <c r="AA151" s="65" t="s">
        <v>275</v>
      </c>
    </row>
    <row r="152" spans="1:27" x14ac:dyDescent="0.25">
      <c r="A152" s="8">
        <v>147</v>
      </c>
      <c r="B152" s="8" t="s">
        <v>349</v>
      </c>
      <c r="W152" s="62">
        <v>82737416666.665009</v>
      </c>
      <c r="X152" s="62">
        <v>158178888820.37491</v>
      </c>
      <c r="Y152" s="63">
        <v>0.9559090384562694</v>
      </c>
      <c r="Z152" s="64">
        <v>5014388888.8888893</v>
      </c>
      <c r="AA152" s="65" t="s">
        <v>239</v>
      </c>
    </row>
    <row r="153" spans="1:27" x14ac:dyDescent="0.25">
      <c r="A153" s="48">
        <v>148</v>
      </c>
      <c r="B153" s="48" t="s">
        <v>350</v>
      </c>
      <c r="W153" s="62">
        <v>80230222222.220566</v>
      </c>
      <c r="X153" s="62">
        <v>153691762894.22061</v>
      </c>
      <c r="Y153" s="63">
        <v>0.95781713322772133</v>
      </c>
      <c r="Z153" s="64">
        <v>5014388888.8888893</v>
      </c>
      <c r="AA153" s="65" t="s">
        <v>239</v>
      </c>
    </row>
    <row r="154" spans="1:27" x14ac:dyDescent="0.25">
      <c r="A154" s="8">
        <v>149</v>
      </c>
      <c r="B154" s="8" t="s">
        <v>351</v>
      </c>
      <c r="W154" s="62">
        <v>77723027777.776123</v>
      </c>
      <c r="X154" s="62">
        <v>149189679881.64581</v>
      </c>
      <c r="Y154" s="63">
        <v>0.95975211045692588</v>
      </c>
      <c r="Z154" s="64">
        <v>5014388888.8888893</v>
      </c>
      <c r="AA154" s="65" t="s">
        <v>242</v>
      </c>
    </row>
    <row r="155" spans="1:27" x14ac:dyDescent="0.25">
      <c r="A155" s="48">
        <v>150</v>
      </c>
      <c r="B155" s="48" t="s">
        <v>352</v>
      </c>
      <c r="W155" s="62">
        <v>75215833333.33168</v>
      </c>
      <c r="X155" s="62">
        <v>144672589925.69571</v>
      </c>
      <c r="Y155" s="63">
        <v>0.96171632696373055</v>
      </c>
      <c r="Z155" s="64">
        <v>5014388888.8888893</v>
      </c>
      <c r="AA155" s="65" t="s">
        <v>242</v>
      </c>
    </row>
    <row r="156" spans="1:27" x14ac:dyDescent="0.25">
      <c r="A156" s="8">
        <v>151</v>
      </c>
      <c r="B156" s="8" t="s">
        <v>353</v>
      </c>
      <c r="W156" s="62">
        <v>72708638888.887238</v>
      </c>
      <c r="X156" s="62">
        <v>140140443003.2258</v>
      </c>
      <c r="Y156" s="63">
        <v>0.96371246350373396</v>
      </c>
      <c r="Z156" s="64">
        <v>5014388888.8888893</v>
      </c>
      <c r="AA156" s="65" t="s">
        <v>310</v>
      </c>
    </row>
    <row r="157" spans="1:27" x14ac:dyDescent="0.25">
      <c r="A157" s="48">
        <v>152</v>
      </c>
      <c r="B157" s="48" t="s">
        <v>354</v>
      </c>
      <c r="W157" s="62">
        <v>70201444444.442795</v>
      </c>
      <c r="X157" s="62">
        <v>135593188924.3477</v>
      </c>
      <c r="Y157" s="63">
        <v>0.96574358261001103</v>
      </c>
      <c r="Z157" s="64">
        <v>5014388888.8888893</v>
      </c>
      <c r="AA157" s="65" t="s">
        <v>310</v>
      </c>
    </row>
    <row r="158" spans="1:27" x14ac:dyDescent="0.25">
      <c r="A158" s="8">
        <v>153</v>
      </c>
      <c r="B158" s="8" t="s">
        <v>355</v>
      </c>
      <c r="W158" s="62">
        <v>67694249999.998352</v>
      </c>
      <c r="X158" s="62">
        <v>131030777331.87331</v>
      </c>
      <c r="Y158" s="63">
        <v>0.96781319928853993</v>
      </c>
      <c r="Z158" s="64">
        <v>5014388888.8888893</v>
      </c>
      <c r="AA158" s="65" t="s">
        <v>243</v>
      </c>
    </row>
    <row r="159" spans="1:27" x14ac:dyDescent="0.25">
      <c r="A159" s="48">
        <v>154</v>
      </c>
      <c r="B159" s="48" t="s">
        <v>355</v>
      </c>
      <c r="W159" s="62">
        <v>65187055555.553909</v>
      </c>
      <c r="X159" s="62">
        <v>126453157700.75729</v>
      </c>
      <c r="Y159" s="63">
        <v>0.96992536802794393</v>
      </c>
      <c r="Z159" s="64">
        <v>5014388888.8888893</v>
      </c>
      <c r="AA159" s="65" t="s">
        <v>280</v>
      </c>
    </row>
    <row r="160" spans="1:27" x14ac:dyDescent="0.25">
      <c r="A160" s="8">
        <v>155</v>
      </c>
      <c r="B160" s="8" t="s">
        <v>356</v>
      </c>
      <c r="W160" s="62">
        <v>62679861111.109467</v>
      </c>
      <c r="X160" s="62">
        <v>121860279337.5376</v>
      </c>
      <c r="Y160" s="63">
        <v>0.97208479069155851</v>
      </c>
      <c r="Z160" s="64">
        <v>5014388888.8888893</v>
      </c>
      <c r="AA160" s="65" t="s">
        <v>280</v>
      </c>
    </row>
    <row r="161" spans="1:27" x14ac:dyDescent="0.25">
      <c r="A161" s="48">
        <v>156</v>
      </c>
      <c r="B161" s="48" t="s">
        <v>357</v>
      </c>
      <c r="W161" s="62">
        <v>60172666666.665024</v>
      </c>
      <c r="X161" s="62">
        <v>117252091379.7738</v>
      </c>
      <c r="Y161" s="63">
        <v>0.97429695138249695</v>
      </c>
      <c r="Z161" s="64">
        <v>5014388888.8888893</v>
      </c>
      <c r="AA161" s="65" t="s">
        <v>246</v>
      </c>
    </row>
    <row r="162" spans="1:27" x14ac:dyDescent="0.25">
      <c r="A162" s="8">
        <v>157</v>
      </c>
      <c r="B162" s="8" t="s">
        <v>358</v>
      </c>
      <c r="W162" s="62">
        <v>57665472222.220581</v>
      </c>
      <c r="X162" s="62">
        <v>112628542795.48421</v>
      </c>
      <c r="Y162" s="63">
        <v>0.97656828649089233</v>
      </c>
      <c r="Z162" s="64">
        <v>5014388888.8888893</v>
      </c>
      <c r="AA162" s="65" t="s">
        <v>246</v>
      </c>
    </row>
    <row r="163" spans="1:27" x14ac:dyDescent="0.25">
      <c r="A163" s="48">
        <v>158</v>
      </c>
      <c r="B163" s="48" t="s">
        <v>359</v>
      </c>
      <c r="W163" s="62">
        <v>55158277777.776138</v>
      </c>
      <c r="X163" s="62">
        <v>107989582382.58031</v>
      </c>
      <c r="Y163" s="63">
        <v>0.9789064011176436</v>
      </c>
      <c r="Z163" s="64">
        <v>5014388888.8888893</v>
      </c>
      <c r="AA163" s="65" t="s">
        <v>248</v>
      </c>
    </row>
    <row r="164" spans="1:27" x14ac:dyDescent="0.25">
      <c r="A164" s="8">
        <v>159</v>
      </c>
      <c r="B164" s="8" t="s">
        <v>359</v>
      </c>
      <c r="W164" s="62">
        <v>52651083333.331703</v>
      </c>
      <c r="X164" s="62">
        <v>103335158768.3</v>
      </c>
      <c r="Y164" s="63">
        <v>0.98132034733349771</v>
      </c>
      <c r="Z164" s="64">
        <v>5014388888.8888893</v>
      </c>
      <c r="AA164" s="65" t="s">
        <v>248</v>
      </c>
    </row>
    <row r="165" spans="1:27" x14ac:dyDescent="0.25">
      <c r="A165" s="48">
        <v>160</v>
      </c>
      <c r="B165" s="48" t="s">
        <v>360</v>
      </c>
      <c r="W165" s="62">
        <v>50143888888.887253</v>
      </c>
      <c r="X165" s="62">
        <v>98665220408.638763</v>
      </c>
      <c r="Y165" s="63">
        <v>0.98382098591583977</v>
      </c>
      <c r="Z165" s="64">
        <v>5014388888.8888893</v>
      </c>
      <c r="AA165" s="65" t="s">
        <v>283</v>
      </c>
    </row>
    <row r="166" spans="1:27" x14ac:dyDescent="0.25">
      <c r="A166" s="8">
        <v>161</v>
      </c>
      <c r="B166" s="8" t="s">
        <v>361</v>
      </c>
      <c r="W166" s="62">
        <v>47636694444.44281</v>
      </c>
      <c r="X166" s="62">
        <v>93979715587.778671</v>
      </c>
      <c r="Y166" s="63">
        <v>0.98642146231813255</v>
      </c>
      <c r="Z166" s="64">
        <v>5014388888.8888893</v>
      </c>
      <c r="AA166" s="65" t="s">
        <v>283</v>
      </c>
    </row>
    <row r="167" spans="1:27" x14ac:dyDescent="0.25">
      <c r="A167" s="48">
        <v>162</v>
      </c>
      <c r="B167" s="48" t="s">
        <v>362</v>
      </c>
      <c r="W167" s="62">
        <v>45129499999.998367</v>
      </c>
      <c r="X167" s="62">
        <v>89278592417.515717</v>
      </c>
      <c r="Y167" s="63">
        <v>0.98913784129581483</v>
      </c>
      <c r="Z167" s="64">
        <v>5014388888.8888893</v>
      </c>
      <c r="AA167" s="65" t="s">
        <v>250</v>
      </c>
    </row>
    <row r="168" spans="1:27" x14ac:dyDescent="0.25">
      <c r="A168" s="8">
        <v>163</v>
      </c>
      <c r="B168" s="8" t="s">
        <v>363</v>
      </c>
      <c r="W168" s="62">
        <v>42622305555.553917</v>
      </c>
      <c r="X168" s="62">
        <v>84561798836.685211</v>
      </c>
      <c r="Y168" s="63">
        <v>0.99198996551778906</v>
      </c>
      <c r="Z168" s="64">
        <v>5014388888.8888893</v>
      </c>
      <c r="AA168" s="65" t="s">
        <v>318</v>
      </c>
    </row>
    <row r="169" spans="1:27" x14ac:dyDescent="0.25">
      <c r="A169" s="48">
        <v>164</v>
      </c>
      <c r="B169" s="48" t="s">
        <v>364</v>
      </c>
      <c r="W169" s="62">
        <v>40115111111.109482</v>
      </c>
      <c r="X169" s="62">
        <v>79829282610.585281</v>
      </c>
      <c r="Y169" s="63">
        <v>0.99500263615719309</v>
      </c>
      <c r="Z169" s="64">
        <v>5014388888.8888893</v>
      </c>
      <c r="AA169" s="65" t="s">
        <v>318</v>
      </c>
    </row>
    <row r="170" spans="1:27" x14ac:dyDescent="0.25">
      <c r="A170" s="8">
        <v>165</v>
      </c>
      <c r="B170" s="8" t="s">
        <v>365</v>
      </c>
      <c r="W170" s="62">
        <v>37607916666.665039</v>
      </c>
      <c r="X170" s="62">
        <v>75080991330.398346</v>
      </c>
      <c r="Y170" s="63">
        <v>0.99820726571845375</v>
      </c>
      <c r="Z170" s="64">
        <v>5014388888.8888893</v>
      </c>
      <c r="AA170" s="65" t="s">
        <v>253</v>
      </c>
    </row>
    <row r="171" spans="1:27" x14ac:dyDescent="0.25">
      <c r="A171" s="48">
        <v>166</v>
      </c>
      <c r="B171" s="48" t="s">
        <v>365</v>
      </c>
      <c r="W171" s="62">
        <v>35100722222.220596</v>
      </c>
      <c r="X171" s="62">
        <v>70316872412.610794</v>
      </c>
      <c r="Y171" s="63">
        <v>1.0016442392187661</v>
      </c>
      <c r="Z171" s="64">
        <v>5014388888.8888893</v>
      </c>
      <c r="AA171" s="65" t="s">
        <v>253</v>
      </c>
    </row>
    <row r="172" spans="1:27" x14ac:dyDescent="0.25">
      <c r="A172" s="8">
        <v>167</v>
      </c>
      <c r="B172" s="8" t="s">
        <v>366</v>
      </c>
      <c r="W172" s="62">
        <v>32593527777.77615</v>
      </c>
      <c r="X172" s="62">
        <v>65536873098.430618</v>
      </c>
      <c r="Y172" s="63">
        <v>1.0053663651456111</v>
      </c>
      <c r="Z172" s="64">
        <v>5014388888.8888893</v>
      </c>
      <c r="AA172" s="65" t="s">
        <v>255</v>
      </c>
    </row>
    <row r="173" spans="1:27" x14ac:dyDescent="0.25">
      <c r="A173" s="48">
        <v>168</v>
      </c>
      <c r="B173" s="48" t="s">
        <v>367</v>
      </c>
      <c r="W173" s="62">
        <v>30086333333.331711</v>
      </c>
      <c r="X173" s="62">
        <v>60740940453.203171</v>
      </c>
      <c r="Y173" s="63">
        <v>1.009444051892993</v>
      </c>
      <c r="Z173" s="64">
        <v>5014388888.8888893</v>
      </c>
      <c r="AA173" s="65" t="s">
        <v>255</v>
      </c>
    </row>
    <row r="174" spans="1:27" x14ac:dyDescent="0.25">
      <c r="A174" s="8">
        <v>169</v>
      </c>
      <c r="B174" s="8" t="s">
        <v>368</v>
      </c>
      <c r="W174" s="62">
        <v>27579138888.887272</v>
      </c>
      <c r="X174" s="62">
        <v>55929021365.824951</v>
      </c>
      <c r="Y174" s="63">
        <v>1.0139733077083311</v>
      </c>
      <c r="Z174" s="64">
        <v>5014388888.8888893</v>
      </c>
      <c r="AA174" s="65" t="s">
        <v>288</v>
      </c>
    </row>
    <row r="175" spans="1:27" x14ac:dyDescent="0.25">
      <c r="A175" s="48">
        <v>170</v>
      </c>
      <c r="B175" s="48" t="s">
        <v>369</v>
      </c>
      <c r="W175" s="62">
        <v>25071944444.442829</v>
      </c>
      <c r="X175" s="62">
        <v>51101062548.155472</v>
      </c>
      <c r="Y175" s="63">
        <v>1.019088540607427</v>
      </c>
      <c r="Z175" s="64">
        <v>5014388888.8888893</v>
      </c>
      <c r="AA175" s="65" t="s">
        <v>288</v>
      </c>
    </row>
    <row r="176" spans="1:27" x14ac:dyDescent="0.25">
      <c r="A176" s="8">
        <v>171</v>
      </c>
      <c r="B176" s="8" t="s">
        <v>369</v>
      </c>
      <c r="W176" s="62">
        <v>22564749999.998379</v>
      </c>
      <c r="X176" s="62">
        <v>46257010534.427094</v>
      </c>
      <c r="Y176" s="63">
        <v>1.0249838915660581</v>
      </c>
      <c r="Z176" s="64">
        <v>5014388888.8888893</v>
      </c>
      <c r="AA176" s="65" t="s">
        <v>257</v>
      </c>
    </row>
    <row r="177" spans="1:27" x14ac:dyDescent="0.25">
      <c r="A177" s="48">
        <v>172</v>
      </c>
      <c r="B177" s="48" t="s">
        <v>370</v>
      </c>
      <c r="W177" s="62">
        <v>20057555555.55394</v>
      </c>
      <c r="X177" s="62">
        <v>41396811680.652946</v>
      </c>
      <c r="Y177" s="63">
        <v>1.0319505676051881</v>
      </c>
      <c r="Z177" s="64">
        <v>5014388888.8888893</v>
      </c>
      <c r="AA177" s="65" t="s">
        <v>292</v>
      </c>
    </row>
    <row r="178" spans="1:27" x14ac:dyDescent="0.25">
      <c r="A178" s="8">
        <v>173</v>
      </c>
      <c r="B178" s="8" t="s">
        <v>371</v>
      </c>
      <c r="W178" s="62">
        <v>17550361111.109501</v>
      </c>
      <c r="X178" s="62">
        <v>36520412164.032913</v>
      </c>
      <c r="Y178" s="63">
        <v>1.040446174663473</v>
      </c>
      <c r="Z178" s="64">
        <v>5014388888.8888893</v>
      </c>
      <c r="AA178" s="65" t="s">
        <v>292</v>
      </c>
    </row>
    <row r="179" spans="1:27" x14ac:dyDescent="0.25">
      <c r="A179" s="48">
        <v>174</v>
      </c>
      <c r="B179" s="48" t="s">
        <v>372</v>
      </c>
      <c r="W179" s="62">
        <v>15043166666.665051</v>
      </c>
      <c r="X179" s="62">
        <v>31627757982.35746</v>
      </c>
      <c r="Y179" s="63">
        <v>1.0512333833421881</v>
      </c>
      <c r="Z179" s="64">
        <v>5014388888.8888893</v>
      </c>
      <c r="AA179" s="65" t="s">
        <v>258</v>
      </c>
    </row>
    <row r="180" spans="1:27" x14ac:dyDescent="0.25">
      <c r="A180" s="8">
        <v>175</v>
      </c>
      <c r="B180" s="8" t="s">
        <v>373</v>
      </c>
      <c r="W180" s="62">
        <v>12535972222.22061</v>
      </c>
      <c r="X180" s="62">
        <v>26718794953.409771</v>
      </c>
      <c r="Y180" s="63">
        <v>1.065684993543996</v>
      </c>
      <c r="Z180" s="64">
        <v>5014388888.8888893</v>
      </c>
      <c r="AA180" s="65" t="s">
        <v>258</v>
      </c>
    </row>
    <row r="181" spans="1:27" x14ac:dyDescent="0.25">
      <c r="A181" s="48">
        <v>176</v>
      </c>
      <c r="B181" s="48" t="s">
        <v>374</v>
      </c>
      <c r="W181" s="62">
        <v>10028777777.776159</v>
      </c>
      <c r="X181" s="62">
        <v>21793468714.365582</v>
      </c>
      <c r="Y181" s="63">
        <v>1.0865465960697649</v>
      </c>
      <c r="Z181" s="64">
        <v>5014388888.8888893</v>
      </c>
      <c r="AA181" s="65" t="s">
        <v>261</v>
      </c>
    </row>
    <row r="182" spans="1:27" x14ac:dyDescent="0.25">
      <c r="A182" s="8">
        <v>177</v>
      </c>
      <c r="B182" s="8" t="s">
        <v>375</v>
      </c>
      <c r="W182" s="62">
        <v>7521583333.3317184</v>
      </c>
      <c r="X182" s="62">
        <v>16851724721.19124</v>
      </c>
      <c r="Y182" s="63">
        <v>1.120224557408892</v>
      </c>
      <c r="Z182" s="64">
        <v>5014388888.8888893</v>
      </c>
      <c r="AA182" s="65" t="s">
        <v>261</v>
      </c>
    </row>
    <row r="183" spans="1:27" x14ac:dyDescent="0.25">
      <c r="A183" s="48">
        <v>178</v>
      </c>
      <c r="B183" s="48" t="s">
        <v>375</v>
      </c>
      <c r="W183" s="62">
        <v>5014388888.8872738</v>
      </c>
      <c r="X183" s="62">
        <v>11893508248.03966</v>
      </c>
      <c r="Y183" s="63">
        <v>1.185937958900402</v>
      </c>
      <c r="Z183" s="64">
        <v>5014388888.8888893</v>
      </c>
      <c r="AA183" s="65" t="s">
        <v>294</v>
      </c>
    </row>
    <row r="184" spans="1:27" x14ac:dyDescent="0.25">
      <c r="A184" s="8">
        <v>179</v>
      </c>
      <c r="B184" s="8" t="s">
        <v>376</v>
      </c>
      <c r="W184" s="62">
        <v>2507194444.4428291</v>
      </c>
      <c r="X184" s="62">
        <v>6918764386.6442337</v>
      </c>
      <c r="Y184" s="63">
        <v>1.3797821708602629</v>
      </c>
      <c r="Z184" s="64">
        <v>5014388888.8888893</v>
      </c>
      <c r="AA184" s="65" t="s">
        <v>294</v>
      </c>
    </row>
    <row r="185" spans="1:27" x14ac:dyDescent="0.25">
      <c r="A185" s="48">
        <v>180</v>
      </c>
      <c r="B185" s="48" t="s">
        <v>377</v>
      </c>
      <c r="W185" s="66">
        <v>0</v>
      </c>
      <c r="X185" s="66">
        <v>1927438045.710825</v>
      </c>
      <c r="Y185" s="67">
        <v>0</v>
      </c>
      <c r="Z185" s="68">
        <v>5014388888.8888893</v>
      </c>
      <c r="AA185" s="69" t="s">
        <v>263</v>
      </c>
    </row>
  </sheetData>
  <mergeCells count="7">
    <mergeCell ref="A1:AA1"/>
    <mergeCell ref="C3:G3"/>
    <mergeCell ref="H3:L3"/>
    <mergeCell ref="M3:Q3"/>
    <mergeCell ref="A2:AA2"/>
    <mergeCell ref="R3:V3"/>
    <mergeCell ref="W3:A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3" width="10" customWidth="1"/>
    <col min="4" max="5" width="12" customWidth="1"/>
    <col min="6" max="10" width="14" customWidth="1"/>
  </cols>
  <sheetData>
    <row r="1" spans="1:10" ht="17.25" x14ac:dyDescent="0.3">
      <c r="A1" s="111" t="s">
        <v>378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x14ac:dyDescent="0.25">
      <c r="A2" s="110" t="s">
        <v>379</v>
      </c>
      <c r="B2" s="102"/>
      <c r="C2" s="102"/>
      <c r="D2" s="102"/>
      <c r="E2" s="102"/>
      <c r="F2" s="102"/>
      <c r="G2" s="102"/>
      <c r="H2" s="102"/>
      <c r="I2" s="102"/>
      <c r="J2" s="102"/>
    </row>
    <row r="4" spans="1:10" ht="26.25" x14ac:dyDescent="0.25">
      <c r="A4" s="22" t="s">
        <v>21</v>
      </c>
      <c r="B4" s="22" t="s">
        <v>380</v>
      </c>
      <c r="C4" s="22" t="s">
        <v>381</v>
      </c>
      <c r="D4" s="22" t="s">
        <v>382</v>
      </c>
      <c r="E4" s="22" t="s">
        <v>383</v>
      </c>
      <c r="F4" s="22" t="s">
        <v>384</v>
      </c>
      <c r="G4" s="22" t="s">
        <v>385</v>
      </c>
      <c r="H4" s="22" t="s">
        <v>386</v>
      </c>
      <c r="I4" s="22" t="s">
        <v>387</v>
      </c>
      <c r="J4" s="22" t="s">
        <v>388</v>
      </c>
    </row>
    <row r="5" spans="1:10" x14ac:dyDescent="0.25">
      <c r="A5" s="48" t="s">
        <v>24</v>
      </c>
      <c r="B5" s="70">
        <v>0.45661134700268502</v>
      </c>
      <c r="C5" s="52">
        <v>0.45709096895874451</v>
      </c>
      <c r="D5" s="52">
        <v>4.7962195605949498E-4</v>
      </c>
      <c r="E5" s="71">
        <v>8000</v>
      </c>
      <c r="F5" s="72">
        <v>2500</v>
      </c>
      <c r="G5" s="73">
        <v>5500</v>
      </c>
      <c r="H5" s="49">
        <v>115066059.44467659</v>
      </c>
      <c r="I5" s="49">
        <v>54850916.275049344</v>
      </c>
      <c r="J5" s="71">
        <v>33000</v>
      </c>
    </row>
    <row r="6" spans="1:10" x14ac:dyDescent="0.25">
      <c r="A6" s="8" t="s">
        <v>26</v>
      </c>
      <c r="B6" s="74">
        <v>0.45991105512181102</v>
      </c>
      <c r="C6" s="52">
        <v>0.44548499002471331</v>
      </c>
      <c r="D6" s="52">
        <v>-1.442606509709771E-2</v>
      </c>
      <c r="E6" s="75">
        <v>36000</v>
      </c>
      <c r="F6" s="72">
        <v>2500</v>
      </c>
      <c r="G6" s="73">
        <v>33500</v>
      </c>
      <c r="H6" s="24">
        <v>607082592.76079047</v>
      </c>
      <c r="I6" s="24">
        <v>106916397.60593119</v>
      </c>
      <c r="J6" s="73">
        <v>270000</v>
      </c>
    </row>
    <row r="7" spans="1:10" x14ac:dyDescent="0.25">
      <c r="A7" s="48" t="s">
        <v>28</v>
      </c>
      <c r="B7" s="70">
        <v>0.45726202376046748</v>
      </c>
      <c r="C7" s="52">
        <v>0.42713785903759038</v>
      </c>
      <c r="D7" s="52">
        <v>-3.0124164722877159E-2</v>
      </c>
      <c r="E7" s="71">
        <v>66000</v>
      </c>
      <c r="F7" s="72">
        <v>2500</v>
      </c>
      <c r="G7" s="73">
        <v>63500</v>
      </c>
      <c r="H7" s="49">
        <v>1750399026.95507</v>
      </c>
      <c r="I7" s="49">
        <v>153769629.2535325</v>
      </c>
      <c r="J7" s="73">
        <v>867000</v>
      </c>
    </row>
    <row r="8" spans="1:10" x14ac:dyDescent="0.25">
      <c r="A8" s="8" t="s">
        <v>32</v>
      </c>
      <c r="B8" s="74">
        <v>0.43434497876209488</v>
      </c>
      <c r="C8" s="52">
        <v>0.38496878574664961</v>
      </c>
      <c r="D8" s="52">
        <v>-4.9376193015445269E-2</v>
      </c>
      <c r="E8" s="75">
        <v>131500</v>
      </c>
      <c r="F8" s="72">
        <v>2500</v>
      </c>
      <c r="G8" s="73">
        <v>129000</v>
      </c>
      <c r="H8" s="24">
        <v>5775050837.6208134</v>
      </c>
      <c r="I8" s="24">
        <v>230981271.44798979</v>
      </c>
      <c r="J8" s="73">
        <v>3174000</v>
      </c>
    </row>
    <row r="9" spans="1:10" x14ac:dyDescent="0.25">
      <c r="A9" s="48" t="s">
        <v>35</v>
      </c>
      <c r="B9" s="70">
        <v>0.40916958689110061</v>
      </c>
      <c r="C9" s="52">
        <v>0.34999998711147667</v>
      </c>
      <c r="D9" s="52">
        <v>-5.9169599779623883E-2</v>
      </c>
      <c r="E9" s="71">
        <v>220500</v>
      </c>
      <c r="F9" s="72">
        <v>5845</v>
      </c>
      <c r="G9" s="73">
        <v>214655</v>
      </c>
      <c r="H9" s="49">
        <v>12358558202.458799</v>
      </c>
      <c r="I9" s="49">
        <v>317710388.3005203</v>
      </c>
      <c r="J9" s="73">
        <v>7324064</v>
      </c>
    </row>
    <row r="10" spans="1:10" x14ac:dyDescent="0.25">
      <c r="A10" s="8" t="s">
        <v>38</v>
      </c>
      <c r="B10" s="74">
        <v>0.37193175093586572</v>
      </c>
      <c r="C10" s="52">
        <v>0.34999989301202722</v>
      </c>
      <c r="D10" s="52">
        <v>-2.1931857923838501E-2</v>
      </c>
      <c r="E10" s="75">
        <v>399500</v>
      </c>
      <c r="F10" s="72">
        <v>14953</v>
      </c>
      <c r="G10" s="73">
        <v>384547</v>
      </c>
      <c r="H10" s="24">
        <v>27943976311.313461</v>
      </c>
      <c r="I10" s="24">
        <v>812811751.53969097</v>
      </c>
      <c r="J10" s="73">
        <v>18202420</v>
      </c>
    </row>
    <row r="11" spans="1:10" x14ac:dyDescent="0.25">
      <c r="A11" s="48" t="s">
        <v>40</v>
      </c>
      <c r="B11" s="76">
        <v>0.34465102042752488</v>
      </c>
      <c r="C11" s="52">
        <v>0.34999994651482252</v>
      </c>
      <c r="D11" s="52">
        <v>5.3489260872976452E-3</v>
      </c>
      <c r="E11" s="71">
        <v>519500</v>
      </c>
      <c r="F11" s="72">
        <v>27971</v>
      </c>
      <c r="G11" s="73">
        <v>491529</v>
      </c>
      <c r="H11" s="49">
        <v>41180282524.762383</v>
      </c>
      <c r="I11" s="49">
        <v>1520417967.657608</v>
      </c>
      <c r="J11" s="73">
        <v>28784987</v>
      </c>
    </row>
    <row r="12" spans="1:10" x14ac:dyDescent="0.25">
      <c r="A12" s="8" t="s">
        <v>43</v>
      </c>
      <c r="B12" s="77">
        <v>0.30374166601068231</v>
      </c>
      <c r="C12" s="52">
        <v>0.34999997939579169</v>
      </c>
      <c r="D12" s="52">
        <v>4.625831338510944E-2</v>
      </c>
      <c r="E12" s="75">
        <v>814500</v>
      </c>
      <c r="F12" s="72">
        <v>71560</v>
      </c>
      <c r="G12" s="73">
        <v>742940</v>
      </c>
      <c r="H12" s="24">
        <v>64737068760.188744</v>
      </c>
      <c r="I12" s="24">
        <v>3889756971.013236</v>
      </c>
      <c r="J12" s="73">
        <v>50504602</v>
      </c>
    </row>
    <row r="13" spans="1:10" x14ac:dyDescent="0.25">
      <c r="A13" s="48" t="s">
        <v>48</v>
      </c>
      <c r="B13" s="76">
        <v>0.2401322388997037</v>
      </c>
      <c r="C13" s="52">
        <v>0.34999999013994071</v>
      </c>
      <c r="D13" s="52">
        <v>0.109867751240237</v>
      </c>
      <c r="E13" s="71">
        <v>1414500</v>
      </c>
      <c r="F13" s="72">
        <v>342454</v>
      </c>
      <c r="G13" s="73">
        <v>1072046</v>
      </c>
      <c r="H13" s="49">
        <v>115698594288.744</v>
      </c>
      <c r="I13" s="49">
        <v>18614648675.595581</v>
      </c>
      <c r="J13" s="73">
        <v>107156822</v>
      </c>
    </row>
    <row r="14" spans="1:10" x14ac:dyDescent="0.25">
      <c r="A14" s="8" t="s">
        <v>53</v>
      </c>
      <c r="B14" s="77">
        <v>0.16203975073464891</v>
      </c>
      <c r="C14" s="52">
        <v>0.34999999825808281</v>
      </c>
      <c r="D14" s="52">
        <v>0.18796024752343379</v>
      </c>
      <c r="E14" s="75">
        <v>2014500</v>
      </c>
      <c r="F14" s="72">
        <v>1638836</v>
      </c>
      <c r="G14" s="73">
        <v>375664</v>
      </c>
      <c r="H14" s="24">
        <v>144943260714.1376</v>
      </c>
      <c r="I14" s="24">
        <v>89081442356.649994</v>
      </c>
      <c r="J14" s="73">
        <v>159993398</v>
      </c>
    </row>
    <row r="16" spans="1:10" x14ac:dyDescent="0.25">
      <c r="A16" s="114" t="s">
        <v>389</v>
      </c>
      <c r="B16" s="102"/>
      <c r="C16" s="102"/>
      <c r="D16" s="102"/>
      <c r="E16" s="102"/>
      <c r="F16" s="102"/>
      <c r="G16" s="102"/>
      <c r="H16" s="102"/>
      <c r="I16" s="102"/>
      <c r="J16" s="102"/>
    </row>
    <row r="17" spans="1:10" x14ac:dyDescent="0.25">
      <c r="A17" s="113" t="s">
        <v>390</v>
      </c>
      <c r="B17" s="102"/>
      <c r="C17" s="102"/>
      <c r="D17" s="102"/>
      <c r="E17" s="102"/>
      <c r="F17" s="102"/>
      <c r="G17" s="102"/>
      <c r="H17" s="102"/>
      <c r="I17" s="102"/>
      <c r="J17" s="102"/>
    </row>
    <row r="18" spans="1:10" x14ac:dyDescent="0.25">
      <c r="A18" s="113" t="s">
        <v>391</v>
      </c>
      <c r="B18" s="102"/>
      <c r="C18" s="102"/>
      <c r="D18" s="102"/>
      <c r="E18" s="102"/>
      <c r="F18" s="102"/>
      <c r="G18" s="102"/>
      <c r="H18" s="102"/>
      <c r="I18" s="102"/>
      <c r="J18" s="102"/>
    </row>
    <row r="19" spans="1:10" x14ac:dyDescent="0.25">
      <c r="A19" s="113" t="s">
        <v>392</v>
      </c>
      <c r="B19" s="102"/>
      <c r="C19" s="102"/>
      <c r="D19" s="102"/>
      <c r="E19" s="102"/>
      <c r="F19" s="102"/>
      <c r="G19" s="102"/>
      <c r="H19" s="102"/>
      <c r="I19" s="102"/>
      <c r="J19" s="102"/>
    </row>
    <row r="20" spans="1:10" x14ac:dyDescent="0.25">
      <c r="A20" s="113" t="s">
        <v>393</v>
      </c>
      <c r="B20" s="102"/>
      <c r="C20" s="102"/>
      <c r="D20" s="102"/>
      <c r="E20" s="102"/>
      <c r="F20" s="102"/>
      <c r="G20" s="102"/>
      <c r="H20" s="102"/>
      <c r="I20" s="102"/>
      <c r="J20" s="102"/>
    </row>
  </sheetData>
  <mergeCells count="7">
    <mergeCell ref="A1:J1"/>
    <mergeCell ref="A17:J17"/>
    <mergeCell ref="A18:J18"/>
    <mergeCell ref="A2:J2"/>
    <mergeCell ref="A20:J20"/>
    <mergeCell ref="A16:J16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" width="8" customWidth="1"/>
    <col min="3" max="4" width="10" customWidth="1"/>
    <col min="5" max="9" width="12" customWidth="1"/>
    <col min="10" max="10" width="14" customWidth="1"/>
  </cols>
  <sheetData>
    <row r="1" spans="1:10" ht="15.75" x14ac:dyDescent="0.25">
      <c r="A1" s="115" t="s">
        <v>394</v>
      </c>
      <c r="B1" s="102"/>
      <c r="C1" s="102"/>
      <c r="D1" s="102"/>
      <c r="E1" s="102"/>
      <c r="F1" s="102"/>
      <c r="G1" s="102"/>
      <c r="H1" s="102"/>
      <c r="I1" s="102"/>
      <c r="J1" s="102"/>
    </row>
    <row r="3" spans="1:10" ht="39" x14ac:dyDescent="0.25">
      <c r="A3" s="22" t="s">
        <v>0</v>
      </c>
      <c r="B3" s="22" t="s">
        <v>21</v>
      </c>
      <c r="C3" s="22" t="s">
        <v>395</v>
      </c>
      <c r="D3" s="22" t="s">
        <v>396</v>
      </c>
      <c r="E3" s="22" t="s">
        <v>383</v>
      </c>
      <c r="F3" s="22" t="s">
        <v>384</v>
      </c>
      <c r="G3" s="22" t="s">
        <v>397</v>
      </c>
      <c r="H3" s="22" t="s">
        <v>398</v>
      </c>
      <c r="I3" s="22" t="s">
        <v>399</v>
      </c>
      <c r="J3" s="22" t="s">
        <v>400</v>
      </c>
    </row>
    <row r="4" spans="1:10" x14ac:dyDescent="0.25">
      <c r="A4" s="48">
        <v>1</v>
      </c>
      <c r="B4" s="48" t="s">
        <v>128</v>
      </c>
      <c r="C4" s="50">
        <v>0.45</v>
      </c>
      <c r="D4" s="35">
        <v>0.45</v>
      </c>
      <c r="E4" s="71">
        <v>2500</v>
      </c>
      <c r="F4" s="71">
        <v>2500</v>
      </c>
      <c r="G4" s="71">
        <v>2500</v>
      </c>
      <c r="H4" s="71">
        <v>2500</v>
      </c>
      <c r="I4" s="71">
        <v>0</v>
      </c>
      <c r="J4" s="71">
        <v>0</v>
      </c>
    </row>
    <row r="5" spans="1:10" x14ac:dyDescent="0.25">
      <c r="A5" s="8">
        <v>2</v>
      </c>
      <c r="B5" s="8" t="s">
        <v>131</v>
      </c>
      <c r="C5" s="25">
        <v>0.45068181818181818</v>
      </c>
      <c r="D5" s="35">
        <v>0.45074999999999998</v>
      </c>
      <c r="E5" s="75">
        <v>3000</v>
      </c>
      <c r="F5" s="75">
        <v>2500</v>
      </c>
      <c r="G5" s="75">
        <v>500</v>
      </c>
      <c r="H5" s="75">
        <v>0</v>
      </c>
      <c r="I5" s="75">
        <v>500</v>
      </c>
      <c r="J5" s="75">
        <v>500</v>
      </c>
    </row>
    <row r="6" spans="1:10" x14ac:dyDescent="0.25">
      <c r="A6" s="48">
        <v>3</v>
      </c>
      <c r="B6" s="48" t="s">
        <v>131</v>
      </c>
      <c r="C6" s="50">
        <v>0.45133472222222221</v>
      </c>
      <c r="D6" s="35">
        <v>0.45150166666666669</v>
      </c>
      <c r="E6" s="71">
        <v>3500</v>
      </c>
      <c r="F6" s="71">
        <v>2500</v>
      </c>
      <c r="G6" s="71">
        <v>500</v>
      </c>
      <c r="H6" s="71">
        <v>0</v>
      </c>
      <c r="I6" s="71">
        <v>1000</v>
      </c>
      <c r="J6" s="71">
        <v>1500</v>
      </c>
    </row>
    <row r="7" spans="1:10" x14ac:dyDescent="0.25">
      <c r="A7" s="8">
        <v>4</v>
      </c>
      <c r="B7" s="8" t="s">
        <v>135</v>
      </c>
      <c r="C7" s="25">
        <v>0.45196558012820509</v>
      </c>
      <c r="D7" s="35">
        <v>0.4522550041666667</v>
      </c>
      <c r="E7" s="75">
        <v>4000</v>
      </c>
      <c r="F7" s="75">
        <v>2500</v>
      </c>
      <c r="G7" s="75">
        <v>500</v>
      </c>
      <c r="H7" s="75">
        <v>0</v>
      </c>
      <c r="I7" s="73">
        <v>1500</v>
      </c>
      <c r="J7" s="75">
        <v>3000</v>
      </c>
    </row>
    <row r="8" spans="1:10" x14ac:dyDescent="0.25">
      <c r="A8" s="48">
        <v>5</v>
      </c>
      <c r="B8" s="48" t="s">
        <v>137</v>
      </c>
      <c r="C8" s="50">
        <v>0.4525792981031746</v>
      </c>
      <c r="D8" s="35">
        <v>0.45301001667777779</v>
      </c>
      <c r="E8" s="71">
        <v>4500</v>
      </c>
      <c r="F8" s="71">
        <v>2500</v>
      </c>
      <c r="G8" s="71">
        <v>500</v>
      </c>
      <c r="H8" s="71">
        <v>0</v>
      </c>
      <c r="I8" s="73">
        <v>2000</v>
      </c>
      <c r="J8" s="71">
        <v>5000</v>
      </c>
    </row>
    <row r="9" spans="1:10" x14ac:dyDescent="0.25">
      <c r="A9" s="8">
        <v>6</v>
      </c>
      <c r="B9" s="8" t="s">
        <v>140</v>
      </c>
      <c r="C9" s="25">
        <v>0.45317947448273649</v>
      </c>
      <c r="D9" s="35">
        <v>0.45376670838891969</v>
      </c>
      <c r="E9" s="75">
        <v>5000</v>
      </c>
      <c r="F9" s="75">
        <v>2500</v>
      </c>
      <c r="G9" s="75">
        <v>500</v>
      </c>
      <c r="H9" s="75">
        <v>0</v>
      </c>
      <c r="I9" s="73">
        <v>2500</v>
      </c>
      <c r="J9" s="75">
        <v>7500</v>
      </c>
    </row>
    <row r="10" spans="1:10" x14ac:dyDescent="0.25">
      <c r="A10" s="48">
        <v>7</v>
      </c>
      <c r="B10" s="48" t="s">
        <v>142</v>
      </c>
      <c r="C10" s="50">
        <v>0.45376880844456352</v>
      </c>
      <c r="D10" s="35">
        <v>0.45452508350018528</v>
      </c>
      <c r="E10" s="71">
        <v>5500</v>
      </c>
      <c r="F10" s="71">
        <v>2500</v>
      </c>
      <c r="G10" s="71">
        <v>500</v>
      </c>
      <c r="H10" s="71">
        <v>0</v>
      </c>
      <c r="I10" s="73">
        <v>3000</v>
      </c>
      <c r="J10" s="71">
        <v>10500</v>
      </c>
    </row>
    <row r="11" spans="1:10" x14ac:dyDescent="0.25">
      <c r="A11" s="8">
        <v>8</v>
      </c>
      <c r="B11" s="8" t="s">
        <v>144</v>
      </c>
      <c r="C11" s="25">
        <v>0.45434936446772362</v>
      </c>
      <c r="D11" s="35">
        <v>0.45528514622287097</v>
      </c>
      <c r="E11" s="75">
        <v>6000</v>
      </c>
      <c r="F11" s="75">
        <v>2500</v>
      </c>
      <c r="G11" s="75">
        <v>500</v>
      </c>
      <c r="H11" s="75">
        <v>0</v>
      </c>
      <c r="I11" s="73">
        <v>3500</v>
      </c>
      <c r="J11" s="75">
        <v>14000</v>
      </c>
    </row>
    <row r="12" spans="1:10" x14ac:dyDescent="0.25">
      <c r="A12" s="48">
        <v>9</v>
      </c>
      <c r="B12" s="48" t="s">
        <v>146</v>
      </c>
      <c r="C12" s="50">
        <v>0.45492274863890397</v>
      </c>
      <c r="D12" s="35">
        <v>0.45604690077950871</v>
      </c>
      <c r="E12" s="71">
        <v>6500</v>
      </c>
      <c r="F12" s="71">
        <v>2500</v>
      </c>
      <c r="G12" s="71">
        <v>500</v>
      </c>
      <c r="H12" s="71">
        <v>0</v>
      </c>
      <c r="I12" s="73">
        <v>4000</v>
      </c>
      <c r="J12" s="71">
        <v>18000</v>
      </c>
    </row>
    <row r="13" spans="1:10" x14ac:dyDescent="0.25">
      <c r="A13" s="8">
        <v>10</v>
      </c>
      <c r="B13" s="8" t="s">
        <v>146</v>
      </c>
      <c r="C13" s="25">
        <v>0.45549022928298671</v>
      </c>
      <c r="D13" s="35">
        <v>0.45681035140389631</v>
      </c>
      <c r="E13" s="75">
        <v>7000</v>
      </c>
      <c r="F13" s="75">
        <v>2500</v>
      </c>
      <c r="G13" s="75">
        <v>500</v>
      </c>
      <c r="H13" s="75">
        <v>0</v>
      </c>
      <c r="I13" s="73">
        <v>4500</v>
      </c>
      <c r="J13" s="75">
        <v>22500</v>
      </c>
    </row>
    <row r="14" spans="1:10" x14ac:dyDescent="0.25">
      <c r="A14" s="48">
        <v>11</v>
      </c>
      <c r="B14" s="48" t="s">
        <v>150</v>
      </c>
      <c r="C14" s="50">
        <v>0.45605282140445458</v>
      </c>
      <c r="D14" s="35">
        <v>0.45712095688658422</v>
      </c>
      <c r="E14" s="71">
        <v>7500</v>
      </c>
      <c r="F14" s="71">
        <v>2500</v>
      </c>
      <c r="G14" s="71">
        <v>500</v>
      </c>
      <c r="H14" s="71">
        <v>0</v>
      </c>
      <c r="I14" s="73">
        <v>5000</v>
      </c>
      <c r="J14" s="71">
        <v>27500</v>
      </c>
    </row>
    <row r="15" spans="1:10" x14ac:dyDescent="0.25">
      <c r="A15" s="8">
        <v>12</v>
      </c>
      <c r="B15" s="8" t="s">
        <v>153</v>
      </c>
      <c r="C15" s="25">
        <v>0.45661134700268502</v>
      </c>
      <c r="D15" s="35">
        <v>0.45709096895874451</v>
      </c>
      <c r="E15" s="75">
        <v>8000</v>
      </c>
      <c r="F15" s="75">
        <v>2500</v>
      </c>
      <c r="G15" s="75">
        <v>500</v>
      </c>
      <c r="H15" s="75">
        <v>0</v>
      </c>
      <c r="I15" s="73">
        <v>5500</v>
      </c>
      <c r="J15" s="75">
        <v>33000</v>
      </c>
    </row>
    <row r="16" spans="1:10" x14ac:dyDescent="0.25">
      <c r="A16" s="48">
        <v>13</v>
      </c>
      <c r="B16" s="48" t="s">
        <v>156</v>
      </c>
      <c r="C16" s="50">
        <v>0.45716647893761841</v>
      </c>
      <c r="D16" s="35">
        <v>0.45679809740486799</v>
      </c>
      <c r="E16" s="71">
        <v>8500</v>
      </c>
      <c r="F16" s="71">
        <v>2500</v>
      </c>
      <c r="G16" s="71">
        <v>500</v>
      </c>
      <c r="H16" s="71">
        <v>0</v>
      </c>
      <c r="I16" s="73">
        <v>6000</v>
      </c>
      <c r="J16" s="71">
        <v>39000</v>
      </c>
    </row>
    <row r="17" spans="1:10" x14ac:dyDescent="0.25">
      <c r="A17" s="8">
        <v>14</v>
      </c>
      <c r="B17" s="8" t="s">
        <v>158</v>
      </c>
      <c r="C17" s="25">
        <v>0.45753165157397802</v>
      </c>
      <c r="D17" s="35">
        <v>0.45629784646315441</v>
      </c>
      <c r="E17" s="75">
        <v>11000</v>
      </c>
      <c r="F17" s="75">
        <v>2500</v>
      </c>
      <c r="G17" s="75">
        <v>2500</v>
      </c>
      <c r="H17" s="75">
        <v>0</v>
      </c>
      <c r="I17" s="73">
        <v>8500</v>
      </c>
      <c r="J17" s="75">
        <v>47500</v>
      </c>
    </row>
    <row r="18" spans="1:10" x14ac:dyDescent="0.25">
      <c r="A18" s="48">
        <v>15</v>
      </c>
      <c r="B18" s="48" t="s">
        <v>158</v>
      </c>
      <c r="C18" s="50">
        <v>0.45778315061495861</v>
      </c>
      <c r="D18" s="35">
        <v>0.45563091666571842</v>
      </c>
      <c r="E18" s="71">
        <v>13500</v>
      </c>
      <c r="F18" s="71">
        <v>2500</v>
      </c>
      <c r="G18" s="71">
        <v>2500</v>
      </c>
      <c r="H18" s="71">
        <v>0</v>
      </c>
      <c r="I18" s="73">
        <v>11000</v>
      </c>
      <c r="J18" s="71">
        <v>58500</v>
      </c>
    </row>
    <row r="19" spans="1:10" x14ac:dyDescent="0.25">
      <c r="A19" s="8">
        <v>16</v>
      </c>
      <c r="B19" s="8" t="s">
        <v>161</v>
      </c>
      <c r="C19" s="25">
        <v>0.45797922381457867</v>
      </c>
      <c r="D19" s="35">
        <v>0.4548278309886914</v>
      </c>
      <c r="E19" s="75">
        <v>16000</v>
      </c>
      <c r="F19" s="75">
        <v>2500</v>
      </c>
      <c r="G19" s="75">
        <v>2500</v>
      </c>
      <c r="H19" s="75">
        <v>0</v>
      </c>
      <c r="I19" s="73">
        <v>13500</v>
      </c>
      <c r="J19" s="75">
        <v>72000</v>
      </c>
    </row>
    <row r="20" spans="1:10" x14ac:dyDescent="0.25">
      <c r="A20" s="48">
        <v>17</v>
      </c>
      <c r="B20" s="48" t="s">
        <v>164</v>
      </c>
      <c r="C20" s="50">
        <v>0.45815825270081928</v>
      </c>
      <c r="D20" s="35">
        <v>0.45391192824343868</v>
      </c>
      <c r="E20" s="71">
        <v>18500</v>
      </c>
      <c r="F20" s="71">
        <v>2500</v>
      </c>
      <c r="G20" s="71">
        <v>2500</v>
      </c>
      <c r="H20" s="71">
        <v>0</v>
      </c>
      <c r="I20" s="73">
        <v>16000</v>
      </c>
      <c r="J20" s="71">
        <v>88000</v>
      </c>
    </row>
    <row r="21" spans="1:10" x14ac:dyDescent="0.25">
      <c r="A21" s="8">
        <v>18</v>
      </c>
      <c r="B21" s="8" t="s">
        <v>166</v>
      </c>
      <c r="C21" s="25">
        <v>0.45834290968568842</v>
      </c>
      <c r="D21" s="35">
        <v>0.45290135867068071</v>
      </c>
      <c r="E21" s="75">
        <v>21000</v>
      </c>
      <c r="F21" s="75">
        <v>2500</v>
      </c>
      <c r="G21" s="75">
        <v>2500</v>
      </c>
      <c r="H21" s="75">
        <v>0</v>
      </c>
      <c r="I21" s="73">
        <v>18500</v>
      </c>
      <c r="J21" s="75">
        <v>106500</v>
      </c>
    </row>
    <row r="22" spans="1:10" x14ac:dyDescent="0.25">
      <c r="A22" s="48">
        <v>19</v>
      </c>
      <c r="B22" s="48" t="s">
        <v>169</v>
      </c>
      <c r="C22" s="50">
        <v>0.45854522278156029</v>
      </c>
      <c r="D22" s="35">
        <v>0.4518104493469734</v>
      </c>
      <c r="E22" s="71">
        <v>23500</v>
      </c>
      <c r="F22" s="71">
        <v>2500</v>
      </c>
      <c r="G22" s="71">
        <v>2500</v>
      </c>
      <c r="H22" s="71">
        <v>0</v>
      </c>
      <c r="I22" s="73">
        <v>21000</v>
      </c>
      <c r="J22" s="71">
        <v>127500</v>
      </c>
    </row>
    <row r="23" spans="1:10" x14ac:dyDescent="0.25">
      <c r="A23" s="8">
        <v>20</v>
      </c>
      <c r="B23" s="8" t="s">
        <v>172</v>
      </c>
      <c r="C23" s="25">
        <v>0.45877064029881742</v>
      </c>
      <c r="D23" s="35">
        <v>0.45065065996922338</v>
      </c>
      <c r="E23" s="75">
        <v>26000</v>
      </c>
      <c r="F23" s="75">
        <v>2500</v>
      </c>
      <c r="G23" s="75">
        <v>2500</v>
      </c>
      <c r="H23" s="75">
        <v>0</v>
      </c>
      <c r="I23" s="73">
        <v>23500</v>
      </c>
      <c r="J23" s="75">
        <v>151000</v>
      </c>
    </row>
    <row r="24" spans="1:10" x14ac:dyDescent="0.25">
      <c r="A24" s="48">
        <v>21</v>
      </c>
      <c r="B24" s="48" t="s">
        <v>175</v>
      </c>
      <c r="C24" s="50">
        <v>0.45902080622685187</v>
      </c>
      <c r="D24" s="35">
        <v>0.44943126555789292</v>
      </c>
      <c r="E24" s="71">
        <v>28500</v>
      </c>
      <c r="F24" s="71">
        <v>2500</v>
      </c>
      <c r="G24" s="71">
        <v>2500</v>
      </c>
      <c r="H24" s="71">
        <v>0</v>
      </c>
      <c r="I24" s="73">
        <v>26000</v>
      </c>
      <c r="J24" s="71">
        <v>177000</v>
      </c>
    </row>
    <row r="25" spans="1:10" x14ac:dyDescent="0.25">
      <c r="A25" s="8">
        <v>22</v>
      </c>
      <c r="B25" s="8" t="s">
        <v>175</v>
      </c>
      <c r="C25" s="25">
        <v>0.45929530113560862</v>
      </c>
      <c r="D25" s="35">
        <v>0.44815985296840022</v>
      </c>
      <c r="E25" s="75">
        <v>31000</v>
      </c>
      <c r="F25" s="75">
        <v>2500</v>
      </c>
      <c r="G25" s="75">
        <v>2500</v>
      </c>
      <c r="H25" s="75">
        <v>0</v>
      </c>
      <c r="I25" s="73">
        <v>28500</v>
      </c>
      <c r="J25" s="75">
        <v>205500</v>
      </c>
    </row>
    <row r="26" spans="1:10" x14ac:dyDescent="0.25">
      <c r="A26" s="48">
        <v>23</v>
      </c>
      <c r="B26" s="48" t="s">
        <v>179</v>
      </c>
      <c r="C26" s="50">
        <v>0.45959267811444038</v>
      </c>
      <c r="D26" s="35">
        <v>0.44684268787778919</v>
      </c>
      <c r="E26" s="71">
        <v>33500</v>
      </c>
      <c r="F26" s="71">
        <v>2500</v>
      </c>
      <c r="G26" s="71">
        <v>2500</v>
      </c>
      <c r="H26" s="71">
        <v>0</v>
      </c>
      <c r="I26" s="73">
        <v>31000</v>
      </c>
      <c r="J26" s="71">
        <v>236500</v>
      </c>
    </row>
    <row r="27" spans="1:10" x14ac:dyDescent="0.25">
      <c r="A27" s="8">
        <v>24</v>
      </c>
      <c r="B27" s="8" t="s">
        <v>181</v>
      </c>
      <c r="C27" s="25">
        <v>0.45991105512181102</v>
      </c>
      <c r="D27" s="35">
        <v>0.44548499002471331</v>
      </c>
      <c r="E27" s="75">
        <v>36000</v>
      </c>
      <c r="F27" s="75">
        <v>2500</v>
      </c>
      <c r="G27" s="75">
        <v>2500</v>
      </c>
      <c r="H27" s="75">
        <v>0</v>
      </c>
      <c r="I27" s="73">
        <v>33500</v>
      </c>
      <c r="J27" s="75">
        <v>270000</v>
      </c>
    </row>
    <row r="28" spans="1:10" x14ac:dyDescent="0.25">
      <c r="A28" s="48">
        <v>25</v>
      </c>
      <c r="B28" s="48" t="s">
        <v>184</v>
      </c>
      <c r="C28" s="50">
        <v>0.4602484405721346</v>
      </c>
      <c r="D28" s="35">
        <v>0.44409114239180381</v>
      </c>
      <c r="E28" s="71">
        <v>38500</v>
      </c>
      <c r="F28" s="71">
        <v>2500</v>
      </c>
      <c r="G28" s="71">
        <v>2500</v>
      </c>
      <c r="H28" s="71">
        <v>0</v>
      </c>
      <c r="I28" s="73">
        <v>36000</v>
      </c>
      <c r="J28" s="71">
        <v>306000</v>
      </c>
    </row>
    <row r="29" spans="1:10" x14ac:dyDescent="0.25">
      <c r="A29" s="8">
        <v>26</v>
      </c>
      <c r="B29" s="8" t="s">
        <v>186</v>
      </c>
      <c r="C29" s="25">
        <v>0.46060290317948971</v>
      </c>
      <c r="D29" s="35">
        <v>0.4426648521151697</v>
      </c>
      <c r="E29" s="75">
        <v>41000</v>
      </c>
      <c r="F29" s="75">
        <v>2500</v>
      </c>
      <c r="G29" s="75">
        <v>2500</v>
      </c>
      <c r="H29" s="75">
        <v>0</v>
      </c>
      <c r="I29" s="73">
        <v>38500</v>
      </c>
      <c r="J29" s="75">
        <v>344500</v>
      </c>
    </row>
    <row r="30" spans="1:10" x14ac:dyDescent="0.25">
      <c r="A30" s="48">
        <v>27</v>
      </c>
      <c r="B30" s="48" t="s">
        <v>186</v>
      </c>
      <c r="C30" s="50">
        <v>0.46077397751620541</v>
      </c>
      <c r="D30" s="35">
        <v>0.44120927563621209</v>
      </c>
      <c r="E30" s="71">
        <v>43500</v>
      </c>
      <c r="F30" s="71">
        <v>2500</v>
      </c>
      <c r="G30" s="71">
        <v>2500</v>
      </c>
      <c r="H30" s="71">
        <v>0</v>
      </c>
      <c r="I30" s="73">
        <v>41000</v>
      </c>
      <c r="J30" s="71">
        <v>385500</v>
      </c>
    </row>
    <row r="31" spans="1:10" x14ac:dyDescent="0.25">
      <c r="A31" s="8">
        <v>28</v>
      </c>
      <c r="B31" s="8" t="s">
        <v>190</v>
      </c>
      <c r="C31" s="25">
        <v>0.46078432970118338</v>
      </c>
      <c r="D31" s="35">
        <v>0.43972711703517797</v>
      </c>
      <c r="E31" s="75">
        <v>46000</v>
      </c>
      <c r="F31" s="75">
        <v>2500</v>
      </c>
      <c r="G31" s="75">
        <v>2500</v>
      </c>
      <c r="H31" s="75">
        <v>0</v>
      </c>
      <c r="I31" s="73">
        <v>43500</v>
      </c>
      <c r="J31" s="75">
        <v>429000</v>
      </c>
    </row>
    <row r="32" spans="1:10" x14ac:dyDescent="0.25">
      <c r="A32" s="48">
        <v>29</v>
      </c>
      <c r="B32" s="48" t="s">
        <v>192</v>
      </c>
      <c r="C32" s="50">
        <v>0.46065811590129702</v>
      </c>
      <c r="D32" s="35">
        <v>0.43822070601982538</v>
      </c>
      <c r="E32" s="71">
        <v>48500</v>
      </c>
      <c r="F32" s="71">
        <v>2500</v>
      </c>
      <c r="G32" s="71">
        <v>2500</v>
      </c>
      <c r="H32" s="71">
        <v>0</v>
      </c>
      <c r="I32" s="73">
        <v>46000</v>
      </c>
      <c r="J32" s="71">
        <v>475000</v>
      </c>
    </row>
    <row r="33" spans="1:10" x14ac:dyDescent="0.25">
      <c r="A33" s="8">
        <v>30</v>
      </c>
      <c r="B33" s="8" t="s">
        <v>194</v>
      </c>
      <c r="C33" s="25">
        <v>0.46041523728902262</v>
      </c>
      <c r="D33" s="35">
        <v>0.4366920603163395</v>
      </c>
      <c r="E33" s="75">
        <v>51000</v>
      </c>
      <c r="F33" s="75">
        <v>2500</v>
      </c>
      <c r="G33" s="75">
        <v>2500</v>
      </c>
      <c r="H33" s="75">
        <v>0</v>
      </c>
      <c r="I33" s="73">
        <v>48500</v>
      </c>
      <c r="J33" s="75">
        <v>523500</v>
      </c>
    </row>
    <row r="34" spans="1:10" x14ac:dyDescent="0.25">
      <c r="A34" s="48">
        <v>31</v>
      </c>
      <c r="B34" s="48" t="s">
        <v>197</v>
      </c>
      <c r="C34" s="50">
        <v>0.46007215938017121</v>
      </c>
      <c r="D34" s="35">
        <v>0.43514293598457487</v>
      </c>
      <c r="E34" s="71">
        <v>53500</v>
      </c>
      <c r="F34" s="71">
        <v>2500</v>
      </c>
      <c r="G34" s="71">
        <v>2500</v>
      </c>
      <c r="H34" s="71">
        <v>0</v>
      </c>
      <c r="I34" s="73">
        <v>51000</v>
      </c>
      <c r="J34" s="71">
        <v>574500</v>
      </c>
    </row>
    <row r="35" spans="1:10" x14ac:dyDescent="0.25">
      <c r="A35" s="8">
        <v>32</v>
      </c>
      <c r="B35" s="8" t="s">
        <v>199</v>
      </c>
      <c r="C35" s="25">
        <v>0.45964256790337737</v>
      </c>
      <c r="D35" s="35">
        <v>0.43357486829917369</v>
      </c>
      <c r="E35" s="75">
        <v>56000</v>
      </c>
      <c r="F35" s="75">
        <v>2500</v>
      </c>
      <c r="G35" s="75">
        <v>2500</v>
      </c>
      <c r="H35" s="75">
        <v>0</v>
      </c>
      <c r="I35" s="73">
        <v>53500</v>
      </c>
      <c r="J35" s="75">
        <v>628000</v>
      </c>
    </row>
    <row r="36" spans="1:10" x14ac:dyDescent="0.25">
      <c r="A36" s="48">
        <v>33</v>
      </c>
      <c r="B36" s="48" t="s">
        <v>201</v>
      </c>
      <c r="C36" s="50">
        <v>0.45913789241466818</v>
      </c>
      <c r="D36" s="35">
        <v>0.43198920519774159</v>
      </c>
      <c r="E36" s="71">
        <v>58500</v>
      </c>
      <c r="F36" s="71">
        <v>2500</v>
      </c>
      <c r="G36" s="71">
        <v>2500</v>
      </c>
      <c r="H36" s="71">
        <v>0</v>
      </c>
      <c r="I36" s="73">
        <v>56000</v>
      </c>
      <c r="J36" s="71">
        <v>684000</v>
      </c>
    </row>
    <row r="37" spans="1:10" x14ac:dyDescent="0.25">
      <c r="A37" s="8">
        <v>34</v>
      </c>
      <c r="B37" s="8" t="s">
        <v>201</v>
      </c>
      <c r="C37" s="25">
        <v>0.45856772429119358</v>
      </c>
      <c r="D37" s="35">
        <v>0.43038713482638902</v>
      </c>
      <c r="E37" s="75">
        <v>61000</v>
      </c>
      <c r="F37" s="75">
        <v>2500</v>
      </c>
      <c r="G37" s="75">
        <v>2500</v>
      </c>
      <c r="H37" s="75">
        <v>0</v>
      </c>
      <c r="I37" s="73">
        <v>58500</v>
      </c>
      <c r="J37" s="75">
        <v>742500</v>
      </c>
    </row>
    <row r="38" spans="1:10" x14ac:dyDescent="0.25">
      <c r="A38" s="48">
        <v>35</v>
      </c>
      <c r="B38" s="48" t="s">
        <v>205</v>
      </c>
      <c r="C38" s="50">
        <v>0.45794015094328377</v>
      </c>
      <c r="D38" s="35">
        <v>0.42876970836316808</v>
      </c>
      <c r="E38" s="71">
        <v>63500</v>
      </c>
      <c r="F38" s="71">
        <v>2500</v>
      </c>
      <c r="G38" s="71">
        <v>2500</v>
      </c>
      <c r="H38" s="71">
        <v>0</v>
      </c>
      <c r="I38" s="73">
        <v>61000</v>
      </c>
      <c r="J38" s="71">
        <v>803500</v>
      </c>
    </row>
    <row r="39" spans="1:10" x14ac:dyDescent="0.25">
      <c r="A39" s="8">
        <v>36</v>
      </c>
      <c r="B39" s="8" t="s">
        <v>207</v>
      </c>
      <c r="C39" s="25">
        <v>0.45726202376046748</v>
      </c>
      <c r="D39" s="35">
        <v>0.42713785903759038</v>
      </c>
      <c r="E39" s="75">
        <v>66000</v>
      </c>
      <c r="F39" s="75">
        <v>2500</v>
      </c>
      <c r="G39" s="75">
        <v>2500</v>
      </c>
      <c r="H39" s="75">
        <v>0</v>
      </c>
      <c r="I39" s="73">
        <v>63500</v>
      </c>
      <c r="J39" s="75">
        <v>867000</v>
      </c>
    </row>
    <row r="40" spans="1:10" x14ac:dyDescent="0.25">
      <c r="A40" s="48">
        <v>37</v>
      </c>
      <c r="B40" s="48" t="s">
        <v>209</v>
      </c>
      <c r="C40" s="50">
        <v>0.45653917366607838</v>
      </c>
      <c r="D40" s="35">
        <v>0.4254924180658855</v>
      </c>
      <c r="E40" s="71">
        <v>68500</v>
      </c>
      <c r="F40" s="71">
        <v>2500</v>
      </c>
      <c r="G40" s="71">
        <v>2500</v>
      </c>
      <c r="H40" s="71">
        <v>0</v>
      </c>
      <c r="I40" s="73">
        <v>66000</v>
      </c>
      <c r="J40" s="71">
        <v>933000</v>
      </c>
    </row>
    <row r="41" spans="1:10" x14ac:dyDescent="0.25">
      <c r="A41" s="8">
        <v>38</v>
      </c>
      <c r="B41" s="8" t="s">
        <v>212</v>
      </c>
      <c r="C41" s="25">
        <v>0.45577658519824771</v>
      </c>
      <c r="D41" s="35">
        <v>0.42383412807015503</v>
      </c>
      <c r="E41" s="75">
        <v>71000</v>
      </c>
      <c r="F41" s="75">
        <v>2500</v>
      </c>
      <c r="G41" s="75">
        <v>2500</v>
      </c>
      <c r="H41" s="75">
        <v>0</v>
      </c>
      <c r="I41" s="73">
        <v>68500</v>
      </c>
      <c r="J41" s="75">
        <v>1001500</v>
      </c>
    </row>
    <row r="42" spans="1:10" x14ac:dyDescent="0.25">
      <c r="A42" s="48">
        <v>39</v>
      </c>
      <c r="B42" s="48" t="s">
        <v>212</v>
      </c>
      <c r="C42" s="50">
        <v>0.4549785376827164</v>
      </c>
      <c r="D42" s="35">
        <v>0.42216365443302839</v>
      </c>
      <c r="E42" s="71">
        <v>73500</v>
      </c>
      <c r="F42" s="71">
        <v>2500</v>
      </c>
      <c r="G42" s="71">
        <v>2500</v>
      </c>
      <c r="H42" s="71">
        <v>0</v>
      </c>
      <c r="I42" s="73">
        <v>71000</v>
      </c>
      <c r="J42" s="71">
        <v>1072500</v>
      </c>
    </row>
    <row r="43" spans="1:10" x14ac:dyDescent="0.25">
      <c r="A43" s="8">
        <v>40</v>
      </c>
      <c r="B43" s="8" t="s">
        <v>216</v>
      </c>
      <c r="C43" s="25">
        <v>0.45414872021327518</v>
      </c>
      <c r="D43" s="35">
        <v>0.42048159494911008</v>
      </c>
      <c r="E43" s="75">
        <v>76000</v>
      </c>
      <c r="F43" s="75">
        <v>2500</v>
      </c>
      <c r="G43" s="75">
        <v>2500</v>
      </c>
      <c r="H43" s="75">
        <v>0</v>
      </c>
      <c r="I43" s="73">
        <v>73500</v>
      </c>
      <c r="J43" s="75">
        <v>1146000</v>
      </c>
    </row>
    <row r="44" spans="1:10" x14ac:dyDescent="0.25">
      <c r="A44" s="48">
        <v>41</v>
      </c>
      <c r="B44" s="48" t="s">
        <v>218</v>
      </c>
      <c r="C44" s="50">
        <v>0.45329032571060268</v>
      </c>
      <c r="D44" s="35">
        <v>0.41878848806400693</v>
      </c>
      <c r="E44" s="71">
        <v>78500</v>
      </c>
      <c r="F44" s="71">
        <v>2500</v>
      </c>
      <c r="G44" s="71">
        <v>2500</v>
      </c>
      <c r="H44" s="71">
        <v>0</v>
      </c>
      <c r="I44" s="73">
        <v>76000</v>
      </c>
      <c r="J44" s="71">
        <v>1222000</v>
      </c>
    </row>
    <row r="45" spans="1:10" x14ac:dyDescent="0.25">
      <c r="A45" s="8">
        <v>42</v>
      </c>
      <c r="B45" s="8" t="s">
        <v>222</v>
      </c>
      <c r="C45" s="25">
        <v>0.45240612820469978</v>
      </c>
      <c r="D45" s="35">
        <v>0.41708481993634211</v>
      </c>
      <c r="E45" s="75">
        <v>81000</v>
      </c>
      <c r="F45" s="75">
        <v>2500</v>
      </c>
      <c r="G45" s="75">
        <v>2500</v>
      </c>
      <c r="H45" s="75">
        <v>0</v>
      </c>
      <c r="I45" s="73">
        <v>78500</v>
      </c>
      <c r="J45" s="75">
        <v>1300500</v>
      </c>
    </row>
    <row r="46" spans="1:10" x14ac:dyDescent="0.25">
      <c r="A46" s="48">
        <v>43</v>
      </c>
      <c r="B46" s="48" t="s">
        <v>224</v>
      </c>
      <c r="C46" s="50">
        <v>0.45149854661003658</v>
      </c>
      <c r="D46" s="35">
        <v>0.41537103051435942</v>
      </c>
      <c r="E46" s="71">
        <v>83500</v>
      </c>
      <c r="F46" s="71">
        <v>2500</v>
      </c>
      <c r="G46" s="71">
        <v>2500</v>
      </c>
      <c r="H46" s="71">
        <v>0</v>
      </c>
      <c r="I46" s="73">
        <v>81000</v>
      </c>
      <c r="J46" s="71">
        <v>1381500</v>
      </c>
    </row>
    <row r="47" spans="1:10" x14ac:dyDescent="0.25">
      <c r="A47" s="8">
        <v>44</v>
      </c>
      <c r="B47" s="8" t="s">
        <v>227</v>
      </c>
      <c r="C47" s="25">
        <v>0.45056969758011789</v>
      </c>
      <c r="D47" s="35">
        <v>0.41364751878389039</v>
      </c>
      <c r="E47" s="75">
        <v>86000</v>
      </c>
      <c r="F47" s="75">
        <v>2500</v>
      </c>
      <c r="G47" s="75">
        <v>2500</v>
      </c>
      <c r="H47" s="75">
        <v>0</v>
      </c>
      <c r="I47" s="73">
        <v>83500</v>
      </c>
      <c r="J47" s="75">
        <v>1465000</v>
      </c>
    </row>
    <row r="48" spans="1:10" x14ac:dyDescent="0.25">
      <c r="A48" s="48">
        <v>45</v>
      </c>
      <c r="B48" s="48" t="s">
        <v>229</v>
      </c>
      <c r="C48" s="50">
        <v>0.44962143949563049</v>
      </c>
      <c r="D48" s="35">
        <v>0.41191464731658112</v>
      </c>
      <c r="E48" s="71">
        <v>88500</v>
      </c>
      <c r="F48" s="71">
        <v>2500</v>
      </c>
      <c r="G48" s="71">
        <v>2500</v>
      </c>
      <c r="H48" s="71">
        <v>0</v>
      </c>
      <c r="I48" s="73">
        <v>86000</v>
      </c>
      <c r="J48" s="71">
        <v>1551000</v>
      </c>
    </row>
    <row r="49" spans="1:10" x14ac:dyDescent="0.25">
      <c r="A49" s="8">
        <v>46</v>
      </c>
      <c r="B49" s="8" t="s">
        <v>229</v>
      </c>
      <c r="C49" s="25">
        <v>0.44865540922370167</v>
      </c>
      <c r="D49" s="35">
        <v>0.41017274622486172</v>
      </c>
      <c r="E49" s="75">
        <v>91000</v>
      </c>
      <c r="F49" s="75">
        <v>2500</v>
      </c>
      <c r="G49" s="75">
        <v>2500</v>
      </c>
      <c r="H49" s="75">
        <v>0</v>
      </c>
      <c r="I49" s="73">
        <v>88500</v>
      </c>
      <c r="J49" s="75">
        <v>1639500</v>
      </c>
    </row>
    <row r="50" spans="1:10" x14ac:dyDescent="0.25">
      <c r="A50" s="48">
        <v>47</v>
      </c>
      <c r="B50" s="48" t="s">
        <v>233</v>
      </c>
      <c r="C50" s="50">
        <v>0.44767305295883553</v>
      </c>
      <c r="D50" s="35">
        <v>0.40842211661201672</v>
      </c>
      <c r="E50" s="71">
        <v>93500</v>
      </c>
      <c r="F50" s="71">
        <v>2500</v>
      </c>
      <c r="G50" s="71">
        <v>2500</v>
      </c>
      <c r="H50" s="71">
        <v>0</v>
      </c>
      <c r="I50" s="73">
        <v>91000</v>
      </c>
      <c r="J50" s="71">
        <v>1730500</v>
      </c>
    </row>
    <row r="51" spans="1:10" x14ac:dyDescent="0.25">
      <c r="A51" s="8">
        <v>48</v>
      </c>
      <c r="B51" s="8" t="s">
        <v>236</v>
      </c>
      <c r="C51" s="25">
        <v>0.44667565219863908</v>
      </c>
      <c r="D51" s="35">
        <v>0.4066630335909861</v>
      </c>
      <c r="E51" s="75">
        <v>96000</v>
      </c>
      <c r="F51" s="75">
        <v>2500</v>
      </c>
      <c r="G51" s="75">
        <v>2500</v>
      </c>
      <c r="H51" s="75">
        <v>0</v>
      </c>
      <c r="I51" s="73">
        <v>93500</v>
      </c>
      <c r="J51" s="75">
        <v>1824000</v>
      </c>
    </row>
    <row r="52" spans="1:10" x14ac:dyDescent="0.25">
      <c r="A52" s="48">
        <v>49</v>
      </c>
      <c r="B52" s="48" t="s">
        <v>238</v>
      </c>
      <c r="C52" s="50">
        <v>0.44566434570399088</v>
      </c>
      <c r="D52" s="35">
        <v>0.40489574893350788</v>
      </c>
      <c r="E52" s="71">
        <v>98500</v>
      </c>
      <c r="F52" s="71">
        <v>2500</v>
      </c>
      <c r="G52" s="71">
        <v>2500</v>
      </c>
      <c r="H52" s="71">
        <v>0</v>
      </c>
      <c r="I52" s="73">
        <v>96000</v>
      </c>
      <c r="J52" s="71">
        <v>1920000</v>
      </c>
    </row>
    <row r="53" spans="1:10" x14ac:dyDescent="0.25">
      <c r="A53" s="8">
        <v>50</v>
      </c>
      <c r="B53" s="8" t="s">
        <v>241</v>
      </c>
      <c r="C53" s="25">
        <v>0.44465189250034343</v>
      </c>
      <c r="D53" s="35">
        <v>0.40312049340135392</v>
      </c>
      <c r="E53" s="75">
        <v>101500</v>
      </c>
      <c r="F53" s="75">
        <v>2500</v>
      </c>
      <c r="G53" s="75">
        <v>3000</v>
      </c>
      <c r="H53" s="75">
        <v>0</v>
      </c>
      <c r="I53" s="73">
        <v>99000</v>
      </c>
      <c r="J53" s="75">
        <v>2019000</v>
      </c>
    </row>
    <row r="54" spans="1:10" x14ac:dyDescent="0.25">
      <c r="A54" s="48">
        <v>51</v>
      </c>
      <c r="B54" s="48" t="s">
        <v>241</v>
      </c>
      <c r="C54" s="50">
        <v>0.44363750784039968</v>
      </c>
      <c r="D54" s="35">
        <v>0.40133747880329262</v>
      </c>
      <c r="E54" s="71">
        <v>104500</v>
      </c>
      <c r="F54" s="71">
        <v>2500</v>
      </c>
      <c r="G54" s="71">
        <v>3000</v>
      </c>
      <c r="H54" s="71">
        <v>0</v>
      </c>
      <c r="I54" s="73">
        <v>102000</v>
      </c>
      <c r="J54" s="71">
        <v>2121000</v>
      </c>
    </row>
    <row r="55" spans="1:10" x14ac:dyDescent="0.25">
      <c r="A55" s="8">
        <v>52</v>
      </c>
      <c r="B55" s="8" t="s">
        <v>245</v>
      </c>
      <c r="C55" s="25">
        <v>0.44262054308166487</v>
      </c>
      <c r="D55" s="35">
        <v>0.39954689981470148</v>
      </c>
      <c r="E55" s="75">
        <v>107500</v>
      </c>
      <c r="F55" s="75">
        <v>2500</v>
      </c>
      <c r="G55" s="75">
        <v>3000</v>
      </c>
      <c r="H55" s="75">
        <v>0</v>
      </c>
      <c r="I55" s="73">
        <v>105000</v>
      </c>
      <c r="J55" s="75">
        <v>2226000</v>
      </c>
    </row>
    <row r="56" spans="1:10" x14ac:dyDescent="0.25">
      <c r="A56" s="48">
        <v>53</v>
      </c>
      <c r="B56" s="48" t="s">
        <v>247</v>
      </c>
      <c r="C56" s="50">
        <v>0.44160046469304842</v>
      </c>
      <c r="D56" s="35">
        <v>0.39774893559117658</v>
      </c>
      <c r="E56" s="71">
        <v>110500</v>
      </c>
      <c r="F56" s="71">
        <v>2500</v>
      </c>
      <c r="G56" s="71">
        <v>3000</v>
      </c>
      <c r="H56" s="71">
        <v>0</v>
      </c>
      <c r="I56" s="73">
        <v>108000</v>
      </c>
      <c r="J56" s="71">
        <v>2334000</v>
      </c>
    </row>
    <row r="57" spans="1:10" x14ac:dyDescent="0.25">
      <c r="A57" s="8">
        <v>54</v>
      </c>
      <c r="B57" s="8" t="s">
        <v>249</v>
      </c>
      <c r="C57" s="25">
        <v>0.4405768364286648</v>
      </c>
      <c r="D57" s="35">
        <v>0.39594375120284198</v>
      </c>
      <c r="E57" s="75">
        <v>113500</v>
      </c>
      <c r="F57" s="75">
        <v>2500</v>
      </c>
      <c r="G57" s="75">
        <v>3000</v>
      </c>
      <c r="H57" s="75">
        <v>0</v>
      </c>
      <c r="I57" s="73">
        <v>111000</v>
      </c>
      <c r="J57" s="75">
        <v>2445000</v>
      </c>
    </row>
    <row r="58" spans="1:10" x14ac:dyDescent="0.25">
      <c r="A58" s="48">
        <v>55</v>
      </c>
      <c r="B58" s="48" t="s">
        <v>252</v>
      </c>
      <c r="C58" s="50">
        <v>0.43954930420146182</v>
      </c>
      <c r="D58" s="35">
        <v>0.39413149891218152</v>
      </c>
      <c r="E58" s="71">
        <v>116500</v>
      </c>
      <c r="F58" s="71">
        <v>2500</v>
      </c>
      <c r="G58" s="71">
        <v>3000</v>
      </c>
      <c r="H58" s="71">
        <v>0</v>
      </c>
      <c r="I58" s="73">
        <v>114000</v>
      </c>
      <c r="J58" s="71">
        <v>2559000</v>
      </c>
    </row>
    <row r="59" spans="1:10" x14ac:dyDescent="0.25">
      <c r="A59" s="8">
        <v>56</v>
      </c>
      <c r="B59" s="8" t="s">
        <v>254</v>
      </c>
      <c r="C59" s="25">
        <v>0.43851758325349399</v>
      </c>
      <c r="D59" s="35">
        <v>0.39231231931495031</v>
      </c>
      <c r="E59" s="75">
        <v>119500</v>
      </c>
      <c r="F59" s="75">
        <v>2500</v>
      </c>
      <c r="G59" s="75">
        <v>3000</v>
      </c>
      <c r="H59" s="75">
        <v>0</v>
      </c>
      <c r="I59" s="73">
        <v>117000</v>
      </c>
      <c r="J59" s="75">
        <v>2676000</v>
      </c>
    </row>
    <row r="60" spans="1:10" x14ac:dyDescent="0.25">
      <c r="A60" s="48">
        <v>57</v>
      </c>
      <c r="B60" s="48" t="s">
        <v>256</v>
      </c>
      <c r="C60" s="50">
        <v>0.4374814472769481</v>
      </c>
      <c r="D60" s="35">
        <v>0.39048634236098262</v>
      </c>
      <c r="E60" s="71">
        <v>122500</v>
      </c>
      <c r="F60" s="71">
        <v>2500</v>
      </c>
      <c r="G60" s="71">
        <v>3000</v>
      </c>
      <c r="H60" s="71">
        <v>0</v>
      </c>
      <c r="I60" s="73">
        <v>120000</v>
      </c>
      <c r="J60" s="71">
        <v>2796000</v>
      </c>
    </row>
    <row r="61" spans="1:10" x14ac:dyDescent="0.25">
      <c r="A61" s="8">
        <v>58</v>
      </c>
      <c r="B61" s="8" t="s">
        <v>256</v>
      </c>
      <c r="C61" s="25">
        <v>0.43644071919040139</v>
      </c>
      <c r="D61" s="35">
        <v>0.38865368826938962</v>
      </c>
      <c r="E61" s="75">
        <v>125500</v>
      </c>
      <c r="F61" s="75">
        <v>2500</v>
      </c>
      <c r="G61" s="75">
        <v>3000</v>
      </c>
      <c r="H61" s="75">
        <v>0</v>
      </c>
      <c r="I61" s="73">
        <v>123000</v>
      </c>
      <c r="J61" s="75">
        <v>2919000</v>
      </c>
    </row>
    <row r="62" spans="1:10" x14ac:dyDescent="0.25">
      <c r="A62" s="48">
        <v>59</v>
      </c>
      <c r="B62" s="48" t="s">
        <v>260</v>
      </c>
      <c r="C62" s="50">
        <v>0.43539526331862838</v>
      </c>
      <c r="D62" s="35">
        <v>0.38681446835067812</v>
      </c>
      <c r="E62" s="71">
        <v>128500</v>
      </c>
      <c r="F62" s="71">
        <v>2500</v>
      </c>
      <c r="G62" s="71">
        <v>3000</v>
      </c>
      <c r="H62" s="71">
        <v>0</v>
      </c>
      <c r="I62" s="73">
        <v>126000</v>
      </c>
      <c r="J62" s="71">
        <v>3045000</v>
      </c>
    </row>
    <row r="63" spans="1:10" x14ac:dyDescent="0.25">
      <c r="A63" s="8">
        <v>60</v>
      </c>
      <c r="B63" s="8" t="s">
        <v>262</v>
      </c>
      <c r="C63" s="25">
        <v>0.43434497876209488</v>
      </c>
      <c r="D63" s="35">
        <v>0.38496878574664961</v>
      </c>
      <c r="E63" s="75">
        <v>131500</v>
      </c>
      <c r="F63" s="75">
        <v>2500</v>
      </c>
      <c r="G63" s="75">
        <v>3000</v>
      </c>
      <c r="H63" s="75">
        <v>0</v>
      </c>
      <c r="I63" s="73">
        <v>129000</v>
      </c>
      <c r="J63" s="75">
        <v>3174000</v>
      </c>
    </row>
    <row r="64" spans="1:10" x14ac:dyDescent="0.25">
      <c r="A64" s="48">
        <v>61</v>
      </c>
      <c r="B64" s="48" t="s">
        <v>265</v>
      </c>
      <c r="C64" s="50">
        <v>0.43328979377472532</v>
      </c>
      <c r="D64" s="35">
        <v>0.38311673609751318</v>
      </c>
      <c r="E64" s="71">
        <v>134500</v>
      </c>
      <c r="F64" s="71">
        <v>2500</v>
      </c>
      <c r="G64" s="71">
        <v>3000</v>
      </c>
      <c r="H64" s="71">
        <v>0</v>
      </c>
      <c r="I64" s="73">
        <v>132000</v>
      </c>
      <c r="J64" s="71">
        <v>3306000</v>
      </c>
    </row>
    <row r="65" spans="1:10" x14ac:dyDescent="0.25">
      <c r="A65" s="8">
        <v>62</v>
      </c>
      <c r="B65" s="8" t="s">
        <v>266</v>
      </c>
      <c r="C65" s="25">
        <v>0.432238387583054</v>
      </c>
      <c r="D65" s="35">
        <v>0.38125840814443218</v>
      </c>
      <c r="E65" s="75">
        <v>138000</v>
      </c>
      <c r="F65" s="75">
        <v>2500</v>
      </c>
      <c r="G65" s="75">
        <v>3500</v>
      </c>
      <c r="H65" s="75">
        <v>0</v>
      </c>
      <c r="I65" s="73">
        <v>135500</v>
      </c>
      <c r="J65" s="75">
        <v>3441500</v>
      </c>
    </row>
    <row r="66" spans="1:10" x14ac:dyDescent="0.25">
      <c r="A66" s="48">
        <v>63</v>
      </c>
      <c r="B66" s="48" t="s">
        <v>266</v>
      </c>
      <c r="C66" s="50">
        <v>0.43118972145860401</v>
      </c>
      <c r="D66" s="35">
        <v>0.37939388427467702</v>
      </c>
      <c r="E66" s="71">
        <v>141500</v>
      </c>
      <c r="F66" s="71">
        <v>2500</v>
      </c>
      <c r="G66" s="71">
        <v>3500</v>
      </c>
      <c r="H66" s="71">
        <v>0</v>
      </c>
      <c r="I66" s="73">
        <v>139000</v>
      </c>
      <c r="J66" s="71">
        <v>3580500</v>
      </c>
    </row>
    <row r="67" spans="1:10" x14ac:dyDescent="0.25">
      <c r="A67" s="8">
        <v>64</v>
      </c>
      <c r="B67" s="8" t="s">
        <v>268</v>
      </c>
      <c r="C67" s="25">
        <v>0.43014287992316153</v>
      </c>
      <c r="D67" s="35">
        <v>0.37752324101566143</v>
      </c>
      <c r="E67" s="75">
        <v>145000</v>
      </c>
      <c r="F67" s="75">
        <v>2500</v>
      </c>
      <c r="G67" s="75">
        <v>3500</v>
      </c>
      <c r="H67" s="75">
        <v>0</v>
      </c>
      <c r="I67" s="73">
        <v>142500</v>
      </c>
      <c r="J67" s="75">
        <v>3723000</v>
      </c>
    </row>
    <row r="68" spans="1:10" x14ac:dyDescent="0.25">
      <c r="A68" s="48">
        <v>65</v>
      </c>
      <c r="B68" s="48" t="s">
        <v>270</v>
      </c>
      <c r="C68" s="50">
        <v>0.4290970570302472</v>
      </c>
      <c r="D68" s="35">
        <v>0.37564654948336929</v>
      </c>
      <c r="E68" s="71">
        <v>148500</v>
      </c>
      <c r="F68" s="71">
        <v>2500</v>
      </c>
      <c r="G68" s="71">
        <v>3500</v>
      </c>
      <c r="H68" s="71">
        <v>0</v>
      </c>
      <c r="I68" s="73">
        <v>146000</v>
      </c>
      <c r="J68" s="71">
        <v>3869000</v>
      </c>
    </row>
    <row r="69" spans="1:10" x14ac:dyDescent="0.25">
      <c r="A69" s="8">
        <v>66</v>
      </c>
      <c r="B69" s="8" t="s">
        <v>271</v>
      </c>
      <c r="C69" s="25">
        <v>0.4280515440903947</v>
      </c>
      <c r="D69" s="35">
        <v>0.37376387579000608</v>
      </c>
      <c r="E69" s="75">
        <v>152000</v>
      </c>
      <c r="F69" s="75">
        <v>2500</v>
      </c>
      <c r="G69" s="75">
        <v>3500</v>
      </c>
      <c r="H69" s="75">
        <v>0</v>
      </c>
      <c r="I69" s="73">
        <v>149500</v>
      </c>
      <c r="J69" s="75">
        <v>4018500</v>
      </c>
    </row>
    <row r="70" spans="1:10" x14ac:dyDescent="0.25">
      <c r="A70" s="48">
        <v>67</v>
      </c>
      <c r="B70" s="48" t="s">
        <v>273</v>
      </c>
      <c r="C70" s="50">
        <v>0.4270057187104187</v>
      </c>
      <c r="D70" s="35">
        <v>0.37187528141513743</v>
      </c>
      <c r="E70" s="71">
        <v>155500</v>
      </c>
      <c r="F70" s="71">
        <v>2500</v>
      </c>
      <c r="G70" s="71">
        <v>3500</v>
      </c>
      <c r="H70" s="71">
        <v>0</v>
      </c>
      <c r="I70" s="73">
        <v>153000</v>
      </c>
      <c r="J70" s="71">
        <v>4171500</v>
      </c>
    </row>
    <row r="71" spans="1:10" x14ac:dyDescent="0.25">
      <c r="A71" s="8">
        <v>68</v>
      </c>
      <c r="B71" s="8" t="s">
        <v>274</v>
      </c>
      <c r="C71" s="25">
        <v>0.42595903502211102</v>
      </c>
      <c r="D71" s="35">
        <v>0.3699808235440723</v>
      </c>
      <c r="E71" s="75">
        <v>159000</v>
      </c>
      <c r="F71" s="75">
        <v>2500</v>
      </c>
      <c r="G71" s="75">
        <v>3500</v>
      </c>
      <c r="H71" s="75">
        <v>0</v>
      </c>
      <c r="I71" s="73">
        <v>156500</v>
      </c>
      <c r="J71" s="75">
        <v>4328000</v>
      </c>
    </row>
    <row r="72" spans="1:10" x14ac:dyDescent="0.25">
      <c r="A72" s="48">
        <v>69</v>
      </c>
      <c r="B72" s="48" t="s">
        <v>276</v>
      </c>
      <c r="C72" s="50">
        <v>0.42491101498291739</v>
      </c>
      <c r="D72" s="35">
        <v>0.36808055537681511</v>
      </c>
      <c r="E72" s="71">
        <v>162500</v>
      </c>
      <c r="F72" s="71">
        <v>2500</v>
      </c>
      <c r="G72" s="71">
        <v>3500</v>
      </c>
      <c r="H72" s="71">
        <v>0</v>
      </c>
      <c r="I72" s="73">
        <v>160000</v>
      </c>
      <c r="J72" s="71">
        <v>4488000</v>
      </c>
    </row>
    <row r="73" spans="1:10" x14ac:dyDescent="0.25">
      <c r="A73" s="8">
        <v>70</v>
      </c>
      <c r="B73" s="8" t="s">
        <v>276</v>
      </c>
      <c r="C73" s="25">
        <v>0.42386124063931352</v>
      </c>
      <c r="D73" s="35">
        <v>0.36617452641052722</v>
      </c>
      <c r="E73" s="75">
        <v>166000</v>
      </c>
      <c r="F73" s="75">
        <v>2500</v>
      </c>
      <c r="G73" s="75">
        <v>3500</v>
      </c>
      <c r="H73" s="75">
        <v>0</v>
      </c>
      <c r="I73" s="73">
        <v>163500</v>
      </c>
      <c r="J73" s="75">
        <v>4651500</v>
      </c>
    </row>
    <row r="74" spans="1:10" x14ac:dyDescent="0.25">
      <c r="A74" s="48">
        <v>71</v>
      </c>
      <c r="B74" s="48" t="s">
        <v>277</v>
      </c>
      <c r="C74" s="50">
        <v>0.42280934725222818</v>
      </c>
      <c r="D74" s="35">
        <v>0.36426278269811307</v>
      </c>
      <c r="E74" s="71">
        <v>169500</v>
      </c>
      <c r="F74" s="71">
        <v>2500</v>
      </c>
      <c r="G74" s="71">
        <v>3500</v>
      </c>
      <c r="H74" s="71">
        <v>0</v>
      </c>
      <c r="I74" s="73">
        <v>167000</v>
      </c>
      <c r="J74" s="71">
        <v>4818500</v>
      </c>
    </row>
    <row r="75" spans="1:10" x14ac:dyDescent="0.25">
      <c r="A75" s="8">
        <v>72</v>
      </c>
      <c r="B75" s="8" t="s">
        <v>279</v>
      </c>
      <c r="C75" s="25">
        <v>0.42175501719256592</v>
      </c>
      <c r="D75" s="35">
        <v>0.36234536708524878</v>
      </c>
      <c r="E75" s="75">
        <v>173000</v>
      </c>
      <c r="F75" s="75">
        <v>2500</v>
      </c>
      <c r="G75" s="75">
        <v>3500</v>
      </c>
      <c r="H75" s="75">
        <v>0</v>
      </c>
      <c r="I75" s="73">
        <v>170500</v>
      </c>
      <c r="J75" s="75">
        <v>4989000</v>
      </c>
    </row>
    <row r="76" spans="1:10" x14ac:dyDescent="0.25">
      <c r="A76" s="48">
        <v>73</v>
      </c>
      <c r="B76" s="48" t="s">
        <v>281</v>
      </c>
      <c r="C76" s="50">
        <v>0.42069797452335628</v>
      </c>
      <c r="D76" s="35">
        <v>0.36042231942792302</v>
      </c>
      <c r="E76" s="71">
        <v>176500</v>
      </c>
      <c r="F76" s="71">
        <v>2500</v>
      </c>
      <c r="G76" s="71">
        <v>3500</v>
      </c>
      <c r="H76" s="71">
        <v>0</v>
      </c>
      <c r="I76" s="73">
        <v>174000</v>
      </c>
      <c r="J76" s="71">
        <v>5163000</v>
      </c>
    </row>
    <row r="77" spans="1:10" x14ac:dyDescent="0.25">
      <c r="A77" s="8">
        <v>74</v>
      </c>
      <c r="B77" s="8" t="s">
        <v>282</v>
      </c>
      <c r="C77" s="25">
        <v>0.41964479905126972</v>
      </c>
      <c r="D77" s="35">
        <v>0.35849367679233118</v>
      </c>
      <c r="E77" s="75">
        <v>180500</v>
      </c>
      <c r="F77" s="75">
        <v>2500</v>
      </c>
      <c r="G77" s="75">
        <v>4000</v>
      </c>
      <c r="H77" s="75">
        <v>0</v>
      </c>
      <c r="I77" s="73">
        <v>178000</v>
      </c>
      <c r="J77" s="75">
        <v>5341000</v>
      </c>
    </row>
    <row r="78" spans="1:10" x14ac:dyDescent="0.25">
      <c r="A78" s="48">
        <v>75</v>
      </c>
      <c r="B78" s="48" t="s">
        <v>282</v>
      </c>
      <c r="C78" s="50">
        <v>0.41859460936097381</v>
      </c>
      <c r="D78" s="35">
        <v>0.35655947363877272</v>
      </c>
      <c r="E78" s="71">
        <v>184500</v>
      </c>
      <c r="F78" s="71">
        <v>2500</v>
      </c>
      <c r="G78" s="71">
        <v>4000</v>
      </c>
      <c r="H78" s="71">
        <v>0</v>
      </c>
      <c r="I78" s="73">
        <v>182000</v>
      </c>
      <c r="J78" s="71">
        <v>5523000</v>
      </c>
    </row>
    <row r="79" spans="1:10" x14ac:dyDescent="0.25">
      <c r="A79" s="8">
        <v>76</v>
      </c>
      <c r="B79" s="8" t="s">
        <v>284</v>
      </c>
      <c r="C79" s="25">
        <v>0.41754661216223538</v>
      </c>
      <c r="D79" s="35">
        <v>0.35461974199102159</v>
      </c>
      <c r="E79" s="75">
        <v>188500</v>
      </c>
      <c r="F79" s="75">
        <v>2500</v>
      </c>
      <c r="G79" s="75">
        <v>4000</v>
      </c>
      <c r="H79" s="75">
        <v>0</v>
      </c>
      <c r="I79" s="73">
        <v>186000</v>
      </c>
      <c r="J79" s="75">
        <v>5709000</v>
      </c>
    </row>
    <row r="80" spans="1:10" x14ac:dyDescent="0.25">
      <c r="A80" s="48">
        <v>77</v>
      </c>
      <c r="B80" s="48" t="s">
        <v>285</v>
      </c>
      <c r="C80" s="50">
        <v>0.4165000941249572</v>
      </c>
      <c r="D80" s="35">
        <v>0.35267451159249402</v>
      </c>
      <c r="E80" s="71">
        <v>192500</v>
      </c>
      <c r="F80" s="71">
        <v>2500</v>
      </c>
      <c r="G80" s="71">
        <v>4000</v>
      </c>
      <c r="H80" s="71">
        <v>0</v>
      </c>
      <c r="I80" s="73">
        <v>190000</v>
      </c>
      <c r="J80" s="71">
        <v>5899000</v>
      </c>
    </row>
    <row r="81" spans="1:10" x14ac:dyDescent="0.25">
      <c r="A81" s="8">
        <v>78</v>
      </c>
      <c r="B81" s="8" t="s">
        <v>286</v>
      </c>
      <c r="C81" s="25">
        <v>0.41545441440416409</v>
      </c>
      <c r="D81" s="35">
        <v>0.3507238100503946</v>
      </c>
      <c r="E81" s="75">
        <v>196500</v>
      </c>
      <c r="F81" s="75">
        <v>2500</v>
      </c>
      <c r="G81" s="75">
        <v>4000</v>
      </c>
      <c r="H81" s="75">
        <v>0</v>
      </c>
      <c r="I81" s="73">
        <v>194000</v>
      </c>
      <c r="J81" s="75">
        <v>6093000</v>
      </c>
    </row>
    <row r="82" spans="1:10" x14ac:dyDescent="0.25">
      <c r="A82" s="48">
        <v>79</v>
      </c>
      <c r="B82" s="48" t="s">
        <v>287</v>
      </c>
      <c r="C82" s="50">
        <v>0.41440899781140411</v>
      </c>
      <c r="D82" s="39">
        <v>0.34999961560192239</v>
      </c>
      <c r="E82" s="71">
        <v>200500</v>
      </c>
      <c r="F82" s="71">
        <v>4178</v>
      </c>
      <c r="G82" s="71">
        <v>4000</v>
      </c>
      <c r="H82" s="71">
        <v>1678</v>
      </c>
      <c r="I82" s="73">
        <v>196322</v>
      </c>
      <c r="J82" s="71">
        <v>6289322</v>
      </c>
    </row>
    <row r="83" spans="1:10" x14ac:dyDescent="0.25">
      <c r="A83" s="8">
        <v>80</v>
      </c>
      <c r="B83" s="8" t="s">
        <v>290</v>
      </c>
      <c r="C83" s="25">
        <v>0.41336332858812092</v>
      </c>
      <c r="D83" s="39">
        <v>0.3499998900162436</v>
      </c>
      <c r="E83" s="75">
        <v>204500</v>
      </c>
      <c r="F83" s="75">
        <v>5266</v>
      </c>
      <c r="G83" s="75">
        <v>4000</v>
      </c>
      <c r="H83" s="75">
        <v>1088</v>
      </c>
      <c r="I83" s="73">
        <v>199234</v>
      </c>
      <c r="J83" s="75">
        <v>6488556</v>
      </c>
    </row>
    <row r="84" spans="1:10" x14ac:dyDescent="0.25">
      <c r="A84" s="48">
        <v>81</v>
      </c>
      <c r="B84" s="48" t="s">
        <v>291</v>
      </c>
      <c r="C84" s="50">
        <v>0.41231694473680991</v>
      </c>
      <c r="D84" s="39">
        <v>0.34999931111818638</v>
      </c>
      <c r="E84" s="71">
        <v>208500</v>
      </c>
      <c r="F84" s="71">
        <v>5404</v>
      </c>
      <c r="G84" s="71">
        <v>4000</v>
      </c>
      <c r="H84" s="71">
        <v>138</v>
      </c>
      <c r="I84" s="73">
        <v>203096</v>
      </c>
      <c r="J84" s="71">
        <v>6691652</v>
      </c>
    </row>
    <row r="85" spans="1:10" x14ac:dyDescent="0.25">
      <c r="A85" s="8">
        <v>82</v>
      </c>
      <c r="B85" s="8" t="s">
        <v>291</v>
      </c>
      <c r="C85" s="25">
        <v>0.41126943286684903</v>
      </c>
      <c r="D85" s="39">
        <v>0.34999952470950069</v>
      </c>
      <c r="E85" s="75">
        <v>212500</v>
      </c>
      <c r="F85" s="75">
        <v>5548</v>
      </c>
      <c r="G85" s="75">
        <v>4000</v>
      </c>
      <c r="H85" s="75">
        <v>144</v>
      </c>
      <c r="I85" s="73">
        <v>206952</v>
      </c>
      <c r="J85" s="75">
        <v>6898604</v>
      </c>
    </row>
    <row r="86" spans="1:10" x14ac:dyDescent="0.25">
      <c r="A86" s="48">
        <v>83</v>
      </c>
      <c r="B86" s="48" t="s">
        <v>293</v>
      </c>
      <c r="C86" s="50">
        <v>0.41022042351355931</v>
      </c>
      <c r="D86" s="39">
        <v>0.3499999439887137</v>
      </c>
      <c r="E86" s="71">
        <v>216500</v>
      </c>
      <c r="F86" s="71">
        <v>5695</v>
      </c>
      <c r="G86" s="71">
        <v>4000</v>
      </c>
      <c r="H86" s="71">
        <v>147</v>
      </c>
      <c r="I86" s="73">
        <v>210805</v>
      </c>
      <c r="J86" s="71">
        <v>7109409</v>
      </c>
    </row>
    <row r="87" spans="1:10" x14ac:dyDescent="0.25">
      <c r="A87" s="8">
        <v>84</v>
      </c>
      <c r="B87" s="8" t="s">
        <v>295</v>
      </c>
      <c r="C87" s="25">
        <v>0.40916958689110061</v>
      </c>
      <c r="D87" s="39">
        <v>0.34999998711147667</v>
      </c>
      <c r="E87" s="75">
        <v>220500</v>
      </c>
      <c r="F87" s="75">
        <v>5845</v>
      </c>
      <c r="G87" s="75">
        <v>4000</v>
      </c>
      <c r="H87" s="75">
        <v>150</v>
      </c>
      <c r="I87" s="73">
        <v>214655</v>
      </c>
      <c r="J87" s="75">
        <v>7324064</v>
      </c>
    </row>
    <row r="88" spans="1:10" x14ac:dyDescent="0.25">
      <c r="A88" s="48">
        <v>85</v>
      </c>
      <c r="B88" s="48" t="s">
        <v>296</v>
      </c>
      <c r="C88" s="50">
        <v>0.40811662904208718</v>
      </c>
      <c r="D88" s="39">
        <v>0.34999970262969138</v>
      </c>
      <c r="E88" s="71">
        <v>224500</v>
      </c>
      <c r="F88" s="71">
        <v>5999</v>
      </c>
      <c r="G88" s="71">
        <v>4000</v>
      </c>
      <c r="H88" s="71">
        <v>154</v>
      </c>
      <c r="I88" s="73">
        <v>218501</v>
      </c>
      <c r="J88" s="71">
        <v>7542565</v>
      </c>
    </row>
    <row r="89" spans="1:10" x14ac:dyDescent="0.25">
      <c r="A89" s="8">
        <v>86</v>
      </c>
      <c r="B89" s="8" t="s">
        <v>297</v>
      </c>
      <c r="C89" s="25">
        <v>0.40707227382225342</v>
      </c>
      <c r="D89" s="39">
        <v>0.349999677954411</v>
      </c>
      <c r="E89" s="75">
        <v>229500</v>
      </c>
      <c r="F89" s="75">
        <v>6158</v>
      </c>
      <c r="G89" s="75">
        <v>5000</v>
      </c>
      <c r="H89" s="75">
        <v>159</v>
      </c>
      <c r="I89" s="73">
        <v>223342</v>
      </c>
      <c r="J89" s="75">
        <v>7765907</v>
      </c>
    </row>
    <row r="90" spans="1:10" x14ac:dyDescent="0.25">
      <c r="A90" s="48">
        <v>87</v>
      </c>
      <c r="B90" s="48" t="s">
        <v>297</v>
      </c>
      <c r="C90" s="50">
        <v>0.4060353294642024</v>
      </c>
      <c r="D90" s="39">
        <v>0.34999977416864769</v>
      </c>
      <c r="E90" s="71">
        <v>234500</v>
      </c>
      <c r="F90" s="71">
        <v>6321</v>
      </c>
      <c r="G90" s="71">
        <v>5000</v>
      </c>
      <c r="H90" s="71">
        <v>163</v>
      </c>
      <c r="I90" s="73">
        <v>228179</v>
      </c>
      <c r="J90" s="71">
        <v>7994086</v>
      </c>
    </row>
    <row r="91" spans="1:10" x14ac:dyDescent="0.25">
      <c r="A91" s="8">
        <v>88</v>
      </c>
      <c r="B91" s="8" t="s">
        <v>298</v>
      </c>
      <c r="C91" s="25">
        <v>0.40500470072461731</v>
      </c>
      <c r="D91" s="39">
        <v>0.34999980439384071</v>
      </c>
      <c r="E91" s="75">
        <v>239500</v>
      </c>
      <c r="F91" s="75">
        <v>6488</v>
      </c>
      <c r="G91" s="75">
        <v>5000</v>
      </c>
      <c r="H91" s="75">
        <v>167</v>
      </c>
      <c r="I91" s="73">
        <v>233012</v>
      </c>
      <c r="J91" s="75">
        <v>8227098</v>
      </c>
    </row>
    <row r="92" spans="1:10" x14ac:dyDescent="0.25">
      <c r="A92" s="48">
        <v>89</v>
      </c>
      <c r="B92" s="48" t="s">
        <v>299</v>
      </c>
      <c r="C92" s="50">
        <v>0.40397938216337209</v>
      </c>
      <c r="D92" s="39">
        <v>0.34999954064549038</v>
      </c>
      <c r="E92" s="71">
        <v>244500</v>
      </c>
      <c r="F92" s="71">
        <v>6659</v>
      </c>
      <c r="G92" s="71">
        <v>5000</v>
      </c>
      <c r="H92" s="71">
        <v>171</v>
      </c>
      <c r="I92" s="73">
        <v>237841</v>
      </c>
      <c r="J92" s="71">
        <v>8464939</v>
      </c>
    </row>
    <row r="93" spans="1:10" x14ac:dyDescent="0.25">
      <c r="A93" s="8">
        <v>90</v>
      </c>
      <c r="B93" s="8" t="s">
        <v>300</v>
      </c>
      <c r="C93" s="25">
        <v>0.40295845173704642</v>
      </c>
      <c r="D93" s="39">
        <v>0.34999981285747311</v>
      </c>
      <c r="E93" s="75">
        <v>249500</v>
      </c>
      <c r="F93" s="75">
        <v>6836</v>
      </c>
      <c r="G93" s="75">
        <v>5000</v>
      </c>
      <c r="H93" s="75">
        <v>177</v>
      </c>
      <c r="I93" s="73">
        <v>242664</v>
      </c>
      <c r="J93" s="75">
        <v>8707603</v>
      </c>
    </row>
    <row r="94" spans="1:10" x14ac:dyDescent="0.25">
      <c r="A94" s="48">
        <v>91</v>
      </c>
      <c r="B94" s="48" t="s">
        <v>301</v>
      </c>
      <c r="C94" s="50">
        <v>0.40194106472261959</v>
      </c>
      <c r="D94" s="39">
        <v>0.34999968797638598</v>
      </c>
      <c r="E94" s="71">
        <v>254500</v>
      </c>
      <c r="F94" s="71">
        <v>7016</v>
      </c>
      <c r="G94" s="71">
        <v>5000</v>
      </c>
      <c r="H94" s="71">
        <v>180</v>
      </c>
      <c r="I94" s="73">
        <v>247484</v>
      </c>
      <c r="J94" s="71">
        <v>8955087</v>
      </c>
    </row>
    <row r="95" spans="1:10" x14ac:dyDescent="0.25">
      <c r="A95" s="8">
        <v>92</v>
      </c>
      <c r="B95" s="8" t="s">
        <v>302</v>
      </c>
      <c r="C95" s="25">
        <v>0.40092644797903082</v>
      </c>
      <c r="D95" s="39">
        <v>0.3499998386497396</v>
      </c>
      <c r="E95" s="75">
        <v>259500</v>
      </c>
      <c r="F95" s="75">
        <v>7202</v>
      </c>
      <c r="G95" s="75">
        <v>5000</v>
      </c>
      <c r="H95" s="75">
        <v>186</v>
      </c>
      <c r="I95" s="73">
        <v>252298</v>
      </c>
      <c r="J95" s="75">
        <v>9207385</v>
      </c>
    </row>
    <row r="96" spans="1:10" x14ac:dyDescent="0.25">
      <c r="A96" s="48">
        <v>93</v>
      </c>
      <c r="B96" s="48" t="s">
        <v>303</v>
      </c>
      <c r="C96" s="50">
        <v>0.3999138945478804</v>
      </c>
      <c r="D96" s="39">
        <v>0.34999978130728671</v>
      </c>
      <c r="E96" s="71">
        <v>264500</v>
      </c>
      <c r="F96" s="71">
        <v>7392</v>
      </c>
      <c r="G96" s="71">
        <v>5000</v>
      </c>
      <c r="H96" s="71">
        <v>190</v>
      </c>
      <c r="I96" s="73">
        <v>257108</v>
      </c>
      <c r="J96" s="71">
        <v>9464493</v>
      </c>
    </row>
    <row r="97" spans="1:10" x14ac:dyDescent="0.25">
      <c r="A97" s="8">
        <v>94</v>
      </c>
      <c r="B97" s="8" t="s">
        <v>303</v>
      </c>
      <c r="C97" s="25">
        <v>0.39890275858955537</v>
      </c>
      <c r="D97" s="39">
        <v>0.34999951976088889</v>
      </c>
      <c r="E97" s="75">
        <v>269500</v>
      </c>
      <c r="F97" s="75">
        <v>7587</v>
      </c>
      <c r="G97" s="75">
        <v>5000</v>
      </c>
      <c r="H97" s="75">
        <v>195</v>
      </c>
      <c r="I97" s="73">
        <v>261913</v>
      </c>
      <c r="J97" s="75">
        <v>9726406</v>
      </c>
    </row>
    <row r="98" spans="1:10" x14ac:dyDescent="0.25">
      <c r="A98" s="48">
        <v>95</v>
      </c>
      <c r="B98" s="48" t="s">
        <v>304</v>
      </c>
      <c r="C98" s="50">
        <v>0.39789245064724271</v>
      </c>
      <c r="D98" s="39">
        <v>0.34999995387589278</v>
      </c>
      <c r="E98" s="71">
        <v>274500</v>
      </c>
      <c r="F98" s="71">
        <v>7789</v>
      </c>
      <c r="G98" s="71">
        <v>5000</v>
      </c>
      <c r="H98" s="71">
        <v>202</v>
      </c>
      <c r="I98" s="73">
        <v>266711</v>
      </c>
      <c r="J98" s="71">
        <v>9993117</v>
      </c>
    </row>
    <row r="99" spans="1:10" x14ac:dyDescent="0.25">
      <c r="A99" s="8">
        <v>96</v>
      </c>
      <c r="B99" s="8" t="s">
        <v>305</v>
      </c>
      <c r="C99" s="25">
        <v>0.39688243322844602</v>
      </c>
      <c r="D99" s="39">
        <v>0.34999993934160811</v>
      </c>
      <c r="E99" s="75">
        <v>279500</v>
      </c>
      <c r="F99" s="75">
        <v>7994</v>
      </c>
      <c r="G99" s="75">
        <v>5000</v>
      </c>
      <c r="H99" s="75">
        <v>205</v>
      </c>
      <c r="I99" s="73">
        <v>271506</v>
      </c>
      <c r="J99" s="75">
        <v>10264623</v>
      </c>
    </row>
    <row r="100" spans="1:10" x14ac:dyDescent="0.25">
      <c r="A100" s="48">
        <v>97</v>
      </c>
      <c r="B100" s="48" t="s">
        <v>306</v>
      </c>
      <c r="C100" s="50">
        <v>0.39587221669157141</v>
      </c>
      <c r="D100" s="39">
        <v>0.34999977277521549</v>
      </c>
      <c r="E100" s="71">
        <v>284500</v>
      </c>
      <c r="F100" s="71">
        <v>8205</v>
      </c>
      <c r="G100" s="71">
        <v>5000</v>
      </c>
      <c r="H100" s="71">
        <v>211</v>
      </c>
      <c r="I100" s="73">
        <v>276295</v>
      </c>
      <c r="J100" s="71">
        <v>10540918</v>
      </c>
    </row>
    <row r="101" spans="1:10" x14ac:dyDescent="0.25">
      <c r="A101" s="8">
        <v>98</v>
      </c>
      <c r="B101" s="8" t="s">
        <v>307</v>
      </c>
      <c r="C101" s="25">
        <v>0.3948613554237444</v>
      </c>
      <c r="D101" s="39">
        <v>0.3499996525087602</v>
      </c>
      <c r="E101" s="75">
        <v>289500</v>
      </c>
      <c r="F101" s="75">
        <v>8422</v>
      </c>
      <c r="G101" s="75">
        <v>5000</v>
      </c>
      <c r="H101" s="75">
        <v>217</v>
      </c>
      <c r="I101" s="73">
        <v>281078</v>
      </c>
      <c r="J101" s="75">
        <v>10821996</v>
      </c>
    </row>
    <row r="102" spans="1:10" x14ac:dyDescent="0.25">
      <c r="A102" s="48">
        <v>99</v>
      </c>
      <c r="B102" s="48" t="s">
        <v>307</v>
      </c>
      <c r="C102" s="50">
        <v>0.39384944429513619</v>
      </c>
      <c r="D102" s="39">
        <v>0.34999968913022589</v>
      </c>
      <c r="E102" s="71">
        <v>294500</v>
      </c>
      <c r="F102" s="71">
        <v>8645</v>
      </c>
      <c r="G102" s="71">
        <v>5000</v>
      </c>
      <c r="H102" s="71">
        <v>223</v>
      </c>
      <c r="I102" s="73">
        <v>285855</v>
      </c>
      <c r="J102" s="71">
        <v>11107851</v>
      </c>
    </row>
    <row r="103" spans="1:10" x14ac:dyDescent="0.25">
      <c r="A103" s="8">
        <v>100</v>
      </c>
      <c r="B103" s="8" t="s">
        <v>308</v>
      </c>
      <c r="C103" s="25">
        <v>0.39283611537460872</v>
      </c>
      <c r="D103" s="39">
        <v>0.34999991527143548</v>
      </c>
      <c r="E103" s="75">
        <v>299500</v>
      </c>
      <c r="F103" s="75">
        <v>8874</v>
      </c>
      <c r="G103" s="75">
        <v>5000</v>
      </c>
      <c r="H103" s="75">
        <v>229</v>
      </c>
      <c r="I103" s="73">
        <v>290626</v>
      </c>
      <c r="J103" s="75">
        <v>11398477</v>
      </c>
    </row>
    <row r="104" spans="1:10" x14ac:dyDescent="0.25">
      <c r="A104" s="48">
        <v>101</v>
      </c>
      <c r="B104" s="48" t="s">
        <v>309</v>
      </c>
      <c r="C104" s="50">
        <v>0.39182103489134762</v>
      </c>
      <c r="D104" s="39">
        <v>0.34999988465874782</v>
      </c>
      <c r="E104" s="71">
        <v>304500</v>
      </c>
      <c r="F104" s="71">
        <v>9108</v>
      </c>
      <c r="G104" s="71">
        <v>5000</v>
      </c>
      <c r="H104" s="71">
        <v>234</v>
      </c>
      <c r="I104" s="73">
        <v>295392</v>
      </c>
      <c r="J104" s="71">
        <v>11693869</v>
      </c>
    </row>
    <row r="105" spans="1:10" x14ac:dyDescent="0.25">
      <c r="A105" s="8">
        <v>102</v>
      </c>
      <c r="B105" s="8" t="s">
        <v>311</v>
      </c>
      <c r="C105" s="25">
        <v>0.39080390042726287</v>
      </c>
      <c r="D105" s="39">
        <v>0.34999994097690462</v>
      </c>
      <c r="E105" s="75">
        <v>309500</v>
      </c>
      <c r="F105" s="75">
        <v>9349</v>
      </c>
      <c r="G105" s="75">
        <v>5000</v>
      </c>
      <c r="H105" s="75">
        <v>241</v>
      </c>
      <c r="I105" s="73">
        <v>300151</v>
      </c>
      <c r="J105" s="75">
        <v>11994020</v>
      </c>
    </row>
    <row r="106" spans="1:10" x14ac:dyDescent="0.25">
      <c r="A106" s="48">
        <v>103</v>
      </c>
      <c r="B106" s="48" t="s">
        <v>312</v>
      </c>
      <c r="C106" s="50">
        <v>0.38978443832524068</v>
      </c>
      <c r="D106" s="39">
        <v>0.34999993335869589</v>
      </c>
      <c r="E106" s="71">
        <v>314500</v>
      </c>
      <c r="F106" s="71">
        <v>9596</v>
      </c>
      <c r="G106" s="71">
        <v>5000</v>
      </c>
      <c r="H106" s="71">
        <v>247</v>
      </c>
      <c r="I106" s="73">
        <v>304904</v>
      </c>
      <c r="J106" s="71">
        <v>12298924</v>
      </c>
    </row>
    <row r="107" spans="1:10" x14ac:dyDescent="0.25">
      <c r="A107" s="8">
        <v>104</v>
      </c>
      <c r="B107" s="8" t="s">
        <v>313</v>
      </c>
      <c r="C107" s="25">
        <v>0.38876240129877709</v>
      </c>
      <c r="D107" s="39">
        <v>0.34999966552470768</v>
      </c>
      <c r="E107" s="75">
        <v>319500</v>
      </c>
      <c r="F107" s="75">
        <v>9849</v>
      </c>
      <c r="G107" s="75">
        <v>5000</v>
      </c>
      <c r="H107" s="75">
        <v>253</v>
      </c>
      <c r="I107" s="73">
        <v>309651</v>
      </c>
      <c r="J107" s="75">
        <v>12608575</v>
      </c>
    </row>
    <row r="108" spans="1:10" x14ac:dyDescent="0.25">
      <c r="A108" s="48">
        <v>105</v>
      </c>
      <c r="B108" s="48" t="s">
        <v>314</v>
      </c>
      <c r="C108" s="50">
        <v>0.38773756622908062</v>
      </c>
      <c r="D108" s="39">
        <v>0.34999964120884502</v>
      </c>
      <c r="E108" s="71">
        <v>324500</v>
      </c>
      <c r="F108" s="71">
        <v>10110</v>
      </c>
      <c r="G108" s="71">
        <v>5000</v>
      </c>
      <c r="H108" s="71">
        <v>261</v>
      </c>
      <c r="I108" s="73">
        <v>314390</v>
      </c>
      <c r="J108" s="71">
        <v>12922965</v>
      </c>
    </row>
    <row r="109" spans="1:10" x14ac:dyDescent="0.25">
      <c r="A109" s="8">
        <v>106</v>
      </c>
      <c r="B109" s="8" t="s">
        <v>314</v>
      </c>
      <c r="C109" s="25">
        <v>0.38670973213634302</v>
      </c>
      <c r="D109" s="39">
        <v>0.34999987886331207</v>
      </c>
      <c r="E109" s="75">
        <v>329500</v>
      </c>
      <c r="F109" s="75">
        <v>10378</v>
      </c>
      <c r="G109" s="75">
        <v>5000</v>
      </c>
      <c r="H109" s="75">
        <v>268</v>
      </c>
      <c r="I109" s="73">
        <v>319122</v>
      </c>
      <c r="J109" s="75">
        <v>13242087</v>
      </c>
    </row>
    <row r="110" spans="1:10" x14ac:dyDescent="0.25">
      <c r="A110" s="48">
        <v>107</v>
      </c>
      <c r="B110" s="48" t="s">
        <v>315</v>
      </c>
      <c r="C110" s="50">
        <v>0.38567871831255779</v>
      </c>
      <c r="D110" s="39">
        <v>0.34999997871296779</v>
      </c>
      <c r="E110" s="71">
        <v>334500</v>
      </c>
      <c r="F110" s="71">
        <v>10652</v>
      </c>
      <c r="G110" s="71">
        <v>5000</v>
      </c>
      <c r="H110" s="71">
        <v>274</v>
      </c>
      <c r="I110" s="73">
        <v>323848</v>
      </c>
      <c r="J110" s="71">
        <v>13565935</v>
      </c>
    </row>
    <row r="111" spans="1:10" x14ac:dyDescent="0.25">
      <c r="A111" s="8">
        <v>108</v>
      </c>
      <c r="B111" s="8" t="s">
        <v>316</v>
      </c>
      <c r="C111" s="25">
        <v>0.38464436260394602</v>
      </c>
      <c r="D111" s="39">
        <v>0.34999986729521287</v>
      </c>
      <c r="E111" s="75">
        <v>339500</v>
      </c>
      <c r="F111" s="75">
        <v>10933</v>
      </c>
      <c r="G111" s="75">
        <v>5000</v>
      </c>
      <c r="H111" s="75">
        <v>281</v>
      </c>
      <c r="I111" s="73">
        <v>328567</v>
      </c>
      <c r="J111" s="75">
        <v>13894502</v>
      </c>
    </row>
    <row r="112" spans="1:10" x14ac:dyDescent="0.25">
      <c r="A112" s="48">
        <v>109</v>
      </c>
      <c r="B112" s="48" t="s">
        <v>317</v>
      </c>
      <c r="C112" s="50">
        <v>0.38360651983175842</v>
      </c>
      <c r="D112" s="39">
        <v>0.34999975017436319</v>
      </c>
      <c r="E112" s="71">
        <v>344500</v>
      </c>
      <c r="F112" s="71">
        <v>11222</v>
      </c>
      <c r="G112" s="71">
        <v>5000</v>
      </c>
      <c r="H112" s="71">
        <v>289</v>
      </c>
      <c r="I112" s="73">
        <v>333278</v>
      </c>
      <c r="J112" s="71">
        <v>14227780</v>
      </c>
    </row>
    <row r="113" spans="1:10" x14ac:dyDescent="0.25">
      <c r="A113" s="8">
        <v>110</v>
      </c>
      <c r="B113" s="8" t="s">
        <v>319</v>
      </c>
      <c r="C113" s="25">
        <v>0.38256506034091559</v>
      </c>
      <c r="D113" s="39">
        <v>0.34999974461781458</v>
      </c>
      <c r="E113" s="75">
        <v>349500</v>
      </c>
      <c r="F113" s="75">
        <v>11519</v>
      </c>
      <c r="G113" s="75">
        <v>5000</v>
      </c>
      <c r="H113" s="75">
        <v>297</v>
      </c>
      <c r="I113" s="73">
        <v>337981</v>
      </c>
      <c r="J113" s="75">
        <v>14565761</v>
      </c>
    </row>
    <row r="114" spans="1:10" x14ac:dyDescent="0.25">
      <c r="A114" s="48">
        <v>111</v>
      </c>
      <c r="B114" s="48" t="s">
        <v>319</v>
      </c>
      <c r="C114" s="50">
        <v>0.38151986866663368</v>
      </c>
      <c r="D114" s="39">
        <v>0.34999988941765559</v>
      </c>
      <c r="E114" s="71">
        <v>354500</v>
      </c>
      <c r="F114" s="71">
        <v>11824</v>
      </c>
      <c r="G114" s="71">
        <v>5000</v>
      </c>
      <c r="H114" s="71">
        <v>305</v>
      </c>
      <c r="I114" s="73">
        <v>342676</v>
      </c>
      <c r="J114" s="71">
        <v>14908437</v>
      </c>
    </row>
    <row r="115" spans="1:10" x14ac:dyDescent="0.25">
      <c r="A115" s="8">
        <v>112</v>
      </c>
      <c r="B115" s="8" t="s">
        <v>320</v>
      </c>
      <c r="C115" s="25">
        <v>0.38047084230984562</v>
      </c>
      <c r="D115" s="39">
        <v>0.34999984627837288</v>
      </c>
      <c r="E115" s="75">
        <v>359500</v>
      </c>
      <c r="F115" s="75">
        <v>12136</v>
      </c>
      <c r="G115" s="75">
        <v>5000</v>
      </c>
      <c r="H115" s="75">
        <v>312</v>
      </c>
      <c r="I115" s="73">
        <v>347364</v>
      </c>
      <c r="J115" s="75">
        <v>15255801</v>
      </c>
    </row>
    <row r="116" spans="1:10" x14ac:dyDescent="0.25">
      <c r="A116" s="48">
        <v>113</v>
      </c>
      <c r="B116" s="48" t="s">
        <v>321</v>
      </c>
      <c r="C116" s="50">
        <v>0.37941789061286801</v>
      </c>
      <c r="D116" s="39">
        <v>0.34999985421817309</v>
      </c>
      <c r="E116" s="71">
        <v>364500</v>
      </c>
      <c r="F116" s="71">
        <v>12457</v>
      </c>
      <c r="G116" s="71">
        <v>5000</v>
      </c>
      <c r="H116" s="71">
        <v>321</v>
      </c>
      <c r="I116" s="73">
        <v>352043</v>
      </c>
      <c r="J116" s="71">
        <v>15607844</v>
      </c>
    </row>
    <row r="117" spans="1:10" x14ac:dyDescent="0.25">
      <c r="A117" s="8">
        <v>114</v>
      </c>
      <c r="B117" s="8" t="s">
        <v>322</v>
      </c>
      <c r="C117" s="25">
        <v>0.37836093372737301</v>
      </c>
      <c r="D117" s="39">
        <v>0.34999976752581491</v>
      </c>
      <c r="E117" s="75">
        <v>369500</v>
      </c>
      <c r="F117" s="75">
        <v>12786</v>
      </c>
      <c r="G117" s="75">
        <v>5000</v>
      </c>
      <c r="H117" s="75">
        <v>329</v>
      </c>
      <c r="I117" s="73">
        <v>356714</v>
      </c>
      <c r="J117" s="75">
        <v>15964558</v>
      </c>
    </row>
    <row r="118" spans="1:10" x14ac:dyDescent="0.25">
      <c r="A118" s="48">
        <v>115</v>
      </c>
      <c r="B118" s="48" t="s">
        <v>323</v>
      </c>
      <c r="C118" s="50">
        <v>0.37729990166730482</v>
      </c>
      <c r="D118" s="39">
        <v>0.34999996377058179</v>
      </c>
      <c r="E118" s="71">
        <v>374500</v>
      </c>
      <c r="F118" s="71">
        <v>13125</v>
      </c>
      <c r="G118" s="71">
        <v>5000</v>
      </c>
      <c r="H118" s="71">
        <v>339</v>
      </c>
      <c r="I118" s="73">
        <v>361375</v>
      </c>
      <c r="J118" s="71">
        <v>16325933</v>
      </c>
    </row>
    <row r="119" spans="1:10" x14ac:dyDescent="0.25">
      <c r="A119" s="8">
        <v>116</v>
      </c>
      <c r="B119" s="8" t="s">
        <v>324</v>
      </c>
      <c r="C119" s="25">
        <v>0.37623473343992497</v>
      </c>
      <c r="D119" s="39">
        <v>0.34999987823156192</v>
      </c>
      <c r="E119" s="75">
        <v>379500</v>
      </c>
      <c r="F119" s="75">
        <v>13471</v>
      </c>
      <c r="G119" s="75">
        <v>5000</v>
      </c>
      <c r="H119" s="75">
        <v>346</v>
      </c>
      <c r="I119" s="73">
        <v>366029</v>
      </c>
      <c r="J119" s="75">
        <v>16691962</v>
      </c>
    </row>
    <row r="120" spans="1:10" x14ac:dyDescent="0.25">
      <c r="A120" s="48">
        <v>117</v>
      </c>
      <c r="B120" s="48" t="s">
        <v>325</v>
      </c>
      <c r="C120" s="50">
        <v>0.37516537624869278</v>
      </c>
      <c r="D120" s="39">
        <v>0.3499997617616743</v>
      </c>
      <c r="E120" s="71">
        <v>384500</v>
      </c>
      <c r="F120" s="71">
        <v>13827</v>
      </c>
      <c r="G120" s="71">
        <v>5000</v>
      </c>
      <c r="H120" s="71">
        <v>356</v>
      </c>
      <c r="I120" s="73">
        <v>370673</v>
      </c>
      <c r="J120" s="71">
        <v>17062635</v>
      </c>
    </row>
    <row r="121" spans="1:10" x14ac:dyDescent="0.25">
      <c r="A121" s="8">
        <v>118</v>
      </c>
      <c r="B121" s="8" t="s">
        <v>325</v>
      </c>
      <c r="C121" s="25">
        <v>0.3740917847621601</v>
      </c>
      <c r="D121" s="39">
        <v>0.34999977166077229</v>
      </c>
      <c r="E121" s="75">
        <v>389500</v>
      </c>
      <c r="F121" s="75">
        <v>14193</v>
      </c>
      <c r="G121" s="75">
        <v>5000</v>
      </c>
      <c r="H121" s="75">
        <v>366</v>
      </c>
      <c r="I121" s="73">
        <v>375307</v>
      </c>
      <c r="J121" s="75">
        <v>17437942</v>
      </c>
    </row>
    <row r="122" spans="1:10" x14ac:dyDescent="0.25">
      <c r="A122" s="48">
        <v>119</v>
      </c>
      <c r="B122" s="48" t="s">
        <v>326</v>
      </c>
      <c r="C122" s="50">
        <v>0.37301392044352022</v>
      </c>
      <c r="D122" s="39">
        <v>0.34999998188278619</v>
      </c>
      <c r="E122" s="71">
        <v>394500</v>
      </c>
      <c r="F122" s="71">
        <v>14569</v>
      </c>
      <c r="G122" s="71">
        <v>5000</v>
      </c>
      <c r="H122" s="71">
        <v>376</v>
      </c>
      <c r="I122" s="73">
        <v>379931</v>
      </c>
      <c r="J122" s="71">
        <v>17817873</v>
      </c>
    </row>
    <row r="123" spans="1:10" x14ac:dyDescent="0.25">
      <c r="A123" s="8">
        <v>120</v>
      </c>
      <c r="B123" s="8" t="s">
        <v>327</v>
      </c>
      <c r="C123" s="25">
        <v>0.37193175093586572</v>
      </c>
      <c r="D123" s="39">
        <v>0.34999989301202722</v>
      </c>
      <c r="E123" s="75">
        <v>399500</v>
      </c>
      <c r="F123" s="75">
        <v>14953</v>
      </c>
      <c r="G123" s="75">
        <v>5000</v>
      </c>
      <c r="H123" s="75">
        <v>384</v>
      </c>
      <c r="I123" s="73">
        <v>384547</v>
      </c>
      <c r="J123" s="75">
        <v>18202420</v>
      </c>
    </row>
    <row r="124" spans="1:10" x14ac:dyDescent="0.25">
      <c r="A124" s="48">
        <v>121</v>
      </c>
      <c r="B124" s="48" t="s">
        <v>328</v>
      </c>
      <c r="C124" s="50">
        <v>0.37084524949860381</v>
      </c>
      <c r="D124" s="39">
        <v>0.34999997652607251</v>
      </c>
      <c r="E124" s="71">
        <v>404500</v>
      </c>
      <c r="F124" s="71">
        <v>15349</v>
      </c>
      <c r="G124" s="71">
        <v>5000</v>
      </c>
      <c r="H124" s="71">
        <v>396</v>
      </c>
      <c r="I124" s="73">
        <v>389151</v>
      </c>
      <c r="J124" s="71">
        <v>18591571</v>
      </c>
    </row>
    <row r="125" spans="1:10" x14ac:dyDescent="0.25">
      <c r="A125" s="8">
        <v>122</v>
      </c>
      <c r="B125" s="8" t="s">
        <v>329</v>
      </c>
      <c r="C125" s="25">
        <v>0.36975439449083919</v>
      </c>
      <c r="D125" s="39">
        <v>0.34999987160764068</v>
      </c>
      <c r="E125" s="75">
        <v>409500</v>
      </c>
      <c r="F125" s="75">
        <v>15754</v>
      </c>
      <c r="G125" s="75">
        <v>5000</v>
      </c>
      <c r="H125" s="75">
        <v>405</v>
      </c>
      <c r="I125" s="73">
        <v>393746</v>
      </c>
      <c r="J125" s="75">
        <v>18985317</v>
      </c>
    </row>
    <row r="126" spans="1:10" x14ac:dyDescent="0.25">
      <c r="A126" s="48">
        <v>123</v>
      </c>
      <c r="B126" s="48" t="s">
        <v>329</v>
      </c>
      <c r="C126" s="50">
        <v>0.36865916889787198</v>
      </c>
      <c r="D126" s="39">
        <v>0.34999989069028542</v>
      </c>
      <c r="E126" s="71">
        <v>414500</v>
      </c>
      <c r="F126" s="71">
        <v>16171</v>
      </c>
      <c r="G126" s="71">
        <v>5000</v>
      </c>
      <c r="H126" s="71">
        <v>417</v>
      </c>
      <c r="I126" s="73">
        <v>398329</v>
      </c>
      <c r="J126" s="71">
        <v>19383646</v>
      </c>
    </row>
    <row r="127" spans="1:10" x14ac:dyDescent="0.25">
      <c r="A127" s="8">
        <v>124</v>
      </c>
      <c r="B127" s="8" t="s">
        <v>330</v>
      </c>
      <c r="C127" s="25">
        <v>0.36755955989726868</v>
      </c>
      <c r="D127" s="39">
        <v>0.34999979435865403</v>
      </c>
      <c r="E127" s="75">
        <v>419500</v>
      </c>
      <c r="F127" s="75">
        <v>16598</v>
      </c>
      <c r="G127" s="75">
        <v>5000</v>
      </c>
      <c r="H127" s="75">
        <v>427</v>
      </c>
      <c r="I127" s="73">
        <v>402902</v>
      </c>
      <c r="J127" s="75">
        <v>19786548</v>
      </c>
    </row>
    <row r="128" spans="1:10" x14ac:dyDescent="0.25">
      <c r="A128" s="48">
        <v>125</v>
      </c>
      <c r="B128" s="48" t="s">
        <v>331</v>
      </c>
      <c r="C128" s="50">
        <v>0.36645555846125172</v>
      </c>
      <c r="D128" s="39">
        <v>0.34999996628662072</v>
      </c>
      <c r="E128" s="71">
        <v>424500</v>
      </c>
      <c r="F128" s="71">
        <v>17038</v>
      </c>
      <c r="G128" s="71">
        <v>5000</v>
      </c>
      <c r="H128" s="71">
        <v>440</v>
      </c>
      <c r="I128" s="73">
        <v>407462</v>
      </c>
      <c r="J128" s="71">
        <v>20194010</v>
      </c>
    </row>
    <row r="129" spans="1:10" x14ac:dyDescent="0.25">
      <c r="A129" s="8">
        <v>126</v>
      </c>
      <c r="B129" s="8" t="s">
        <v>332</v>
      </c>
      <c r="C129" s="25">
        <v>0.36534715899241699</v>
      </c>
      <c r="D129" s="39">
        <v>0.34999982467437513</v>
      </c>
      <c r="E129" s="75">
        <v>429500</v>
      </c>
      <c r="F129" s="75">
        <v>17487</v>
      </c>
      <c r="G129" s="75">
        <v>5000</v>
      </c>
      <c r="H129" s="75">
        <v>449</v>
      </c>
      <c r="I129" s="73">
        <v>412013</v>
      </c>
      <c r="J129" s="75">
        <v>20606023</v>
      </c>
    </row>
    <row r="130" spans="1:10" x14ac:dyDescent="0.25">
      <c r="A130" s="48">
        <v>127</v>
      </c>
      <c r="B130" s="48" t="s">
        <v>333</v>
      </c>
      <c r="C130" s="50">
        <v>0.36423435899003698</v>
      </c>
      <c r="D130" s="39">
        <v>0.34999983555588982</v>
      </c>
      <c r="E130" s="71">
        <v>434500</v>
      </c>
      <c r="F130" s="71">
        <v>17950</v>
      </c>
      <c r="G130" s="71">
        <v>5000</v>
      </c>
      <c r="H130" s="71">
        <v>463</v>
      </c>
      <c r="I130" s="73">
        <v>416550</v>
      </c>
      <c r="J130" s="71">
        <v>21022573</v>
      </c>
    </row>
    <row r="131" spans="1:10" x14ac:dyDescent="0.25">
      <c r="A131" s="8">
        <v>128</v>
      </c>
      <c r="B131" s="8" t="s">
        <v>334</v>
      </c>
      <c r="C131" s="25">
        <v>0.36311715874442552</v>
      </c>
      <c r="D131" s="39">
        <v>0.34999993920816769</v>
      </c>
      <c r="E131" s="75">
        <v>439500</v>
      </c>
      <c r="F131" s="75">
        <v>18425</v>
      </c>
      <c r="G131" s="75">
        <v>5000</v>
      </c>
      <c r="H131" s="75">
        <v>475</v>
      </c>
      <c r="I131" s="73">
        <v>421075</v>
      </c>
      <c r="J131" s="75">
        <v>21443648</v>
      </c>
    </row>
    <row r="132" spans="1:10" x14ac:dyDescent="0.25">
      <c r="A132" s="48">
        <v>129</v>
      </c>
      <c r="B132" s="48" t="s">
        <v>335</v>
      </c>
      <c r="C132" s="50">
        <v>0.36199556105705383</v>
      </c>
      <c r="D132" s="39">
        <v>0.34999982118235018</v>
      </c>
      <c r="E132" s="71">
        <v>444500</v>
      </c>
      <c r="F132" s="71">
        <v>18911</v>
      </c>
      <c r="G132" s="71">
        <v>5000</v>
      </c>
      <c r="H132" s="71">
        <v>486</v>
      </c>
      <c r="I132" s="73">
        <v>425589</v>
      </c>
      <c r="J132" s="71">
        <v>21869237</v>
      </c>
    </row>
    <row r="133" spans="1:10" x14ac:dyDescent="0.25">
      <c r="A133" s="8">
        <v>130</v>
      </c>
      <c r="B133" s="8" t="s">
        <v>335</v>
      </c>
      <c r="C133" s="25">
        <v>0.36086957098429528</v>
      </c>
      <c r="D133" s="39">
        <v>0.34999991167256272</v>
      </c>
      <c r="E133" s="75">
        <v>449500</v>
      </c>
      <c r="F133" s="75">
        <v>19412</v>
      </c>
      <c r="G133" s="75">
        <v>5000</v>
      </c>
      <c r="H133" s="75">
        <v>501</v>
      </c>
      <c r="I133" s="73">
        <v>430088</v>
      </c>
      <c r="J133" s="75">
        <v>22299325</v>
      </c>
    </row>
    <row r="134" spans="1:10" x14ac:dyDescent="0.25">
      <c r="A134" s="48">
        <v>131</v>
      </c>
      <c r="B134" s="48" t="s">
        <v>336</v>
      </c>
      <c r="C134" s="50">
        <v>0.35973919560284862</v>
      </c>
      <c r="D134" s="39">
        <v>0.34999996213536472</v>
      </c>
      <c r="E134" s="71">
        <v>454500</v>
      </c>
      <c r="F134" s="71">
        <v>19925</v>
      </c>
      <c r="G134" s="71">
        <v>5000</v>
      </c>
      <c r="H134" s="71">
        <v>513</v>
      </c>
      <c r="I134" s="73">
        <v>434575</v>
      </c>
      <c r="J134" s="71">
        <v>22733900</v>
      </c>
    </row>
    <row r="135" spans="1:10" x14ac:dyDescent="0.25">
      <c r="A135" s="8">
        <v>132</v>
      </c>
      <c r="B135" s="8" t="s">
        <v>337</v>
      </c>
      <c r="C135" s="25">
        <v>0.35860444379505468</v>
      </c>
      <c r="D135" s="39">
        <v>0.34999987273312572</v>
      </c>
      <c r="E135" s="75">
        <v>459500</v>
      </c>
      <c r="F135" s="75">
        <v>20451</v>
      </c>
      <c r="G135" s="75">
        <v>5000</v>
      </c>
      <c r="H135" s="75">
        <v>526</v>
      </c>
      <c r="I135" s="73">
        <v>439049</v>
      </c>
      <c r="J135" s="75">
        <v>23172949</v>
      </c>
    </row>
    <row r="136" spans="1:10" x14ac:dyDescent="0.25">
      <c r="A136" s="48">
        <v>133</v>
      </c>
      <c r="B136" s="48" t="s">
        <v>338</v>
      </c>
      <c r="C136" s="50">
        <v>0.35746532605246772</v>
      </c>
      <c r="D136" s="39">
        <v>0.34999984840074672</v>
      </c>
      <c r="E136" s="71">
        <v>464500</v>
      </c>
      <c r="F136" s="71">
        <v>20992</v>
      </c>
      <c r="G136" s="71">
        <v>5000</v>
      </c>
      <c r="H136" s="71">
        <v>541</v>
      </c>
      <c r="I136" s="73">
        <v>443508</v>
      </c>
      <c r="J136" s="71">
        <v>23616457</v>
      </c>
    </row>
    <row r="137" spans="1:10" x14ac:dyDescent="0.25">
      <c r="A137" s="8">
        <v>134</v>
      </c>
      <c r="B137" s="8" t="s">
        <v>339</v>
      </c>
      <c r="C137" s="25">
        <v>0.35632185429617419</v>
      </c>
      <c r="D137" s="39">
        <v>0.34999983209006019</v>
      </c>
      <c r="E137" s="75">
        <v>469500</v>
      </c>
      <c r="F137" s="75">
        <v>21547</v>
      </c>
      <c r="G137" s="75">
        <v>5000</v>
      </c>
      <c r="H137" s="75">
        <v>555</v>
      </c>
      <c r="I137" s="73">
        <v>447953</v>
      </c>
      <c r="J137" s="75">
        <v>24064410</v>
      </c>
    </row>
    <row r="138" spans="1:10" x14ac:dyDescent="0.25">
      <c r="A138" s="48">
        <v>135</v>
      </c>
      <c r="B138" s="48" t="s">
        <v>339</v>
      </c>
      <c r="C138" s="50">
        <v>0.35517404171248379</v>
      </c>
      <c r="D138" s="39">
        <v>0.34999987856935011</v>
      </c>
      <c r="E138" s="71">
        <v>474500</v>
      </c>
      <c r="F138" s="71">
        <v>22117</v>
      </c>
      <c r="G138" s="71">
        <v>5000</v>
      </c>
      <c r="H138" s="71">
        <v>570</v>
      </c>
      <c r="I138" s="73">
        <v>452383</v>
      </c>
      <c r="J138" s="71">
        <v>24516793</v>
      </c>
    </row>
    <row r="139" spans="1:10" x14ac:dyDescent="0.25">
      <c r="A139" s="8">
        <v>136</v>
      </c>
      <c r="B139" s="8" t="s">
        <v>340</v>
      </c>
      <c r="C139" s="25">
        <v>0.3540219026027222</v>
      </c>
      <c r="D139" s="39">
        <v>0.34999997187730819</v>
      </c>
      <c r="E139" s="75">
        <v>479500</v>
      </c>
      <c r="F139" s="75">
        <v>22702</v>
      </c>
      <c r="G139" s="75">
        <v>5000</v>
      </c>
      <c r="H139" s="75">
        <v>585</v>
      </c>
      <c r="I139" s="73">
        <v>456798</v>
      </c>
      <c r="J139" s="75">
        <v>24973591</v>
      </c>
    </row>
    <row r="140" spans="1:10" x14ac:dyDescent="0.25">
      <c r="A140" s="48">
        <v>137</v>
      </c>
      <c r="B140" s="48" t="s">
        <v>341</v>
      </c>
      <c r="C140" s="50">
        <v>0.35286545224596871</v>
      </c>
      <c r="D140" s="39">
        <v>0.34999987358355827</v>
      </c>
      <c r="E140" s="71">
        <v>484500</v>
      </c>
      <c r="F140" s="71">
        <v>23301</v>
      </c>
      <c r="G140" s="71">
        <v>5000</v>
      </c>
      <c r="H140" s="71">
        <v>599</v>
      </c>
      <c r="I140" s="73">
        <v>461199</v>
      </c>
      <c r="J140" s="71">
        <v>25434790</v>
      </c>
    </row>
    <row r="141" spans="1:10" x14ac:dyDescent="0.25">
      <c r="A141" s="8">
        <v>138</v>
      </c>
      <c r="B141" s="8" t="s">
        <v>342</v>
      </c>
      <c r="C141" s="25">
        <v>0.35170470677367027</v>
      </c>
      <c r="D141" s="39">
        <v>0.34999993565620141</v>
      </c>
      <c r="E141" s="75">
        <v>489500</v>
      </c>
      <c r="F141" s="75">
        <v>23918</v>
      </c>
      <c r="G141" s="75">
        <v>5000</v>
      </c>
      <c r="H141" s="75">
        <v>617</v>
      </c>
      <c r="I141" s="73">
        <v>465582</v>
      </c>
      <c r="J141" s="75">
        <v>25900372</v>
      </c>
    </row>
    <row r="142" spans="1:10" x14ac:dyDescent="0.25">
      <c r="A142" s="48">
        <v>139</v>
      </c>
      <c r="B142" s="48" t="s">
        <v>343</v>
      </c>
      <c r="C142" s="50">
        <v>0.35053968305515659</v>
      </c>
      <c r="D142" s="39">
        <v>0.34999994689628677</v>
      </c>
      <c r="E142" s="71">
        <v>494500</v>
      </c>
      <c r="F142" s="71">
        <v>24550</v>
      </c>
      <c r="G142" s="71">
        <v>5000</v>
      </c>
      <c r="H142" s="71">
        <v>632</v>
      </c>
      <c r="I142" s="73">
        <v>469950</v>
      </c>
      <c r="J142" s="71">
        <v>26370322</v>
      </c>
    </row>
    <row r="143" spans="1:10" x14ac:dyDescent="0.25">
      <c r="A143" s="8">
        <v>140</v>
      </c>
      <c r="B143" s="8" t="s">
        <v>344</v>
      </c>
      <c r="C143" s="78">
        <v>0.34937039859315783</v>
      </c>
      <c r="D143" s="39">
        <v>0.34999995422417379</v>
      </c>
      <c r="E143" s="75">
        <v>499500</v>
      </c>
      <c r="F143" s="75">
        <v>25199</v>
      </c>
      <c r="G143" s="75">
        <v>5000</v>
      </c>
      <c r="H143" s="75">
        <v>649</v>
      </c>
      <c r="I143" s="73">
        <v>474301</v>
      </c>
      <c r="J143" s="75">
        <v>26844623</v>
      </c>
    </row>
    <row r="144" spans="1:10" x14ac:dyDescent="0.25">
      <c r="A144" s="48">
        <v>141</v>
      </c>
      <c r="B144" s="48" t="s">
        <v>345</v>
      </c>
      <c r="C144" s="78">
        <v>0.34819687142850431</v>
      </c>
      <c r="D144" s="39">
        <v>0.34999993517302719</v>
      </c>
      <c r="E144" s="71">
        <v>504500</v>
      </c>
      <c r="F144" s="71">
        <v>25865</v>
      </c>
      <c r="G144" s="71">
        <v>5000</v>
      </c>
      <c r="H144" s="71">
        <v>666</v>
      </c>
      <c r="I144" s="73">
        <v>478635</v>
      </c>
      <c r="J144" s="71">
        <v>27323258</v>
      </c>
    </row>
    <row r="145" spans="1:10" x14ac:dyDescent="0.25">
      <c r="A145" s="8">
        <v>142</v>
      </c>
      <c r="B145" s="8" t="s">
        <v>345</v>
      </c>
      <c r="C145" s="78">
        <v>0.34701912005325081</v>
      </c>
      <c r="D145" s="39">
        <v>0.34999994698022319</v>
      </c>
      <c r="E145" s="75">
        <v>509500</v>
      </c>
      <c r="F145" s="75">
        <v>26549</v>
      </c>
      <c r="G145" s="75">
        <v>5000</v>
      </c>
      <c r="H145" s="75">
        <v>684</v>
      </c>
      <c r="I145" s="73">
        <v>482951</v>
      </c>
      <c r="J145" s="75">
        <v>27806209</v>
      </c>
    </row>
    <row r="146" spans="1:10" x14ac:dyDescent="0.25">
      <c r="A146" s="48">
        <v>143</v>
      </c>
      <c r="B146" s="48" t="s">
        <v>346</v>
      </c>
      <c r="C146" s="78">
        <v>0.34583716333153369</v>
      </c>
      <c r="D146" s="39">
        <v>0.34999997605531441</v>
      </c>
      <c r="E146" s="71">
        <v>514500</v>
      </c>
      <c r="F146" s="71">
        <v>27251</v>
      </c>
      <c r="G146" s="71">
        <v>5000</v>
      </c>
      <c r="H146" s="71">
        <v>702</v>
      </c>
      <c r="I146" s="73">
        <v>487249</v>
      </c>
      <c r="J146" s="71">
        <v>28293458</v>
      </c>
    </row>
    <row r="147" spans="1:10" x14ac:dyDescent="0.25">
      <c r="A147" s="8">
        <v>144</v>
      </c>
      <c r="B147" s="8" t="s">
        <v>347</v>
      </c>
      <c r="C147" s="78">
        <v>0.34465102042752488</v>
      </c>
      <c r="D147" s="39">
        <v>0.34999994651482252</v>
      </c>
      <c r="E147" s="75">
        <v>519500</v>
      </c>
      <c r="F147" s="75">
        <v>27971</v>
      </c>
      <c r="G147" s="75">
        <v>5000</v>
      </c>
      <c r="H147" s="75">
        <v>720</v>
      </c>
      <c r="I147" s="73">
        <v>491529</v>
      </c>
      <c r="J147" s="75">
        <v>28784987</v>
      </c>
    </row>
    <row r="148" spans="1:10" x14ac:dyDescent="0.25">
      <c r="A148" s="48">
        <v>145</v>
      </c>
      <c r="B148" s="48" t="s">
        <v>348</v>
      </c>
      <c r="C148" s="78">
        <v>0.34346071073989792</v>
      </c>
      <c r="D148" s="39">
        <v>0.34999998823695372</v>
      </c>
      <c r="E148" s="71">
        <v>524500</v>
      </c>
      <c r="F148" s="71">
        <v>28711</v>
      </c>
      <c r="G148" s="71">
        <v>5000</v>
      </c>
      <c r="H148" s="71">
        <v>740</v>
      </c>
      <c r="I148" s="73">
        <v>495789</v>
      </c>
      <c r="J148" s="71">
        <v>29280776</v>
      </c>
    </row>
    <row r="149" spans="1:10" x14ac:dyDescent="0.25">
      <c r="A149" s="8">
        <v>146</v>
      </c>
      <c r="B149" s="8" t="s">
        <v>349</v>
      </c>
      <c r="C149" s="78">
        <v>0.34226625384227038</v>
      </c>
      <c r="D149" s="39">
        <v>0.34999989789928337</v>
      </c>
      <c r="E149" s="75">
        <v>529500</v>
      </c>
      <c r="F149" s="75">
        <v>29469</v>
      </c>
      <c r="G149" s="75">
        <v>5000</v>
      </c>
      <c r="H149" s="75">
        <v>758</v>
      </c>
      <c r="I149" s="73">
        <v>500031</v>
      </c>
      <c r="J149" s="75">
        <v>29780807</v>
      </c>
    </row>
    <row r="150" spans="1:10" x14ac:dyDescent="0.25">
      <c r="A150" s="48">
        <v>147</v>
      </c>
      <c r="B150" s="48" t="s">
        <v>349</v>
      </c>
      <c r="C150" s="78">
        <v>0.3410676694291323</v>
      </c>
      <c r="D150" s="39">
        <v>0.34999992730249629</v>
      </c>
      <c r="E150" s="71">
        <v>534500</v>
      </c>
      <c r="F150" s="71">
        <v>30249</v>
      </c>
      <c r="G150" s="71">
        <v>5000</v>
      </c>
      <c r="H150" s="71">
        <v>780</v>
      </c>
      <c r="I150" s="73">
        <v>504251</v>
      </c>
      <c r="J150" s="71">
        <v>30285058</v>
      </c>
    </row>
    <row r="151" spans="1:10" x14ac:dyDescent="0.25">
      <c r="A151" s="8">
        <v>148</v>
      </c>
      <c r="B151" s="8" t="s">
        <v>350</v>
      </c>
      <c r="C151" s="78">
        <v>0.33986497726680442</v>
      </c>
      <c r="D151" s="39">
        <v>0.34999999308973267</v>
      </c>
      <c r="E151" s="75">
        <v>539500</v>
      </c>
      <c r="F151" s="75">
        <v>31049</v>
      </c>
      <c r="G151" s="75">
        <v>5000</v>
      </c>
      <c r="H151" s="75">
        <v>800</v>
      </c>
      <c r="I151" s="73">
        <v>508451</v>
      </c>
      <c r="J151" s="75">
        <v>30793509</v>
      </c>
    </row>
    <row r="152" spans="1:10" x14ac:dyDescent="0.25">
      <c r="A152" s="48">
        <v>149</v>
      </c>
      <c r="B152" s="48" t="s">
        <v>351</v>
      </c>
      <c r="C152" s="78">
        <v>0.33865819714901618</v>
      </c>
      <c r="D152" s="39">
        <v>0.34999995782038701</v>
      </c>
      <c r="E152" s="71">
        <v>544500</v>
      </c>
      <c r="F152" s="71">
        <v>31869</v>
      </c>
      <c r="G152" s="71">
        <v>5000</v>
      </c>
      <c r="H152" s="71">
        <v>820</v>
      </c>
      <c r="I152" s="73">
        <v>512631</v>
      </c>
      <c r="J152" s="71">
        <v>31306140</v>
      </c>
    </row>
    <row r="153" spans="1:10" x14ac:dyDescent="0.25">
      <c r="A153" s="8">
        <v>150</v>
      </c>
      <c r="B153" s="8" t="s">
        <v>352</v>
      </c>
      <c r="C153" s="78">
        <v>0.33744734885671912</v>
      </c>
      <c r="D153" s="39">
        <v>0.34999997976597352</v>
      </c>
      <c r="E153" s="75">
        <v>549500</v>
      </c>
      <c r="F153" s="75">
        <v>32712</v>
      </c>
      <c r="G153" s="75">
        <v>5000</v>
      </c>
      <c r="H153" s="75">
        <v>843</v>
      </c>
      <c r="I153" s="73">
        <v>516788</v>
      </c>
      <c r="J153" s="75">
        <v>31822928</v>
      </c>
    </row>
    <row r="154" spans="1:10" x14ac:dyDescent="0.25">
      <c r="A154" s="48">
        <v>151</v>
      </c>
      <c r="B154" s="48" t="s">
        <v>353</v>
      </c>
      <c r="C154" s="78">
        <v>0.33623245212178587</v>
      </c>
      <c r="D154" s="39">
        <v>0.34999991169574463</v>
      </c>
      <c r="E154" s="71">
        <v>554500</v>
      </c>
      <c r="F154" s="71">
        <v>33576</v>
      </c>
      <c r="G154" s="71">
        <v>5000</v>
      </c>
      <c r="H154" s="71">
        <v>864</v>
      </c>
      <c r="I154" s="73">
        <v>520924</v>
      </c>
      <c r="J154" s="71">
        <v>32343852</v>
      </c>
    </row>
    <row r="155" spans="1:10" x14ac:dyDescent="0.25">
      <c r="A155" s="8">
        <v>152</v>
      </c>
      <c r="B155" s="8" t="s">
        <v>354</v>
      </c>
      <c r="C155" s="78">
        <v>0.33501352659427458</v>
      </c>
      <c r="D155" s="39">
        <v>0.3499999941449452</v>
      </c>
      <c r="E155" s="75">
        <v>559500</v>
      </c>
      <c r="F155" s="75">
        <v>34465</v>
      </c>
      <c r="G155" s="75">
        <v>5000</v>
      </c>
      <c r="H155" s="75">
        <v>889</v>
      </c>
      <c r="I155" s="73">
        <v>525035</v>
      </c>
      <c r="J155" s="75">
        <v>32868887</v>
      </c>
    </row>
    <row r="156" spans="1:10" x14ac:dyDescent="0.25">
      <c r="A156" s="48">
        <v>153</v>
      </c>
      <c r="B156" s="48" t="s">
        <v>355</v>
      </c>
      <c r="C156" s="78">
        <v>0.33379059181296139</v>
      </c>
      <c r="D156" s="39">
        <v>0.34999995192713201</v>
      </c>
      <c r="E156" s="71">
        <v>564500</v>
      </c>
      <c r="F156" s="71">
        <v>35375</v>
      </c>
      <c r="G156" s="71">
        <v>5000</v>
      </c>
      <c r="H156" s="71">
        <v>910</v>
      </c>
      <c r="I156" s="73">
        <v>529125</v>
      </c>
      <c r="J156" s="71">
        <v>33398012</v>
      </c>
    </row>
    <row r="157" spans="1:10" x14ac:dyDescent="0.25">
      <c r="A157" s="8">
        <v>154</v>
      </c>
      <c r="B157" s="8" t="s">
        <v>355</v>
      </c>
      <c r="C157" s="78">
        <v>0.33256366717887059</v>
      </c>
      <c r="D157" s="39">
        <v>0.34999999391336473</v>
      </c>
      <c r="E157" s="75">
        <v>569500</v>
      </c>
      <c r="F157" s="75">
        <v>36311</v>
      </c>
      <c r="G157" s="75">
        <v>5000</v>
      </c>
      <c r="H157" s="75">
        <v>936</v>
      </c>
      <c r="I157" s="73">
        <v>533189</v>
      </c>
      <c r="J157" s="75">
        <v>33931201</v>
      </c>
    </row>
    <row r="158" spans="1:10" x14ac:dyDescent="0.25">
      <c r="A158" s="48">
        <v>155</v>
      </c>
      <c r="B158" s="48" t="s">
        <v>356</v>
      </c>
      <c r="C158" s="78">
        <v>0.33133277193155308</v>
      </c>
      <c r="D158" s="39">
        <v>0.34999993911172478</v>
      </c>
      <c r="E158" s="71">
        <v>574500</v>
      </c>
      <c r="F158" s="71">
        <v>37270</v>
      </c>
      <c r="G158" s="71">
        <v>5000</v>
      </c>
      <c r="H158" s="71">
        <v>959</v>
      </c>
      <c r="I158" s="73">
        <v>537230</v>
      </c>
      <c r="J158" s="71">
        <v>34468431</v>
      </c>
    </row>
    <row r="159" spans="1:10" x14ac:dyDescent="0.25">
      <c r="A159" s="8">
        <v>156</v>
      </c>
      <c r="B159" s="8" t="s">
        <v>357</v>
      </c>
      <c r="C159" s="78">
        <v>0.33009792512788211</v>
      </c>
      <c r="D159" s="39">
        <v>0.34999995540601059</v>
      </c>
      <c r="E159" s="75">
        <v>579500</v>
      </c>
      <c r="F159" s="75">
        <v>38256</v>
      </c>
      <c r="G159" s="75">
        <v>5000</v>
      </c>
      <c r="H159" s="75">
        <v>986</v>
      </c>
      <c r="I159" s="73">
        <v>541244</v>
      </c>
      <c r="J159" s="75">
        <v>35009675</v>
      </c>
    </row>
    <row r="160" spans="1:10" x14ac:dyDescent="0.25">
      <c r="A160" s="48">
        <v>157</v>
      </c>
      <c r="B160" s="48" t="s">
        <v>358</v>
      </c>
      <c r="C160" s="78">
        <v>0.32885914562315732</v>
      </c>
      <c r="D160" s="39">
        <v>0.34999993618575392</v>
      </c>
      <c r="E160" s="71">
        <v>584500</v>
      </c>
      <c r="F160" s="71">
        <v>39267</v>
      </c>
      <c r="G160" s="71">
        <v>5000</v>
      </c>
      <c r="H160" s="71">
        <v>1011</v>
      </c>
      <c r="I160" s="73">
        <v>545233</v>
      </c>
      <c r="J160" s="71">
        <v>35554908</v>
      </c>
    </row>
    <row r="161" spans="1:10" x14ac:dyDescent="0.25">
      <c r="A161" s="8">
        <v>158</v>
      </c>
      <c r="B161" s="8" t="s">
        <v>359</v>
      </c>
      <c r="C161" s="78">
        <v>0.3276386667843687</v>
      </c>
      <c r="D161" s="39">
        <v>0.34999990929222508</v>
      </c>
      <c r="E161" s="75">
        <v>594500</v>
      </c>
      <c r="F161" s="75">
        <v>40305</v>
      </c>
      <c r="G161" s="75">
        <v>10000</v>
      </c>
      <c r="H161" s="75">
        <v>1038</v>
      </c>
      <c r="I161" s="73">
        <v>554195</v>
      </c>
      <c r="J161" s="75">
        <v>36109103</v>
      </c>
    </row>
    <row r="162" spans="1:10" x14ac:dyDescent="0.25">
      <c r="A162" s="48">
        <v>159</v>
      </c>
      <c r="B162" s="48" t="s">
        <v>359</v>
      </c>
      <c r="C162" s="78">
        <v>0.32643550547197742</v>
      </c>
      <c r="D162" s="39">
        <v>0.34999992575658651</v>
      </c>
      <c r="E162" s="71">
        <v>604500</v>
      </c>
      <c r="F162" s="71">
        <v>41371</v>
      </c>
      <c r="G162" s="71">
        <v>10000</v>
      </c>
      <c r="H162" s="71">
        <v>1066</v>
      </c>
      <c r="I162" s="73">
        <v>563129</v>
      </c>
      <c r="J162" s="71">
        <v>36672232</v>
      </c>
    </row>
    <row r="163" spans="1:10" x14ac:dyDescent="0.25">
      <c r="A163" s="8">
        <v>160</v>
      </c>
      <c r="B163" s="8" t="s">
        <v>360</v>
      </c>
      <c r="C163" s="78">
        <v>0.32524870888154128</v>
      </c>
      <c r="D163" s="39">
        <v>0.34999996644756792</v>
      </c>
      <c r="E163" s="75">
        <v>614500</v>
      </c>
      <c r="F163" s="75">
        <v>42465</v>
      </c>
      <c r="G163" s="75">
        <v>10000</v>
      </c>
      <c r="H163" s="75">
        <v>1094</v>
      </c>
      <c r="I163" s="73">
        <v>572035</v>
      </c>
      <c r="J163" s="75">
        <v>37244267</v>
      </c>
    </row>
    <row r="164" spans="1:10" x14ac:dyDescent="0.25">
      <c r="A164" s="48">
        <v>161</v>
      </c>
      <c r="B164" s="48" t="s">
        <v>361</v>
      </c>
      <c r="C164" s="78">
        <v>0.32407735462292792</v>
      </c>
      <c r="D164" s="39">
        <v>0.34999995055895727</v>
      </c>
      <c r="E164" s="71">
        <v>624500</v>
      </c>
      <c r="F164" s="71">
        <v>43587</v>
      </c>
      <c r="G164" s="71">
        <v>10000</v>
      </c>
      <c r="H164" s="71">
        <v>1122</v>
      </c>
      <c r="I164" s="73">
        <v>580913</v>
      </c>
      <c r="J164" s="71">
        <v>37825180</v>
      </c>
    </row>
    <row r="165" spans="1:10" x14ac:dyDescent="0.25">
      <c r="A165" s="8">
        <v>162</v>
      </c>
      <c r="B165" s="8" t="s">
        <v>362</v>
      </c>
      <c r="C165" s="78">
        <v>0.32292055067865261</v>
      </c>
      <c r="D165" s="39">
        <v>0.34999999388873598</v>
      </c>
      <c r="E165" s="75">
        <v>634500</v>
      </c>
      <c r="F165" s="75">
        <v>44740</v>
      </c>
      <c r="G165" s="75">
        <v>10000</v>
      </c>
      <c r="H165" s="75">
        <v>1153</v>
      </c>
      <c r="I165" s="73">
        <v>589760</v>
      </c>
      <c r="J165" s="75">
        <v>38414940</v>
      </c>
    </row>
    <row r="166" spans="1:10" x14ac:dyDescent="0.25">
      <c r="A166" s="48">
        <v>163</v>
      </c>
      <c r="B166" s="48" t="s">
        <v>363</v>
      </c>
      <c r="C166" s="78">
        <v>0.32177743525430091</v>
      </c>
      <c r="D166" s="39">
        <v>0.3499999715919635</v>
      </c>
      <c r="E166" s="71">
        <v>644500</v>
      </c>
      <c r="F166" s="71">
        <v>45922</v>
      </c>
      <c r="G166" s="71">
        <v>10000</v>
      </c>
      <c r="H166" s="71">
        <v>1182</v>
      </c>
      <c r="I166" s="73">
        <v>598578</v>
      </c>
      <c r="J166" s="71">
        <v>39013518</v>
      </c>
    </row>
    <row r="167" spans="1:10" x14ac:dyDescent="0.25">
      <c r="A167" s="8">
        <v>164</v>
      </c>
      <c r="B167" s="8" t="s">
        <v>364</v>
      </c>
      <c r="C167" s="78">
        <v>0.32064717653317398</v>
      </c>
      <c r="D167" s="39">
        <v>0.34999994800707501</v>
      </c>
      <c r="E167" s="75">
        <v>654500</v>
      </c>
      <c r="F167" s="75">
        <v>47136</v>
      </c>
      <c r="G167" s="75">
        <v>10000</v>
      </c>
      <c r="H167" s="75">
        <v>1214</v>
      </c>
      <c r="I167" s="73">
        <v>607364</v>
      </c>
      <c r="J167" s="75">
        <v>39620882</v>
      </c>
    </row>
    <row r="168" spans="1:10" x14ac:dyDescent="0.25">
      <c r="A168" s="48">
        <v>165</v>
      </c>
      <c r="B168" s="48" t="s">
        <v>365</v>
      </c>
      <c r="C168" s="78">
        <v>0.31952897234648009</v>
      </c>
      <c r="D168" s="39">
        <v>0.34999999318408748</v>
      </c>
      <c r="E168" s="71">
        <v>664500</v>
      </c>
      <c r="F168" s="71">
        <v>48383</v>
      </c>
      <c r="G168" s="71">
        <v>10000</v>
      </c>
      <c r="H168" s="71">
        <v>1247</v>
      </c>
      <c r="I168" s="73">
        <v>616117</v>
      </c>
      <c r="J168" s="71">
        <v>40236999</v>
      </c>
    </row>
    <row r="169" spans="1:10" x14ac:dyDescent="0.25">
      <c r="A169" s="8">
        <v>166</v>
      </c>
      <c r="B169" s="8" t="s">
        <v>365</v>
      </c>
      <c r="C169" s="78">
        <v>0.3184220497695967</v>
      </c>
      <c r="D169" s="39">
        <v>0.34999995418104002</v>
      </c>
      <c r="E169" s="75">
        <v>674500</v>
      </c>
      <c r="F169" s="75">
        <v>49661</v>
      </c>
      <c r="G169" s="75">
        <v>10000</v>
      </c>
      <c r="H169" s="75">
        <v>1278</v>
      </c>
      <c r="I169" s="73">
        <v>624839</v>
      </c>
      <c r="J169" s="75">
        <v>40861838</v>
      </c>
    </row>
    <row r="170" spans="1:10" x14ac:dyDescent="0.25">
      <c r="A170" s="48">
        <v>167</v>
      </c>
      <c r="B170" s="48" t="s">
        <v>366</v>
      </c>
      <c r="C170" s="78">
        <v>0.31732566465414241</v>
      </c>
      <c r="D170" s="39">
        <v>0.34999999933934228</v>
      </c>
      <c r="E170" s="71">
        <v>684500</v>
      </c>
      <c r="F170" s="71">
        <v>50975</v>
      </c>
      <c r="G170" s="71">
        <v>10000</v>
      </c>
      <c r="H170" s="71">
        <v>1314</v>
      </c>
      <c r="I170" s="73">
        <v>633525</v>
      </c>
      <c r="J170" s="71">
        <v>41495363</v>
      </c>
    </row>
    <row r="171" spans="1:10" x14ac:dyDescent="0.25">
      <c r="A171" s="8">
        <v>168</v>
      </c>
      <c r="B171" s="8" t="s">
        <v>367</v>
      </c>
      <c r="C171" s="78">
        <v>0.31623910110484432</v>
      </c>
      <c r="D171" s="39">
        <v>0.3499999984517414</v>
      </c>
      <c r="E171" s="75">
        <v>694500</v>
      </c>
      <c r="F171" s="75">
        <v>52322</v>
      </c>
      <c r="G171" s="75">
        <v>10000</v>
      </c>
      <c r="H171" s="75">
        <v>1347</v>
      </c>
      <c r="I171" s="73">
        <v>642178</v>
      </c>
      <c r="J171" s="75">
        <v>42137541</v>
      </c>
    </row>
    <row r="172" spans="1:10" x14ac:dyDescent="0.25">
      <c r="A172" s="48">
        <v>169</v>
      </c>
      <c r="B172" s="48" t="s">
        <v>368</v>
      </c>
      <c r="C172" s="78">
        <v>0.3151616709094574</v>
      </c>
      <c r="D172" s="39">
        <v>0.34999998194112891</v>
      </c>
      <c r="E172" s="71">
        <v>704500</v>
      </c>
      <c r="F172" s="71">
        <v>53705</v>
      </c>
      <c r="G172" s="71">
        <v>10000</v>
      </c>
      <c r="H172" s="71">
        <v>1383</v>
      </c>
      <c r="I172" s="73">
        <v>650795</v>
      </c>
      <c r="J172" s="71">
        <v>42788336</v>
      </c>
    </row>
    <row r="173" spans="1:10" x14ac:dyDescent="0.25">
      <c r="A173" s="8">
        <v>170</v>
      </c>
      <c r="B173" s="8" t="s">
        <v>369</v>
      </c>
      <c r="C173" s="78">
        <v>0.31409271292929553</v>
      </c>
      <c r="D173" s="39">
        <v>0.34999998063444071</v>
      </c>
      <c r="E173" s="75">
        <v>714500</v>
      </c>
      <c r="F173" s="75">
        <v>55125</v>
      </c>
      <c r="G173" s="75">
        <v>10000</v>
      </c>
      <c r="H173" s="75">
        <v>1420</v>
      </c>
      <c r="I173" s="73">
        <v>659375</v>
      </c>
      <c r="J173" s="75">
        <v>43447711</v>
      </c>
    </row>
    <row r="174" spans="1:10" x14ac:dyDescent="0.25">
      <c r="A174" s="48">
        <v>171</v>
      </c>
      <c r="B174" s="48" t="s">
        <v>369</v>
      </c>
      <c r="C174" s="78">
        <v>0.31303159245727302</v>
      </c>
      <c r="D174" s="39">
        <v>0.34999995777962389</v>
      </c>
      <c r="E174" s="71">
        <v>724500</v>
      </c>
      <c r="F174" s="71">
        <v>56582</v>
      </c>
      <c r="G174" s="71">
        <v>10000</v>
      </c>
      <c r="H174" s="71">
        <v>1457</v>
      </c>
      <c r="I174" s="73">
        <v>667918</v>
      </c>
      <c r="J174" s="71">
        <v>44115629</v>
      </c>
    </row>
    <row r="175" spans="1:10" x14ac:dyDescent="0.25">
      <c r="A175" s="8">
        <v>172</v>
      </c>
      <c r="B175" s="8" t="s">
        <v>370</v>
      </c>
      <c r="C175" s="78">
        <v>0.31197770054972801</v>
      </c>
      <c r="D175" s="39">
        <v>0.34999994594324352</v>
      </c>
      <c r="E175" s="75">
        <v>734500</v>
      </c>
      <c r="F175" s="75">
        <v>58078</v>
      </c>
      <c r="G175" s="75">
        <v>10000</v>
      </c>
      <c r="H175" s="75">
        <v>1496</v>
      </c>
      <c r="I175" s="73">
        <v>676422</v>
      </c>
      <c r="J175" s="75">
        <v>44792051</v>
      </c>
    </row>
    <row r="176" spans="1:10" x14ac:dyDescent="0.25">
      <c r="A176" s="48">
        <v>173</v>
      </c>
      <c r="B176" s="48" t="s">
        <v>371</v>
      </c>
      <c r="C176" s="78">
        <v>0.31093045333770503</v>
      </c>
      <c r="D176" s="39">
        <v>0.34999997257874887</v>
      </c>
      <c r="E176" s="71">
        <v>744500</v>
      </c>
      <c r="F176" s="71">
        <v>59614</v>
      </c>
      <c r="G176" s="71">
        <v>10000</v>
      </c>
      <c r="H176" s="71">
        <v>1536</v>
      </c>
      <c r="I176" s="73">
        <v>684886</v>
      </c>
      <c r="J176" s="71">
        <v>45476937</v>
      </c>
    </row>
    <row r="177" spans="1:10" x14ac:dyDescent="0.25">
      <c r="A177" s="8">
        <v>174</v>
      </c>
      <c r="B177" s="8" t="s">
        <v>372</v>
      </c>
      <c r="C177" s="78">
        <v>0.30988929132282561</v>
      </c>
      <c r="D177" s="39">
        <v>0.34999999781973379</v>
      </c>
      <c r="E177" s="75">
        <v>754500</v>
      </c>
      <c r="F177" s="75">
        <v>61190</v>
      </c>
      <c r="G177" s="75">
        <v>10000</v>
      </c>
      <c r="H177" s="75">
        <v>1576</v>
      </c>
      <c r="I177" s="73">
        <v>693310</v>
      </c>
      <c r="J177" s="75">
        <v>46170247</v>
      </c>
    </row>
    <row r="178" spans="1:10" x14ac:dyDescent="0.25">
      <c r="A178" s="48">
        <v>175</v>
      </c>
      <c r="B178" s="48" t="s">
        <v>373</v>
      </c>
      <c r="C178" s="78">
        <v>0.30885367866234881</v>
      </c>
      <c r="D178" s="39">
        <v>0.34999998221749462</v>
      </c>
      <c r="E178" s="71">
        <v>764500</v>
      </c>
      <c r="F178" s="71">
        <v>62807</v>
      </c>
      <c r="G178" s="71">
        <v>10000</v>
      </c>
      <c r="H178" s="71">
        <v>1617</v>
      </c>
      <c r="I178" s="73">
        <v>701693</v>
      </c>
      <c r="J178" s="71">
        <v>46871940</v>
      </c>
    </row>
    <row r="179" spans="1:10" x14ac:dyDescent="0.25">
      <c r="A179" s="8">
        <v>176</v>
      </c>
      <c r="B179" s="8" t="s">
        <v>374</v>
      </c>
      <c r="C179" s="78">
        <v>0.30782310244754618</v>
      </c>
      <c r="D179" s="39">
        <v>0.34999994333197948</v>
      </c>
      <c r="E179" s="75">
        <v>774500</v>
      </c>
      <c r="F179" s="75">
        <v>64467</v>
      </c>
      <c r="G179" s="75">
        <v>10000</v>
      </c>
      <c r="H179" s="75">
        <v>1660</v>
      </c>
      <c r="I179" s="73">
        <v>710033</v>
      </c>
      <c r="J179" s="75">
        <v>47581973</v>
      </c>
    </row>
    <row r="180" spans="1:10" x14ac:dyDescent="0.25">
      <c r="A180" s="48">
        <v>177</v>
      </c>
      <c r="B180" s="48" t="s">
        <v>375</v>
      </c>
      <c r="C180" s="78">
        <v>0.30679707197906342</v>
      </c>
      <c r="D180" s="39">
        <v>0.34999994584003652</v>
      </c>
      <c r="E180" s="71">
        <v>784500</v>
      </c>
      <c r="F180" s="71">
        <v>66172</v>
      </c>
      <c r="G180" s="71">
        <v>10000</v>
      </c>
      <c r="H180" s="71">
        <v>1705</v>
      </c>
      <c r="I180" s="73">
        <v>718328</v>
      </c>
      <c r="J180" s="71">
        <v>48300301</v>
      </c>
    </row>
    <row r="181" spans="1:10" x14ac:dyDescent="0.25">
      <c r="A181" s="8">
        <v>178</v>
      </c>
      <c r="B181" s="8" t="s">
        <v>375</v>
      </c>
      <c r="C181" s="78">
        <v>0.30577511804252672</v>
      </c>
      <c r="D181" s="39">
        <v>0.34999998264083582</v>
      </c>
      <c r="E181" s="75">
        <v>794500</v>
      </c>
      <c r="F181" s="75">
        <v>67922</v>
      </c>
      <c r="G181" s="75">
        <v>10000</v>
      </c>
      <c r="H181" s="75">
        <v>1750</v>
      </c>
      <c r="I181" s="73">
        <v>726578</v>
      </c>
      <c r="J181" s="75">
        <v>49026879</v>
      </c>
    </row>
    <row r="182" spans="1:10" x14ac:dyDescent="0.25">
      <c r="A182" s="48">
        <v>179</v>
      </c>
      <c r="B182" s="48" t="s">
        <v>376</v>
      </c>
      <c r="C182" s="78">
        <v>0.30475679218726648</v>
      </c>
      <c r="D182" s="39">
        <v>0.34999998346257011</v>
      </c>
      <c r="E182" s="71">
        <v>804500</v>
      </c>
      <c r="F182" s="71">
        <v>69717</v>
      </c>
      <c r="G182" s="71">
        <v>10000</v>
      </c>
      <c r="H182" s="71">
        <v>1795</v>
      </c>
      <c r="I182" s="73">
        <v>734783</v>
      </c>
      <c r="J182" s="71">
        <v>49761662</v>
      </c>
    </row>
    <row r="183" spans="1:10" x14ac:dyDescent="0.25">
      <c r="A183" s="8">
        <v>180</v>
      </c>
      <c r="B183" s="8" t="s">
        <v>377</v>
      </c>
      <c r="C183" s="78">
        <v>0.30374166601068231</v>
      </c>
      <c r="D183" s="39">
        <v>0.34999997939579169</v>
      </c>
      <c r="E183" s="75">
        <v>814500</v>
      </c>
      <c r="F183" s="75">
        <v>71560</v>
      </c>
      <c r="G183" s="75">
        <v>10000</v>
      </c>
      <c r="H183" s="75">
        <v>1843</v>
      </c>
      <c r="I183" s="73">
        <v>742940</v>
      </c>
      <c r="J183" s="75">
        <v>50504602</v>
      </c>
    </row>
    <row r="184" spans="1:10" x14ac:dyDescent="0.25">
      <c r="A184" s="48">
        <v>181</v>
      </c>
      <c r="B184" s="48" t="s">
        <v>401</v>
      </c>
      <c r="C184" s="78">
        <v>0.30272933045044298</v>
      </c>
      <c r="D184" s="39">
        <v>0.34999998488553752</v>
      </c>
      <c r="E184" s="71">
        <v>824500</v>
      </c>
      <c r="F184" s="71">
        <v>73452</v>
      </c>
      <c r="G184" s="71">
        <v>10000</v>
      </c>
      <c r="H184" s="71">
        <v>1892</v>
      </c>
      <c r="I184" s="73">
        <v>751048</v>
      </c>
      <c r="J184" s="71">
        <v>51255650</v>
      </c>
    </row>
    <row r="185" spans="1:10" x14ac:dyDescent="0.25">
      <c r="A185" s="8">
        <v>182</v>
      </c>
      <c r="B185" s="8" t="s">
        <v>402</v>
      </c>
      <c r="C185" s="78">
        <v>0.30171939508642748</v>
      </c>
      <c r="D185" s="39">
        <v>0.34999999832110767</v>
      </c>
      <c r="E185" s="75">
        <v>834500</v>
      </c>
      <c r="F185" s="75">
        <v>75394</v>
      </c>
      <c r="G185" s="75">
        <v>10000</v>
      </c>
      <c r="H185" s="75">
        <v>1942</v>
      </c>
      <c r="I185" s="73">
        <v>759106</v>
      </c>
      <c r="J185" s="75">
        <v>52014756</v>
      </c>
    </row>
    <row r="186" spans="1:10" x14ac:dyDescent="0.25">
      <c r="A186" s="48">
        <v>183</v>
      </c>
      <c r="B186" s="48" t="s">
        <v>402</v>
      </c>
      <c r="C186" s="78">
        <v>0.30071148745403692</v>
      </c>
      <c r="D186" s="39">
        <v>0.34999995442669851</v>
      </c>
      <c r="E186" s="71">
        <v>844500</v>
      </c>
      <c r="F186" s="71">
        <v>77386</v>
      </c>
      <c r="G186" s="71">
        <v>10000</v>
      </c>
      <c r="H186" s="71">
        <v>1992</v>
      </c>
      <c r="I186" s="73">
        <v>767114</v>
      </c>
      <c r="J186" s="71">
        <v>52781870</v>
      </c>
    </row>
    <row r="187" spans="1:10" x14ac:dyDescent="0.25">
      <c r="A187" s="8">
        <v>184</v>
      </c>
      <c r="B187" s="8" t="s">
        <v>403</v>
      </c>
      <c r="C187" s="78">
        <v>0.29970525237026441</v>
      </c>
      <c r="D187" s="39">
        <v>0.34999996734156252</v>
      </c>
      <c r="E187" s="75">
        <v>854500</v>
      </c>
      <c r="F187" s="75">
        <v>79433</v>
      </c>
      <c r="G187" s="75">
        <v>10000</v>
      </c>
      <c r="H187" s="75">
        <v>2047</v>
      </c>
      <c r="I187" s="73">
        <v>775067</v>
      </c>
      <c r="J187" s="75">
        <v>53556937</v>
      </c>
    </row>
    <row r="188" spans="1:10" x14ac:dyDescent="0.25">
      <c r="A188" s="48">
        <v>185</v>
      </c>
      <c r="B188" s="48" t="s">
        <v>404</v>
      </c>
      <c r="C188" s="78">
        <v>0.2987003512736896</v>
      </c>
      <c r="D188" s="39">
        <v>0.34999998181814279</v>
      </c>
      <c r="E188" s="71">
        <v>864500</v>
      </c>
      <c r="F188" s="71">
        <v>81533</v>
      </c>
      <c r="G188" s="71">
        <v>10000</v>
      </c>
      <c r="H188" s="71">
        <v>2100</v>
      </c>
      <c r="I188" s="73">
        <v>782967</v>
      </c>
      <c r="J188" s="71">
        <v>54339904</v>
      </c>
    </row>
    <row r="189" spans="1:10" x14ac:dyDescent="0.25">
      <c r="A189" s="8">
        <v>186</v>
      </c>
      <c r="B189" s="8" t="s">
        <v>405</v>
      </c>
      <c r="C189" s="78">
        <v>0.29769646157936031</v>
      </c>
      <c r="D189" s="39">
        <v>0.34999997463597032</v>
      </c>
      <c r="E189" s="75">
        <v>874500</v>
      </c>
      <c r="F189" s="75">
        <v>83688</v>
      </c>
      <c r="G189" s="75">
        <v>10000</v>
      </c>
      <c r="H189" s="75">
        <v>2155</v>
      </c>
      <c r="I189" s="73">
        <v>790812</v>
      </c>
      <c r="J189" s="75">
        <v>55130716</v>
      </c>
    </row>
    <row r="190" spans="1:10" x14ac:dyDescent="0.25">
      <c r="A190" s="48">
        <v>187</v>
      </c>
      <c r="B190" s="48" t="s">
        <v>406</v>
      </c>
      <c r="C190" s="78">
        <v>0.29669327604934492</v>
      </c>
      <c r="D190" s="39">
        <v>0.34999999209749422</v>
      </c>
      <c r="E190" s="71">
        <v>884500</v>
      </c>
      <c r="F190" s="71">
        <v>85901</v>
      </c>
      <c r="G190" s="71">
        <v>10000</v>
      </c>
      <c r="H190" s="71">
        <v>2213</v>
      </c>
      <c r="I190" s="73">
        <v>798599</v>
      </c>
      <c r="J190" s="71">
        <v>55929315</v>
      </c>
    </row>
    <row r="191" spans="1:10" x14ac:dyDescent="0.25">
      <c r="A191" s="8">
        <v>188</v>
      </c>
      <c r="B191" s="8" t="s">
        <v>407</v>
      </c>
      <c r="C191" s="78">
        <v>0.29569050217957671</v>
      </c>
      <c r="D191" s="39">
        <v>0.34999996866305849</v>
      </c>
      <c r="E191" s="75">
        <v>894500</v>
      </c>
      <c r="F191" s="75">
        <v>88171</v>
      </c>
      <c r="G191" s="75">
        <v>10000</v>
      </c>
      <c r="H191" s="75">
        <v>2270</v>
      </c>
      <c r="I191" s="73">
        <v>806329</v>
      </c>
      <c r="J191" s="75">
        <v>56735644</v>
      </c>
    </row>
    <row r="192" spans="1:10" x14ac:dyDescent="0.25">
      <c r="A192" s="48">
        <v>189</v>
      </c>
      <c r="B192" s="48" t="s">
        <v>408</v>
      </c>
      <c r="C192" s="78">
        <v>0.29468786160346572</v>
      </c>
      <c r="D192" s="39">
        <v>0.34999998938438759</v>
      </c>
      <c r="E192" s="71">
        <v>904500</v>
      </c>
      <c r="F192" s="71">
        <v>90503</v>
      </c>
      <c r="G192" s="71">
        <v>10000</v>
      </c>
      <c r="H192" s="71">
        <v>2332</v>
      </c>
      <c r="I192" s="73">
        <v>813997</v>
      </c>
      <c r="J192" s="71">
        <v>57549641</v>
      </c>
    </row>
    <row r="193" spans="1:10" x14ac:dyDescent="0.25">
      <c r="A193" s="8">
        <v>190</v>
      </c>
      <c r="B193" s="8" t="s">
        <v>408</v>
      </c>
      <c r="C193" s="78">
        <v>0.29368508951262218</v>
      </c>
      <c r="D193" s="39">
        <v>0.34999998467890031</v>
      </c>
      <c r="E193" s="75">
        <v>914500</v>
      </c>
      <c r="F193" s="75">
        <v>92895</v>
      </c>
      <c r="G193" s="75">
        <v>10000</v>
      </c>
      <c r="H193" s="75">
        <v>2392</v>
      </c>
      <c r="I193" s="73">
        <v>821605</v>
      </c>
      <c r="J193" s="75">
        <v>58371246</v>
      </c>
    </row>
    <row r="194" spans="1:10" x14ac:dyDescent="0.25">
      <c r="A194" s="48">
        <v>191</v>
      </c>
      <c r="B194" s="48" t="s">
        <v>409</v>
      </c>
      <c r="C194" s="78">
        <v>0.29268193409492488</v>
      </c>
      <c r="D194" s="39">
        <v>0.34999998628429801</v>
      </c>
      <c r="E194" s="71">
        <v>924500</v>
      </c>
      <c r="F194" s="71">
        <v>95351</v>
      </c>
      <c r="G194" s="71">
        <v>10000</v>
      </c>
      <c r="H194" s="71">
        <v>2456</v>
      </c>
      <c r="I194" s="73">
        <v>829149</v>
      </c>
      <c r="J194" s="71">
        <v>59200395</v>
      </c>
    </row>
    <row r="195" spans="1:10" x14ac:dyDescent="0.25">
      <c r="A195" s="8">
        <v>192</v>
      </c>
      <c r="B195" s="8" t="s">
        <v>410</v>
      </c>
      <c r="C195" s="78">
        <v>0.29167815599005847</v>
      </c>
      <c r="D195" s="39">
        <v>0.34999999646149821</v>
      </c>
      <c r="E195" s="75">
        <v>934500</v>
      </c>
      <c r="F195" s="75">
        <v>97872</v>
      </c>
      <c r="G195" s="75">
        <v>10000</v>
      </c>
      <c r="H195" s="75">
        <v>2521</v>
      </c>
      <c r="I195" s="73">
        <v>836628</v>
      </c>
      <c r="J195" s="75">
        <v>60037023</v>
      </c>
    </row>
    <row r="196" spans="1:10" x14ac:dyDescent="0.25">
      <c r="A196" s="48">
        <v>193</v>
      </c>
      <c r="B196" s="48" t="s">
        <v>411</v>
      </c>
      <c r="C196" s="78">
        <v>0.29067352776256328</v>
      </c>
      <c r="D196" s="39">
        <v>0.34999999051617658</v>
      </c>
      <c r="E196" s="71">
        <v>944500</v>
      </c>
      <c r="F196" s="71">
        <v>100459</v>
      </c>
      <c r="G196" s="71">
        <v>10000</v>
      </c>
      <c r="H196" s="71">
        <v>2587</v>
      </c>
      <c r="I196" s="73">
        <v>844041</v>
      </c>
      <c r="J196" s="71">
        <v>60881064</v>
      </c>
    </row>
    <row r="197" spans="1:10" x14ac:dyDescent="0.25">
      <c r="A197" s="8">
        <v>194</v>
      </c>
      <c r="B197" s="8" t="s">
        <v>412</v>
      </c>
      <c r="C197" s="78">
        <v>0.28966783339235208</v>
      </c>
      <c r="D197" s="39">
        <v>0.34999999164549589</v>
      </c>
      <c r="E197" s="75">
        <v>954500</v>
      </c>
      <c r="F197" s="75">
        <v>103115</v>
      </c>
      <c r="G197" s="75">
        <v>10000</v>
      </c>
      <c r="H197" s="75">
        <v>2656</v>
      </c>
      <c r="I197" s="73">
        <v>851385</v>
      </c>
      <c r="J197" s="75">
        <v>61732449</v>
      </c>
    </row>
    <row r="198" spans="1:10" x14ac:dyDescent="0.25">
      <c r="A198" s="48">
        <v>195</v>
      </c>
      <c r="B198" s="48" t="s">
        <v>412</v>
      </c>
      <c r="C198" s="78">
        <v>0.2886608677825892</v>
      </c>
      <c r="D198" s="39">
        <v>0.34999999171186991</v>
      </c>
      <c r="E198" s="71">
        <v>964500</v>
      </c>
      <c r="F198" s="71">
        <v>105841</v>
      </c>
      <c r="G198" s="71">
        <v>10000</v>
      </c>
      <c r="H198" s="71">
        <v>2726</v>
      </c>
      <c r="I198" s="73">
        <v>858659</v>
      </c>
      <c r="J198" s="71">
        <v>62591108</v>
      </c>
    </row>
    <row r="199" spans="1:10" x14ac:dyDescent="0.25">
      <c r="A199" s="8">
        <v>196</v>
      </c>
      <c r="B199" s="8" t="s">
        <v>413</v>
      </c>
      <c r="C199" s="78">
        <v>0.28765243628475851</v>
      </c>
      <c r="D199" s="39">
        <v>0.34999998850031228</v>
      </c>
      <c r="E199" s="75">
        <v>974500</v>
      </c>
      <c r="F199" s="75">
        <v>108639</v>
      </c>
      <c r="G199" s="75">
        <v>10000</v>
      </c>
      <c r="H199" s="75">
        <v>2798</v>
      </c>
      <c r="I199" s="73">
        <v>865861</v>
      </c>
      <c r="J199" s="75">
        <v>63456969</v>
      </c>
    </row>
    <row r="200" spans="1:10" x14ac:dyDescent="0.25">
      <c r="A200" s="48">
        <v>197</v>
      </c>
      <c r="B200" s="48" t="s">
        <v>414</v>
      </c>
      <c r="C200" s="78">
        <v>0.28664235424070378</v>
      </c>
      <c r="D200" s="39">
        <v>0.34999998325433512</v>
      </c>
      <c r="E200" s="71">
        <v>984500</v>
      </c>
      <c r="F200" s="71">
        <v>111511</v>
      </c>
      <c r="G200" s="71">
        <v>10000</v>
      </c>
      <c r="H200" s="71">
        <v>2872</v>
      </c>
      <c r="I200" s="73">
        <v>872989</v>
      </c>
      <c r="J200" s="71">
        <v>64329958</v>
      </c>
    </row>
    <row r="201" spans="1:10" x14ac:dyDescent="0.25">
      <c r="A201" s="8">
        <v>198</v>
      </c>
      <c r="B201" s="8" t="s">
        <v>415</v>
      </c>
      <c r="C201" s="78">
        <v>0.28563044654137448</v>
      </c>
      <c r="D201" s="39">
        <v>0.34999997853074372</v>
      </c>
      <c r="E201" s="75">
        <v>994500</v>
      </c>
      <c r="F201" s="75">
        <v>114459</v>
      </c>
      <c r="G201" s="75">
        <v>10000</v>
      </c>
      <c r="H201" s="75">
        <v>2948</v>
      </c>
      <c r="I201" s="73">
        <v>880041</v>
      </c>
      <c r="J201" s="75">
        <v>65209999</v>
      </c>
    </row>
    <row r="202" spans="1:10" x14ac:dyDescent="0.25">
      <c r="A202" s="48">
        <v>199</v>
      </c>
      <c r="B202" s="48" t="s">
        <v>416</v>
      </c>
      <c r="C202" s="78">
        <v>0.28461654720197682</v>
      </c>
      <c r="D202" s="39">
        <v>0.34999997634672242</v>
      </c>
      <c r="E202" s="71">
        <v>1004500</v>
      </c>
      <c r="F202" s="71">
        <v>117485</v>
      </c>
      <c r="G202" s="71">
        <v>10000</v>
      </c>
      <c r="H202" s="71">
        <v>3026</v>
      </c>
      <c r="I202" s="73">
        <v>887015</v>
      </c>
      <c r="J202" s="71">
        <v>66097014</v>
      </c>
    </row>
    <row r="203" spans="1:10" x14ac:dyDescent="0.25">
      <c r="A203" s="8">
        <v>200</v>
      </c>
      <c r="B203" s="8" t="s">
        <v>417</v>
      </c>
      <c r="C203" s="78">
        <v>0.28360049895319639</v>
      </c>
      <c r="D203" s="39">
        <v>0.3499999765943459</v>
      </c>
      <c r="E203" s="75">
        <v>1014500</v>
      </c>
      <c r="F203" s="75">
        <v>120591</v>
      </c>
      <c r="G203" s="75">
        <v>10000</v>
      </c>
      <c r="H203" s="75">
        <v>3106</v>
      </c>
      <c r="I203" s="73">
        <v>893909</v>
      </c>
      <c r="J203" s="75">
        <v>66990923</v>
      </c>
    </row>
    <row r="204" spans="1:10" x14ac:dyDescent="0.25">
      <c r="A204" s="48">
        <v>201</v>
      </c>
      <c r="B204" s="48" t="s">
        <v>418</v>
      </c>
      <c r="C204" s="78">
        <v>0.28258215284813581</v>
      </c>
      <c r="D204" s="39">
        <v>0.34999997569929298</v>
      </c>
      <c r="E204" s="71">
        <v>1024500</v>
      </c>
      <c r="F204" s="71">
        <v>123779</v>
      </c>
      <c r="G204" s="71">
        <v>10000</v>
      </c>
      <c r="H204" s="71">
        <v>3188</v>
      </c>
      <c r="I204" s="73">
        <v>900721</v>
      </c>
      <c r="J204" s="71">
        <v>67891644</v>
      </c>
    </row>
    <row r="205" spans="1:10" x14ac:dyDescent="0.25">
      <c r="A205" s="8">
        <v>202</v>
      </c>
      <c r="B205" s="8" t="s">
        <v>418</v>
      </c>
      <c r="C205" s="78">
        <v>0.28156136788458569</v>
      </c>
      <c r="D205" s="39">
        <v>0.34999999489652273</v>
      </c>
      <c r="E205" s="75">
        <v>1034500</v>
      </c>
      <c r="F205" s="75">
        <v>127052</v>
      </c>
      <c r="G205" s="75">
        <v>10000</v>
      </c>
      <c r="H205" s="75">
        <v>3273</v>
      </c>
      <c r="I205" s="73">
        <v>907448</v>
      </c>
      <c r="J205" s="75">
        <v>68799092</v>
      </c>
    </row>
    <row r="206" spans="1:10" x14ac:dyDescent="0.25">
      <c r="A206" s="48">
        <v>203</v>
      </c>
      <c r="B206" s="48" t="s">
        <v>419</v>
      </c>
      <c r="C206" s="78">
        <v>0.28053801064223599</v>
      </c>
      <c r="D206" s="39">
        <v>0.34999998895475909</v>
      </c>
      <c r="E206" s="71">
        <v>1044500</v>
      </c>
      <c r="F206" s="71">
        <v>130410</v>
      </c>
      <c r="G206" s="71">
        <v>10000</v>
      </c>
      <c r="H206" s="71">
        <v>3358</v>
      </c>
      <c r="I206" s="73">
        <v>914090</v>
      </c>
      <c r="J206" s="71">
        <v>69713182</v>
      </c>
    </row>
    <row r="207" spans="1:10" x14ac:dyDescent="0.25">
      <c r="A207" s="8">
        <v>204</v>
      </c>
      <c r="B207" s="8" t="s">
        <v>420</v>
      </c>
      <c r="C207" s="78">
        <v>0.27951195493441722</v>
      </c>
      <c r="D207" s="39">
        <v>0.34999999388539998</v>
      </c>
      <c r="E207" s="75">
        <v>1054500</v>
      </c>
      <c r="F207" s="75">
        <v>133858</v>
      </c>
      <c r="G207" s="75">
        <v>10000</v>
      </c>
      <c r="H207" s="75">
        <v>3448</v>
      </c>
      <c r="I207" s="73">
        <v>920642</v>
      </c>
      <c r="J207" s="75">
        <v>70633824</v>
      </c>
    </row>
    <row r="208" spans="1:10" x14ac:dyDescent="0.25">
      <c r="A208" s="48">
        <v>205</v>
      </c>
      <c r="B208" s="48" t="s">
        <v>421</v>
      </c>
      <c r="C208" s="78">
        <v>0.27848308147395578</v>
      </c>
      <c r="D208" s="39">
        <v>0.34999997752686041</v>
      </c>
      <c r="E208" s="71">
        <v>1064500</v>
      </c>
      <c r="F208" s="71">
        <v>137396</v>
      </c>
      <c r="G208" s="71">
        <v>10000</v>
      </c>
      <c r="H208" s="71">
        <v>3538</v>
      </c>
      <c r="I208" s="73">
        <v>927104</v>
      </c>
      <c r="J208" s="71">
        <v>71560928</v>
      </c>
    </row>
    <row r="209" spans="1:10" x14ac:dyDescent="0.25">
      <c r="A209" s="8">
        <v>206</v>
      </c>
      <c r="B209" s="8" t="s">
        <v>422</v>
      </c>
      <c r="C209" s="78">
        <v>0.27745127755271898</v>
      </c>
      <c r="D209" s="39">
        <v>0.34999998028511148</v>
      </c>
      <c r="E209" s="75">
        <v>1074500</v>
      </c>
      <c r="F209" s="75">
        <v>141029</v>
      </c>
      <c r="G209" s="75">
        <v>10000</v>
      </c>
      <c r="H209" s="75">
        <v>3633</v>
      </c>
      <c r="I209" s="73">
        <v>933471</v>
      </c>
      <c r="J209" s="75">
        <v>72494399</v>
      </c>
    </row>
    <row r="210" spans="1:10" x14ac:dyDescent="0.25">
      <c r="A210" s="48">
        <v>207</v>
      </c>
      <c r="B210" s="48" t="s">
        <v>422</v>
      </c>
      <c r="C210" s="78">
        <v>0.27641643673442318</v>
      </c>
      <c r="D210" s="39">
        <v>0.34999999961852379</v>
      </c>
      <c r="E210" s="71">
        <v>1084500</v>
      </c>
      <c r="F210" s="71">
        <v>144758</v>
      </c>
      <c r="G210" s="71">
        <v>10000</v>
      </c>
      <c r="H210" s="71">
        <v>3729</v>
      </c>
      <c r="I210" s="73">
        <v>939742</v>
      </c>
      <c r="J210" s="71">
        <v>73434141</v>
      </c>
    </row>
    <row r="211" spans="1:10" x14ac:dyDescent="0.25">
      <c r="A211" s="8">
        <v>208</v>
      </c>
      <c r="B211" s="8" t="s">
        <v>423</v>
      </c>
      <c r="C211" s="78">
        <v>0.2753784585602756</v>
      </c>
      <c r="D211" s="39">
        <v>0.34999999451352182</v>
      </c>
      <c r="E211" s="75">
        <v>1094500</v>
      </c>
      <c r="F211" s="75">
        <v>148584</v>
      </c>
      <c r="G211" s="75">
        <v>10000</v>
      </c>
      <c r="H211" s="75">
        <v>3826</v>
      </c>
      <c r="I211" s="73">
        <v>945916</v>
      </c>
      <c r="J211" s="75">
        <v>74380057</v>
      </c>
    </row>
    <row r="212" spans="1:10" x14ac:dyDescent="0.25">
      <c r="A212" s="48">
        <v>209</v>
      </c>
      <c r="B212" s="48" t="s">
        <v>424</v>
      </c>
      <c r="C212" s="78">
        <v>0.27433724826702471</v>
      </c>
      <c r="D212" s="39">
        <v>0.34999998762860079</v>
      </c>
      <c r="E212" s="71">
        <v>1104500</v>
      </c>
      <c r="F212" s="71">
        <v>152512</v>
      </c>
      <c r="G212" s="71">
        <v>10000</v>
      </c>
      <c r="H212" s="71">
        <v>3928</v>
      </c>
      <c r="I212" s="73">
        <v>951988</v>
      </c>
      <c r="J212" s="71">
        <v>75332045</v>
      </c>
    </row>
    <row r="213" spans="1:10" x14ac:dyDescent="0.25">
      <c r="A213" s="8">
        <v>210</v>
      </c>
      <c r="B213" s="8" t="s">
        <v>425</v>
      </c>
      <c r="C213" s="78">
        <v>0.27329271651699172</v>
      </c>
      <c r="D213" s="39">
        <v>0.34999998283411932</v>
      </c>
      <c r="E213" s="75">
        <v>1114500</v>
      </c>
      <c r="F213" s="75">
        <v>156544</v>
      </c>
      <c r="G213" s="75">
        <v>10000</v>
      </c>
      <c r="H213" s="75">
        <v>4032</v>
      </c>
      <c r="I213" s="73">
        <v>957956</v>
      </c>
      <c r="J213" s="75">
        <v>76290001</v>
      </c>
    </row>
    <row r="214" spans="1:10" x14ac:dyDescent="0.25">
      <c r="A214" s="48">
        <v>211</v>
      </c>
      <c r="B214" s="48" t="s">
        <v>426</v>
      </c>
      <c r="C214" s="78">
        <v>0.27224477913966499</v>
      </c>
      <c r="D214" s="39">
        <v>0.3499999894451018</v>
      </c>
      <c r="E214" s="71">
        <v>1124500</v>
      </c>
      <c r="F214" s="71">
        <v>160683</v>
      </c>
      <c r="G214" s="71">
        <v>10000</v>
      </c>
      <c r="H214" s="71">
        <v>4139</v>
      </c>
      <c r="I214" s="73">
        <v>963817</v>
      </c>
      <c r="J214" s="71">
        <v>77253818</v>
      </c>
    </row>
    <row r="215" spans="1:10" x14ac:dyDescent="0.25">
      <c r="A215" s="8">
        <v>212</v>
      </c>
      <c r="B215" s="8" t="s">
        <v>427</v>
      </c>
      <c r="C215" s="78">
        <v>0.27119335688444041</v>
      </c>
      <c r="D215" s="39">
        <v>0.34999999707433671</v>
      </c>
      <c r="E215" s="75">
        <v>1134500</v>
      </c>
      <c r="F215" s="75">
        <v>164931</v>
      </c>
      <c r="G215" s="75">
        <v>10000</v>
      </c>
      <c r="H215" s="75">
        <v>4248</v>
      </c>
      <c r="I215" s="73">
        <v>969569</v>
      </c>
      <c r="J215" s="75">
        <v>78223387</v>
      </c>
    </row>
    <row r="216" spans="1:10" x14ac:dyDescent="0.25">
      <c r="A216" s="48">
        <v>213</v>
      </c>
      <c r="B216" s="48" t="s">
        <v>428</v>
      </c>
      <c r="C216" s="78">
        <v>0.27013837518410039</v>
      </c>
      <c r="D216" s="39">
        <v>0.34999999894050909</v>
      </c>
      <c r="E216" s="71">
        <v>1144500</v>
      </c>
      <c r="F216" s="71">
        <v>169291</v>
      </c>
      <c r="G216" s="71">
        <v>10000</v>
      </c>
      <c r="H216" s="71">
        <v>4360</v>
      </c>
      <c r="I216" s="73">
        <v>975209</v>
      </c>
      <c r="J216" s="71">
        <v>79198596</v>
      </c>
    </row>
    <row r="217" spans="1:10" x14ac:dyDescent="0.25">
      <c r="A217" s="8">
        <v>214</v>
      </c>
      <c r="B217" s="8" t="s">
        <v>428</v>
      </c>
      <c r="C217" s="78">
        <v>0.26907976392862992</v>
      </c>
      <c r="D217" s="39">
        <v>0.34999998977463781</v>
      </c>
      <c r="E217" s="75">
        <v>1154500</v>
      </c>
      <c r="F217" s="75">
        <v>173766</v>
      </c>
      <c r="G217" s="75">
        <v>10000</v>
      </c>
      <c r="H217" s="75">
        <v>4475</v>
      </c>
      <c r="I217" s="73">
        <v>980734</v>
      </c>
      <c r="J217" s="75">
        <v>80179330</v>
      </c>
    </row>
    <row r="218" spans="1:10" x14ac:dyDescent="0.25">
      <c r="A218" s="48">
        <v>215</v>
      </c>
      <c r="B218" s="48" t="s">
        <v>429</v>
      </c>
      <c r="C218" s="78">
        <v>0.26801745724897641</v>
      </c>
      <c r="D218" s="39">
        <v>0.34999998495066431</v>
      </c>
      <c r="E218" s="71">
        <v>1164500</v>
      </c>
      <c r="F218" s="71">
        <v>178360</v>
      </c>
      <c r="G218" s="71">
        <v>10000</v>
      </c>
      <c r="H218" s="71">
        <v>4594</v>
      </c>
      <c r="I218" s="73">
        <v>986140</v>
      </c>
      <c r="J218" s="71">
        <v>81165470</v>
      </c>
    </row>
    <row r="219" spans="1:10" x14ac:dyDescent="0.25">
      <c r="A219" s="8">
        <v>216</v>
      </c>
      <c r="B219" s="8" t="s">
        <v>430</v>
      </c>
      <c r="C219" s="78">
        <v>0.26695139331037088</v>
      </c>
      <c r="D219" s="39">
        <v>0.3499999953717875</v>
      </c>
      <c r="E219" s="75">
        <v>1174500</v>
      </c>
      <c r="F219" s="75">
        <v>183076</v>
      </c>
      <c r="G219" s="75">
        <v>10000</v>
      </c>
      <c r="H219" s="75">
        <v>4716</v>
      </c>
      <c r="I219" s="73">
        <v>991424</v>
      </c>
      <c r="J219" s="75">
        <v>82156894</v>
      </c>
    </row>
    <row r="220" spans="1:10" x14ac:dyDescent="0.25">
      <c r="A220" s="48">
        <v>217</v>
      </c>
      <c r="B220" s="48" t="s">
        <v>431</v>
      </c>
      <c r="C220" s="78">
        <v>0.26588151411483479</v>
      </c>
      <c r="D220" s="39">
        <v>0.34999998661268228</v>
      </c>
      <c r="E220" s="71">
        <v>1184500</v>
      </c>
      <c r="F220" s="71">
        <v>187915</v>
      </c>
      <c r="G220" s="71">
        <v>10000</v>
      </c>
      <c r="H220" s="71">
        <v>4839</v>
      </c>
      <c r="I220" s="73">
        <v>996585</v>
      </c>
      <c r="J220" s="71">
        <v>83153479</v>
      </c>
    </row>
    <row r="221" spans="1:10" x14ac:dyDescent="0.25">
      <c r="A221" s="8">
        <v>218</v>
      </c>
      <c r="B221" s="8" t="s">
        <v>432</v>
      </c>
      <c r="C221" s="78">
        <v>0.26480776531250838</v>
      </c>
      <c r="D221" s="39">
        <v>0.34999998083835338</v>
      </c>
      <c r="E221" s="75">
        <v>1194500</v>
      </c>
      <c r="F221" s="75">
        <v>192883</v>
      </c>
      <c r="G221" s="75">
        <v>10000</v>
      </c>
      <c r="H221" s="75">
        <v>4968</v>
      </c>
      <c r="I221" s="73">
        <v>1001617</v>
      </c>
      <c r="J221" s="75">
        <v>84155096</v>
      </c>
    </row>
    <row r="222" spans="1:10" x14ac:dyDescent="0.25">
      <c r="A222" s="48">
        <v>219</v>
      </c>
      <c r="B222" s="48" t="s">
        <v>432</v>
      </c>
      <c r="C222" s="78">
        <v>0.26373009602144559</v>
      </c>
      <c r="D222" s="39">
        <v>0.34999999033270579</v>
      </c>
      <c r="E222" s="71">
        <v>1204500</v>
      </c>
      <c r="F222" s="71">
        <v>197983</v>
      </c>
      <c r="G222" s="71">
        <v>10000</v>
      </c>
      <c r="H222" s="71">
        <v>5100</v>
      </c>
      <c r="I222" s="73">
        <v>1006517</v>
      </c>
      <c r="J222" s="71">
        <v>85161613</v>
      </c>
    </row>
    <row r="223" spans="1:10" x14ac:dyDescent="0.25">
      <c r="A223" s="8">
        <v>220</v>
      </c>
      <c r="B223" s="8" t="s">
        <v>433</v>
      </c>
      <c r="C223" s="78">
        <v>0.26264845865553238</v>
      </c>
      <c r="D223" s="39">
        <v>0.34999999876734589</v>
      </c>
      <c r="E223" s="75">
        <v>1214500</v>
      </c>
      <c r="F223" s="75">
        <v>203217</v>
      </c>
      <c r="G223" s="75">
        <v>10000</v>
      </c>
      <c r="H223" s="75">
        <v>5234</v>
      </c>
      <c r="I223" s="73">
        <v>1011283</v>
      </c>
      <c r="J223" s="75">
        <v>86172896</v>
      </c>
    </row>
    <row r="224" spans="1:10" x14ac:dyDescent="0.25">
      <c r="A224" s="48">
        <v>221</v>
      </c>
      <c r="B224" s="48" t="s">
        <v>434</v>
      </c>
      <c r="C224" s="78">
        <v>0.26156280876019478</v>
      </c>
      <c r="D224" s="39">
        <v>0.3499999995771102</v>
      </c>
      <c r="E224" s="71">
        <v>1224500</v>
      </c>
      <c r="F224" s="71">
        <v>208589</v>
      </c>
      <c r="G224" s="71">
        <v>10000</v>
      </c>
      <c r="H224" s="71">
        <v>5372</v>
      </c>
      <c r="I224" s="73">
        <v>1015911</v>
      </c>
      <c r="J224" s="71">
        <v>87188807</v>
      </c>
    </row>
    <row r="225" spans="1:10" x14ac:dyDescent="0.25">
      <c r="A225" s="8">
        <v>222</v>
      </c>
      <c r="B225" s="8" t="s">
        <v>435</v>
      </c>
      <c r="C225" s="78">
        <v>0.26047310485557201</v>
      </c>
      <c r="D225" s="39">
        <v>0.34999999299037238</v>
      </c>
      <c r="E225" s="75">
        <v>1234500</v>
      </c>
      <c r="F225" s="75">
        <v>214103</v>
      </c>
      <c r="G225" s="75">
        <v>10000</v>
      </c>
      <c r="H225" s="75">
        <v>5514</v>
      </c>
      <c r="I225" s="73">
        <v>1020397</v>
      </c>
      <c r="J225" s="75">
        <v>88209204</v>
      </c>
    </row>
    <row r="226" spans="1:10" x14ac:dyDescent="0.25">
      <c r="A226" s="48">
        <v>223</v>
      </c>
      <c r="B226" s="48" t="s">
        <v>436</v>
      </c>
      <c r="C226" s="78">
        <v>0.25937930828684419</v>
      </c>
      <c r="D226" s="39">
        <v>0.34999998342070232</v>
      </c>
      <c r="E226" s="71">
        <v>1244500</v>
      </c>
      <c r="F226" s="71">
        <v>219763</v>
      </c>
      <c r="G226" s="71">
        <v>10000</v>
      </c>
      <c r="H226" s="71">
        <v>5660</v>
      </c>
      <c r="I226" s="73">
        <v>1024737</v>
      </c>
      <c r="J226" s="71">
        <v>89233941</v>
      </c>
    </row>
    <row r="227" spans="1:10" x14ac:dyDescent="0.25">
      <c r="A227" s="8">
        <v>224</v>
      </c>
      <c r="B227" s="8" t="s">
        <v>437</v>
      </c>
      <c r="C227" s="78">
        <v>0.25828138308141207</v>
      </c>
      <c r="D227" s="39">
        <v>0.34999999374653068</v>
      </c>
      <c r="E227" s="75">
        <v>1254500</v>
      </c>
      <c r="F227" s="75">
        <v>225574</v>
      </c>
      <c r="G227" s="75">
        <v>10000</v>
      </c>
      <c r="H227" s="75">
        <v>5811</v>
      </c>
      <c r="I227" s="73">
        <v>1028926</v>
      </c>
      <c r="J227" s="75">
        <v>90262867</v>
      </c>
    </row>
    <row r="228" spans="1:10" x14ac:dyDescent="0.25">
      <c r="A228" s="48">
        <v>225</v>
      </c>
      <c r="B228" s="48" t="s">
        <v>438</v>
      </c>
      <c r="C228" s="78">
        <v>0.25717929581263682</v>
      </c>
      <c r="D228" s="39">
        <v>0.34999999631599987</v>
      </c>
      <c r="E228" s="71">
        <v>1264500</v>
      </c>
      <c r="F228" s="71">
        <v>231537</v>
      </c>
      <c r="G228" s="71">
        <v>10000</v>
      </c>
      <c r="H228" s="71">
        <v>5963</v>
      </c>
      <c r="I228" s="73">
        <v>1032963</v>
      </c>
      <c r="J228" s="71">
        <v>91295830</v>
      </c>
    </row>
    <row r="229" spans="1:10" x14ac:dyDescent="0.25">
      <c r="A229" s="8">
        <v>226</v>
      </c>
      <c r="B229" s="8" t="s">
        <v>438</v>
      </c>
      <c r="C229" s="78">
        <v>0.25607301546985928</v>
      </c>
      <c r="D229" s="39">
        <v>0.34999999730203529</v>
      </c>
      <c r="E229" s="75">
        <v>1274500</v>
      </c>
      <c r="F229" s="75">
        <v>237658</v>
      </c>
      <c r="G229" s="75">
        <v>10000</v>
      </c>
      <c r="H229" s="75">
        <v>6121</v>
      </c>
      <c r="I229" s="73">
        <v>1036842</v>
      </c>
      <c r="J229" s="75">
        <v>92332672</v>
      </c>
    </row>
    <row r="230" spans="1:10" x14ac:dyDescent="0.25">
      <c r="A230" s="48">
        <v>227</v>
      </c>
      <c r="B230" s="48" t="s">
        <v>439</v>
      </c>
      <c r="C230" s="78">
        <v>0.25496251333442871</v>
      </c>
      <c r="D230" s="39">
        <v>0.34999999957999423</v>
      </c>
      <c r="E230" s="71">
        <v>1284500</v>
      </c>
      <c r="F230" s="71">
        <v>243941</v>
      </c>
      <c r="G230" s="71">
        <v>10000</v>
      </c>
      <c r="H230" s="71">
        <v>6283</v>
      </c>
      <c r="I230" s="73">
        <v>1040559</v>
      </c>
      <c r="J230" s="71">
        <v>93373231</v>
      </c>
    </row>
    <row r="231" spans="1:10" x14ac:dyDescent="0.25">
      <c r="A231" s="8">
        <v>228</v>
      </c>
      <c r="B231" s="8" t="s">
        <v>440</v>
      </c>
      <c r="C231" s="78">
        <v>0.25384776286147742</v>
      </c>
      <c r="D231" s="39">
        <v>0.34999998661155179</v>
      </c>
      <c r="E231" s="75">
        <v>1294500</v>
      </c>
      <c r="F231" s="75">
        <v>250389</v>
      </c>
      <c r="G231" s="75">
        <v>10000</v>
      </c>
      <c r="H231" s="75">
        <v>6448</v>
      </c>
      <c r="I231" s="73">
        <v>1044111</v>
      </c>
      <c r="J231" s="75">
        <v>94417342</v>
      </c>
    </row>
    <row r="232" spans="1:10" x14ac:dyDescent="0.25">
      <c r="A232" s="48">
        <v>229</v>
      </c>
      <c r="B232" s="48" t="s">
        <v>441</v>
      </c>
      <c r="C232" s="78">
        <v>0.25272873956719472</v>
      </c>
      <c r="D232" s="39">
        <v>0.34999999636640472</v>
      </c>
      <c r="E232" s="71">
        <v>1304500</v>
      </c>
      <c r="F232" s="71">
        <v>257010</v>
      </c>
      <c r="G232" s="71">
        <v>10000</v>
      </c>
      <c r="H232" s="71">
        <v>6621</v>
      </c>
      <c r="I232" s="73">
        <v>1047490</v>
      </c>
      <c r="J232" s="71">
        <v>95464832</v>
      </c>
    </row>
    <row r="233" spans="1:10" x14ac:dyDescent="0.25">
      <c r="A233" s="8">
        <v>230</v>
      </c>
      <c r="B233" s="8" t="s">
        <v>442</v>
      </c>
      <c r="C233" s="78">
        <v>0.25160542092135479</v>
      </c>
      <c r="D233" s="39">
        <v>0.34999999833575629</v>
      </c>
      <c r="E233" s="75">
        <v>1314500</v>
      </c>
      <c r="F233" s="75">
        <v>263804</v>
      </c>
      <c r="G233" s="75">
        <v>10000</v>
      </c>
      <c r="H233" s="75">
        <v>6794</v>
      </c>
      <c r="I233" s="73">
        <v>1050696</v>
      </c>
      <c r="J233" s="75">
        <v>96515528</v>
      </c>
    </row>
    <row r="234" spans="1:10" x14ac:dyDescent="0.25">
      <c r="A234" s="48">
        <v>231</v>
      </c>
      <c r="B234" s="48" t="s">
        <v>442</v>
      </c>
      <c r="C234" s="78">
        <v>0.25047778624486922</v>
      </c>
      <c r="D234" s="39">
        <v>0.34999999843662782</v>
      </c>
      <c r="E234" s="71">
        <v>1324500</v>
      </c>
      <c r="F234" s="71">
        <v>270778</v>
      </c>
      <c r="G234" s="71">
        <v>10000</v>
      </c>
      <c r="H234" s="71">
        <v>6974</v>
      </c>
      <c r="I234" s="73">
        <v>1053722</v>
      </c>
      <c r="J234" s="71">
        <v>97569250</v>
      </c>
    </row>
    <row r="235" spans="1:10" x14ac:dyDescent="0.25">
      <c r="A235" s="8">
        <v>232</v>
      </c>
      <c r="B235" s="8" t="s">
        <v>443</v>
      </c>
      <c r="C235" s="78">
        <v>0.24934581661213931</v>
      </c>
      <c r="D235" s="39">
        <v>0.34999999183059433</v>
      </c>
      <c r="E235" s="75">
        <v>1334500</v>
      </c>
      <c r="F235" s="75">
        <v>277936</v>
      </c>
      <c r="G235" s="75">
        <v>10000</v>
      </c>
      <c r="H235" s="75">
        <v>7158</v>
      </c>
      <c r="I235" s="73">
        <v>1056564</v>
      </c>
      <c r="J235" s="75">
        <v>98625814</v>
      </c>
    </row>
    <row r="236" spans="1:10" x14ac:dyDescent="0.25">
      <c r="A236" s="48">
        <v>233</v>
      </c>
      <c r="B236" s="48" t="s">
        <v>444</v>
      </c>
      <c r="C236" s="78">
        <v>0.24820949475799761</v>
      </c>
      <c r="D236" s="39">
        <v>0.34999998903518592</v>
      </c>
      <c r="E236" s="71">
        <v>1344500</v>
      </c>
      <c r="F236" s="71">
        <v>285284</v>
      </c>
      <c r="G236" s="71">
        <v>10000</v>
      </c>
      <c r="H236" s="71">
        <v>7348</v>
      </c>
      <c r="I236" s="73">
        <v>1059216</v>
      </c>
      <c r="J236" s="71">
        <v>99685030</v>
      </c>
    </row>
    <row r="237" spans="1:10" x14ac:dyDescent="0.25">
      <c r="A237" s="8">
        <v>234</v>
      </c>
      <c r="B237" s="8" t="s">
        <v>445</v>
      </c>
      <c r="C237" s="78">
        <v>0.24706880498902989</v>
      </c>
      <c r="D237" s="39">
        <v>0.3499999992503548</v>
      </c>
      <c r="E237" s="75">
        <v>1354500</v>
      </c>
      <c r="F237" s="75">
        <v>292827</v>
      </c>
      <c r="G237" s="75">
        <v>10000</v>
      </c>
      <c r="H237" s="75">
        <v>7543</v>
      </c>
      <c r="I237" s="73">
        <v>1061673</v>
      </c>
      <c r="J237" s="75">
        <v>100746703</v>
      </c>
    </row>
    <row r="238" spans="1:10" x14ac:dyDescent="0.25">
      <c r="A238" s="48">
        <v>235</v>
      </c>
      <c r="B238" s="48" t="s">
        <v>446</v>
      </c>
      <c r="C238" s="78">
        <v>0.24592373309908369</v>
      </c>
      <c r="D238" s="39">
        <v>0.3499999915407741</v>
      </c>
      <c r="E238" s="71">
        <v>1364500</v>
      </c>
      <c r="F238" s="71">
        <v>300567</v>
      </c>
      <c r="G238" s="71">
        <v>10000</v>
      </c>
      <c r="H238" s="71">
        <v>7740</v>
      </c>
      <c r="I238" s="73">
        <v>1063933</v>
      </c>
      <c r="J238" s="71">
        <v>101810636</v>
      </c>
    </row>
    <row r="239" spans="1:10" x14ac:dyDescent="0.25">
      <c r="A239" s="8">
        <v>236</v>
      </c>
      <c r="B239" s="8" t="s">
        <v>447</v>
      </c>
      <c r="C239" s="78">
        <v>0.2447742662887735</v>
      </c>
      <c r="D239" s="39">
        <v>0.34999999601667747</v>
      </c>
      <c r="E239" s="75">
        <v>1374500</v>
      </c>
      <c r="F239" s="75">
        <v>308514</v>
      </c>
      <c r="G239" s="75">
        <v>10000</v>
      </c>
      <c r="H239" s="75">
        <v>7947</v>
      </c>
      <c r="I239" s="73">
        <v>1065986</v>
      </c>
      <c r="J239" s="75">
        <v>102876622</v>
      </c>
    </row>
    <row r="240" spans="1:10" x14ac:dyDescent="0.25">
      <c r="A240" s="48">
        <v>237</v>
      </c>
      <c r="B240" s="48" t="s">
        <v>448</v>
      </c>
      <c r="C240" s="78">
        <v>0.2436203930888014</v>
      </c>
      <c r="D240" s="39">
        <v>0.34999999889878802</v>
      </c>
      <c r="E240" s="71">
        <v>1384500</v>
      </c>
      <c r="F240" s="71">
        <v>316670</v>
      </c>
      <c r="G240" s="71">
        <v>10000</v>
      </c>
      <c r="H240" s="71">
        <v>8156</v>
      </c>
      <c r="I240" s="73">
        <v>1067830</v>
      </c>
      <c r="J240" s="71">
        <v>103944452</v>
      </c>
    </row>
    <row r="241" spans="1:10" x14ac:dyDescent="0.25">
      <c r="A241" s="8">
        <v>238</v>
      </c>
      <c r="B241" s="8" t="s">
        <v>448</v>
      </c>
      <c r="C241" s="78">
        <v>0.24246210328692289</v>
      </c>
      <c r="D241" s="39">
        <v>0.349999993191972</v>
      </c>
      <c r="E241" s="75">
        <v>1394500</v>
      </c>
      <c r="F241" s="75">
        <v>325041</v>
      </c>
      <c r="G241" s="75">
        <v>10000</v>
      </c>
      <c r="H241" s="75">
        <v>8371</v>
      </c>
      <c r="I241" s="73">
        <v>1069459</v>
      </c>
      <c r="J241" s="75">
        <v>105013911</v>
      </c>
    </row>
    <row r="242" spans="1:10" x14ac:dyDescent="0.25">
      <c r="A242" s="48">
        <v>239</v>
      </c>
      <c r="B242" s="48" t="s">
        <v>449</v>
      </c>
      <c r="C242" s="78">
        <v>0.24129938785838809</v>
      </c>
      <c r="D242" s="39">
        <v>0.3499999985303342</v>
      </c>
      <c r="E242" s="71">
        <v>1404500</v>
      </c>
      <c r="F242" s="71">
        <v>333635</v>
      </c>
      <c r="G242" s="71">
        <v>10000</v>
      </c>
      <c r="H242" s="71">
        <v>8594</v>
      </c>
      <c r="I242" s="73">
        <v>1070865</v>
      </c>
      <c r="J242" s="71">
        <v>106084776</v>
      </c>
    </row>
    <row r="243" spans="1:10" x14ac:dyDescent="0.25">
      <c r="A243" s="8">
        <v>240</v>
      </c>
      <c r="B243" s="8" t="s">
        <v>450</v>
      </c>
      <c r="C243" s="78">
        <v>0.2401322388997037</v>
      </c>
      <c r="D243" s="39">
        <v>0.34999999013994071</v>
      </c>
      <c r="E243" s="75">
        <v>1414500</v>
      </c>
      <c r="F243" s="75">
        <v>342454</v>
      </c>
      <c r="G243" s="75">
        <v>10000</v>
      </c>
      <c r="H243" s="75">
        <v>8819</v>
      </c>
      <c r="I243" s="73">
        <v>1072046</v>
      </c>
      <c r="J243" s="75">
        <v>107156822</v>
      </c>
    </row>
    <row r="244" spans="1:10" x14ac:dyDescent="0.25">
      <c r="A244" s="48">
        <v>241</v>
      </c>
      <c r="B244" s="48" t="s">
        <v>451</v>
      </c>
      <c r="C244" s="78">
        <v>0.23896064956556071</v>
      </c>
      <c r="D244" s="39">
        <v>0.34999999934996739</v>
      </c>
      <c r="E244" s="71">
        <v>1424500</v>
      </c>
      <c r="F244" s="71">
        <v>351509</v>
      </c>
      <c r="G244" s="71">
        <v>10000</v>
      </c>
      <c r="H244" s="71">
        <v>9055</v>
      </c>
      <c r="I244" s="73">
        <v>1072991</v>
      </c>
      <c r="J244" s="71">
        <v>108229813</v>
      </c>
    </row>
    <row r="245" spans="1:10" x14ac:dyDescent="0.25">
      <c r="A245" s="8">
        <v>242</v>
      </c>
      <c r="B245" s="8" t="s">
        <v>452</v>
      </c>
      <c r="C245" s="78">
        <v>0.2377846140087857</v>
      </c>
      <c r="D245" s="39">
        <v>0.34999998983466152</v>
      </c>
      <c r="E245" s="75">
        <v>1434500</v>
      </c>
      <c r="F245" s="75">
        <v>360800</v>
      </c>
      <c r="G245" s="75">
        <v>10000</v>
      </c>
      <c r="H245" s="75">
        <v>9291</v>
      </c>
      <c r="I245" s="73">
        <v>1073700</v>
      </c>
      <c r="J245" s="75">
        <v>109303513</v>
      </c>
    </row>
    <row r="246" spans="1:10" x14ac:dyDescent="0.25">
      <c r="A246" s="48">
        <v>243</v>
      </c>
      <c r="B246" s="48" t="s">
        <v>452</v>
      </c>
      <c r="C246" s="78">
        <v>0.23660412732317401</v>
      </c>
      <c r="D246" s="39">
        <v>0.3499999970065466</v>
      </c>
      <c r="E246" s="71">
        <v>1444500</v>
      </c>
      <c r="F246" s="71">
        <v>370340</v>
      </c>
      <c r="G246" s="71">
        <v>10000</v>
      </c>
      <c r="H246" s="71">
        <v>9540</v>
      </c>
      <c r="I246" s="73">
        <v>1074160</v>
      </c>
      <c r="J246" s="71">
        <v>110377673</v>
      </c>
    </row>
    <row r="247" spans="1:10" x14ac:dyDescent="0.25">
      <c r="A247" s="8">
        <v>244</v>
      </c>
      <c r="B247" s="8" t="s">
        <v>453</v>
      </c>
      <c r="C247" s="78">
        <v>0.23541918548907409</v>
      </c>
      <c r="D247" s="39">
        <v>0.34999999796603809</v>
      </c>
      <c r="E247" s="75">
        <v>1454500</v>
      </c>
      <c r="F247" s="75">
        <v>380130</v>
      </c>
      <c r="G247" s="75">
        <v>10000</v>
      </c>
      <c r="H247" s="75">
        <v>9790</v>
      </c>
      <c r="I247" s="73">
        <v>1074370</v>
      </c>
      <c r="J247" s="75">
        <v>111452043</v>
      </c>
    </row>
    <row r="248" spans="1:10" x14ac:dyDescent="0.25">
      <c r="A248" s="48">
        <v>245</v>
      </c>
      <c r="B248" s="48" t="s">
        <v>454</v>
      </c>
      <c r="C248" s="78">
        <v>0.2342297853215958</v>
      </c>
      <c r="D248" s="39">
        <v>0.34999999492033379</v>
      </c>
      <c r="E248" s="71">
        <v>1464500</v>
      </c>
      <c r="F248" s="71">
        <v>390179</v>
      </c>
      <c r="G248" s="71">
        <v>10000</v>
      </c>
      <c r="H248" s="71">
        <v>10049</v>
      </c>
      <c r="I248" s="73">
        <v>1074321</v>
      </c>
      <c r="J248" s="71">
        <v>112526364</v>
      </c>
    </row>
    <row r="249" spans="1:10" x14ac:dyDescent="0.25">
      <c r="A249" s="8">
        <v>246</v>
      </c>
      <c r="B249" s="8" t="s">
        <v>455</v>
      </c>
      <c r="C249" s="78">
        <v>0.2330359244213201</v>
      </c>
      <c r="D249" s="39">
        <v>0.34999999130467652</v>
      </c>
      <c r="E249" s="75">
        <v>1474500</v>
      </c>
      <c r="F249" s="75">
        <v>400494</v>
      </c>
      <c r="G249" s="75">
        <v>10000</v>
      </c>
      <c r="H249" s="75">
        <v>10315</v>
      </c>
      <c r="I249" s="73">
        <v>1074006</v>
      </c>
      <c r="J249" s="75">
        <v>113600370</v>
      </c>
    </row>
    <row r="250" spans="1:10" x14ac:dyDescent="0.25">
      <c r="A250" s="48">
        <v>247</v>
      </c>
      <c r="B250" s="48" t="s">
        <v>456</v>
      </c>
      <c r="C250" s="78">
        <v>0.23183760112739649</v>
      </c>
      <c r="D250" s="39">
        <v>0.34999999901885592</v>
      </c>
      <c r="E250" s="71">
        <v>1484500</v>
      </c>
      <c r="F250" s="71">
        <v>411083</v>
      </c>
      <c r="G250" s="71">
        <v>10000</v>
      </c>
      <c r="H250" s="71">
        <v>10589</v>
      </c>
      <c r="I250" s="73">
        <v>1073417</v>
      </c>
      <c r="J250" s="71">
        <v>114673787</v>
      </c>
    </row>
    <row r="251" spans="1:10" x14ac:dyDescent="0.25">
      <c r="A251" s="8">
        <v>248</v>
      </c>
      <c r="B251" s="8" t="s">
        <v>457</v>
      </c>
      <c r="C251" s="78">
        <v>0.23063481447291509</v>
      </c>
      <c r="D251" s="39">
        <v>0.34999999121762843</v>
      </c>
      <c r="E251" s="75">
        <v>1494500</v>
      </c>
      <c r="F251" s="75">
        <v>421949</v>
      </c>
      <c r="G251" s="75">
        <v>10000</v>
      </c>
      <c r="H251" s="75">
        <v>10866</v>
      </c>
      <c r="I251" s="73">
        <v>1072551</v>
      </c>
      <c r="J251" s="75">
        <v>115746338</v>
      </c>
    </row>
    <row r="252" spans="1:10" x14ac:dyDescent="0.25">
      <c r="A252" s="48">
        <v>249</v>
      </c>
      <c r="B252" s="48" t="s">
        <v>458</v>
      </c>
      <c r="C252" s="78">
        <v>0.22942756414245011</v>
      </c>
      <c r="D252" s="39">
        <v>0.34999999264431092</v>
      </c>
      <c r="E252" s="71">
        <v>1504500</v>
      </c>
      <c r="F252" s="71">
        <v>433105</v>
      </c>
      <c r="G252" s="71">
        <v>10000</v>
      </c>
      <c r="H252" s="71">
        <v>11156</v>
      </c>
      <c r="I252" s="73">
        <v>1071395</v>
      </c>
      <c r="J252" s="71">
        <v>116817733</v>
      </c>
    </row>
    <row r="253" spans="1:10" x14ac:dyDescent="0.25">
      <c r="A253" s="8">
        <v>250</v>
      </c>
      <c r="B253" s="8" t="s">
        <v>458</v>
      </c>
      <c r="C253" s="78">
        <v>0.22821585043167139</v>
      </c>
      <c r="D253" s="39">
        <v>0.34999999482799188</v>
      </c>
      <c r="E253" s="75">
        <v>1514500</v>
      </c>
      <c r="F253" s="75">
        <v>444555</v>
      </c>
      <c r="G253" s="75">
        <v>10000</v>
      </c>
      <c r="H253" s="75">
        <v>11450</v>
      </c>
      <c r="I253" s="73">
        <v>1069945</v>
      </c>
      <c r="J253" s="75">
        <v>117887678</v>
      </c>
    </row>
    <row r="254" spans="1:10" x14ac:dyDescent="0.25">
      <c r="A254" s="48">
        <v>251</v>
      </c>
      <c r="B254" s="48" t="s">
        <v>459</v>
      </c>
      <c r="C254" s="78">
        <v>0.22699967420893011</v>
      </c>
      <c r="D254" s="39">
        <v>0.3499999919716803</v>
      </c>
      <c r="E254" s="71">
        <v>1524500</v>
      </c>
      <c r="F254" s="71">
        <v>456307</v>
      </c>
      <c r="G254" s="71">
        <v>10000</v>
      </c>
      <c r="H254" s="71">
        <v>11752</v>
      </c>
      <c r="I254" s="73">
        <v>1068193</v>
      </c>
      <c r="J254" s="71">
        <v>118955871</v>
      </c>
    </row>
    <row r="255" spans="1:10" x14ac:dyDescent="0.25">
      <c r="A255" s="8">
        <v>252</v>
      </c>
      <c r="B255" s="8" t="s">
        <v>460</v>
      </c>
      <c r="C255" s="78">
        <v>0.22577903687872339</v>
      </c>
      <c r="D255" s="39">
        <v>0.34999999492939909</v>
      </c>
      <c r="E255" s="75">
        <v>1534500</v>
      </c>
      <c r="F255" s="75">
        <v>468371</v>
      </c>
      <c r="G255" s="75">
        <v>10000</v>
      </c>
      <c r="H255" s="75">
        <v>12064</v>
      </c>
      <c r="I255" s="73">
        <v>1066129</v>
      </c>
      <c r="J255" s="75">
        <v>120022000</v>
      </c>
    </row>
    <row r="256" spans="1:10" x14ac:dyDescent="0.25">
      <c r="A256" s="48">
        <v>253</v>
      </c>
      <c r="B256" s="48" t="s">
        <v>461</v>
      </c>
      <c r="C256" s="78">
        <v>0.22455394034695439</v>
      </c>
      <c r="D256" s="39">
        <v>0.34999999602572118</v>
      </c>
      <c r="E256" s="71">
        <v>1544500</v>
      </c>
      <c r="F256" s="71">
        <v>480753</v>
      </c>
      <c r="G256" s="71">
        <v>10000</v>
      </c>
      <c r="H256" s="71">
        <v>12382</v>
      </c>
      <c r="I256" s="73">
        <v>1063747</v>
      </c>
      <c r="J256" s="71">
        <v>121085747</v>
      </c>
    </row>
    <row r="257" spans="1:10" x14ac:dyDescent="0.25">
      <c r="A257" s="8">
        <v>254</v>
      </c>
      <c r="B257" s="8" t="s">
        <v>462</v>
      </c>
      <c r="C257" s="78">
        <v>0.223324386987899</v>
      </c>
      <c r="D257" s="39">
        <v>0.34999999281824168</v>
      </c>
      <c r="E257" s="75">
        <v>1554500</v>
      </c>
      <c r="F257" s="75">
        <v>493462</v>
      </c>
      <c r="G257" s="75">
        <v>10000</v>
      </c>
      <c r="H257" s="75">
        <v>12709</v>
      </c>
      <c r="I257" s="73">
        <v>1061038</v>
      </c>
      <c r="J257" s="75">
        <v>122146785</v>
      </c>
    </row>
    <row r="258" spans="1:10" x14ac:dyDescent="0.25">
      <c r="A258" s="48">
        <v>255</v>
      </c>
      <c r="B258" s="48" t="s">
        <v>462</v>
      </c>
      <c r="C258" s="78">
        <v>0.22209037961280381</v>
      </c>
      <c r="D258" s="39">
        <v>0.34999999310701629</v>
      </c>
      <c r="E258" s="71">
        <v>1564500</v>
      </c>
      <c r="F258" s="71">
        <v>506508</v>
      </c>
      <c r="G258" s="71">
        <v>10000</v>
      </c>
      <c r="H258" s="71">
        <v>13046</v>
      </c>
      <c r="I258" s="73">
        <v>1057992</v>
      </c>
      <c r="J258" s="71">
        <v>123204777</v>
      </c>
    </row>
    <row r="259" spans="1:10" x14ac:dyDescent="0.25">
      <c r="A259" s="8">
        <v>256</v>
      </c>
      <c r="B259" s="8" t="s">
        <v>463</v>
      </c>
      <c r="C259" s="78">
        <v>0.22085192144003599</v>
      </c>
      <c r="D259" s="39">
        <v>0.3499999973987743</v>
      </c>
      <c r="E259" s="75">
        <v>1574500</v>
      </c>
      <c r="F259" s="75">
        <v>519899</v>
      </c>
      <c r="G259" s="75">
        <v>10000</v>
      </c>
      <c r="H259" s="75">
        <v>13391</v>
      </c>
      <c r="I259" s="73">
        <v>1054601</v>
      </c>
      <c r="J259" s="75">
        <v>124259378</v>
      </c>
    </row>
    <row r="260" spans="1:10" x14ac:dyDescent="0.25">
      <c r="A260" s="48">
        <v>257</v>
      </c>
      <c r="B260" s="48" t="s">
        <v>464</v>
      </c>
      <c r="C260" s="78">
        <v>0.21960901606671271</v>
      </c>
      <c r="D260" s="39">
        <v>0.34999999829390432</v>
      </c>
      <c r="E260" s="71">
        <v>1584500</v>
      </c>
      <c r="F260" s="71">
        <v>533643</v>
      </c>
      <c r="G260" s="71">
        <v>10000</v>
      </c>
      <c r="H260" s="71">
        <v>13744</v>
      </c>
      <c r="I260" s="73">
        <v>1050857</v>
      </c>
      <c r="J260" s="71">
        <v>125310235</v>
      </c>
    </row>
    <row r="261" spans="1:10" x14ac:dyDescent="0.25">
      <c r="A261" s="8">
        <v>258</v>
      </c>
      <c r="B261" s="8" t="s">
        <v>465</v>
      </c>
      <c r="C261" s="78">
        <v>0.2183616674417421</v>
      </c>
      <c r="D261" s="39">
        <v>0.34999999366937262</v>
      </c>
      <c r="E261" s="75">
        <v>1594500</v>
      </c>
      <c r="F261" s="75">
        <v>547750</v>
      </c>
      <c r="G261" s="75">
        <v>10000</v>
      </c>
      <c r="H261" s="75">
        <v>14107</v>
      </c>
      <c r="I261" s="73">
        <v>1046750</v>
      </c>
      <c r="J261" s="75">
        <v>126356985</v>
      </c>
    </row>
    <row r="262" spans="1:10" x14ac:dyDescent="0.25">
      <c r="A262" s="48">
        <v>259</v>
      </c>
      <c r="B262" s="48" t="s">
        <v>466</v>
      </c>
      <c r="C262" s="78">
        <v>0.21710987984020791</v>
      </c>
      <c r="D262" s="39">
        <v>0.34999999759119838</v>
      </c>
      <c r="E262" s="71">
        <v>1604500</v>
      </c>
      <c r="F262" s="71">
        <v>562232</v>
      </c>
      <c r="G262" s="71">
        <v>10000</v>
      </c>
      <c r="H262" s="71">
        <v>14482</v>
      </c>
      <c r="I262" s="73">
        <v>1042268</v>
      </c>
      <c r="J262" s="71">
        <v>127399253</v>
      </c>
    </row>
    <row r="263" spans="1:10" x14ac:dyDescent="0.25">
      <c r="A263" s="8">
        <v>260</v>
      </c>
      <c r="B263" s="8" t="s">
        <v>467</v>
      </c>
      <c r="C263" s="78">
        <v>0.21585365783903521</v>
      </c>
      <c r="D263" s="39">
        <v>0.34999999741482718</v>
      </c>
      <c r="E263" s="75">
        <v>1614500</v>
      </c>
      <c r="F263" s="75">
        <v>577095</v>
      </c>
      <c r="G263" s="75">
        <v>10000</v>
      </c>
      <c r="H263" s="75">
        <v>14863</v>
      </c>
      <c r="I263" s="73">
        <v>1037405</v>
      </c>
      <c r="J263" s="75">
        <v>128436658</v>
      </c>
    </row>
    <row r="264" spans="1:10" x14ac:dyDescent="0.25">
      <c r="A264" s="48">
        <v>261</v>
      </c>
      <c r="B264" s="48" t="s">
        <v>468</v>
      </c>
      <c r="C264" s="78">
        <v>0.21459300629387651</v>
      </c>
      <c r="D264" s="39">
        <v>0.34999999387860808</v>
      </c>
      <c r="E264" s="71">
        <v>1624500</v>
      </c>
      <c r="F264" s="71">
        <v>592351</v>
      </c>
      <c r="G264" s="71">
        <v>10000</v>
      </c>
      <c r="H264" s="71">
        <v>15256</v>
      </c>
      <c r="I264" s="73">
        <v>1032149</v>
      </c>
      <c r="J264" s="71">
        <v>129468807</v>
      </c>
    </row>
    <row r="265" spans="1:10" x14ac:dyDescent="0.25">
      <c r="A265" s="8">
        <v>262</v>
      </c>
      <c r="B265" s="8" t="s">
        <v>468</v>
      </c>
      <c r="C265" s="78">
        <v>0.21332793031716221</v>
      </c>
      <c r="D265" s="39">
        <v>0.34999999755352162</v>
      </c>
      <c r="E265" s="75">
        <v>1634500</v>
      </c>
      <c r="F265" s="75">
        <v>608012</v>
      </c>
      <c r="G265" s="75">
        <v>10000</v>
      </c>
      <c r="H265" s="75">
        <v>15661</v>
      </c>
      <c r="I265" s="73">
        <v>1026488</v>
      </c>
      <c r="J265" s="75">
        <v>130495295</v>
      </c>
    </row>
    <row r="266" spans="1:10" x14ac:dyDescent="0.25">
      <c r="A266" s="48">
        <v>263</v>
      </c>
      <c r="B266" s="48" t="s">
        <v>469</v>
      </c>
      <c r="C266" s="78">
        <v>0.2120584352572574</v>
      </c>
      <c r="D266" s="39">
        <v>0.34999999578583812</v>
      </c>
      <c r="E266" s="71">
        <v>1644500</v>
      </c>
      <c r="F266" s="71">
        <v>624085</v>
      </c>
      <c r="G266" s="71">
        <v>10000</v>
      </c>
      <c r="H266" s="71">
        <v>16073</v>
      </c>
      <c r="I266" s="73">
        <v>1020415</v>
      </c>
      <c r="J266" s="71">
        <v>131515710</v>
      </c>
    </row>
    <row r="267" spans="1:10" x14ac:dyDescent="0.25">
      <c r="A267" s="8">
        <v>264</v>
      </c>
      <c r="B267" s="8" t="s">
        <v>470</v>
      </c>
      <c r="C267" s="78">
        <v>0.21078452667867689</v>
      </c>
      <c r="D267" s="39">
        <v>0.34999999527758913</v>
      </c>
      <c r="E267" s="75">
        <v>1654500</v>
      </c>
      <c r="F267" s="75">
        <v>640584</v>
      </c>
      <c r="G267" s="75">
        <v>10000</v>
      </c>
      <c r="H267" s="75">
        <v>16499</v>
      </c>
      <c r="I267" s="73">
        <v>1013916</v>
      </c>
      <c r="J267" s="75">
        <v>132529626</v>
      </c>
    </row>
    <row r="268" spans="1:10" x14ac:dyDescent="0.25">
      <c r="A268" s="48">
        <v>265</v>
      </c>
      <c r="B268" s="48" t="s">
        <v>471</v>
      </c>
      <c r="C268" s="78">
        <v>0.20950621034330469</v>
      </c>
      <c r="D268" s="39">
        <v>0.34999999491382738</v>
      </c>
      <c r="E268" s="71">
        <v>1664500</v>
      </c>
      <c r="F268" s="71">
        <v>657519</v>
      </c>
      <c r="G268" s="71">
        <v>10000</v>
      </c>
      <c r="H268" s="71">
        <v>16935</v>
      </c>
      <c r="I268" s="73">
        <v>1006981</v>
      </c>
      <c r="J268" s="71">
        <v>133536607</v>
      </c>
    </row>
    <row r="269" spans="1:10" x14ac:dyDescent="0.25">
      <c r="A269" s="8">
        <v>266</v>
      </c>
      <c r="B269" s="8" t="s">
        <v>472</v>
      </c>
      <c r="C269" s="78">
        <v>0.20822349219257269</v>
      </c>
      <c r="D269" s="39">
        <v>0.34999999630674983</v>
      </c>
      <c r="E269" s="75">
        <v>1674500</v>
      </c>
      <c r="F269" s="75">
        <v>674902</v>
      </c>
      <c r="G269" s="75">
        <v>10000</v>
      </c>
      <c r="H269" s="75">
        <v>17383</v>
      </c>
      <c r="I269" s="73">
        <v>999598</v>
      </c>
      <c r="J269" s="75">
        <v>134536205</v>
      </c>
    </row>
    <row r="270" spans="1:10" x14ac:dyDescent="0.25">
      <c r="A270" s="48">
        <v>267</v>
      </c>
      <c r="B270" s="48" t="s">
        <v>472</v>
      </c>
      <c r="C270" s="78">
        <v>0.20693637833055309</v>
      </c>
      <c r="D270" s="39">
        <v>0.34999999635889611</v>
      </c>
      <c r="E270" s="71">
        <v>1684500</v>
      </c>
      <c r="F270" s="71">
        <v>692744</v>
      </c>
      <c r="G270" s="71">
        <v>10000</v>
      </c>
      <c r="H270" s="71">
        <v>17842</v>
      </c>
      <c r="I270" s="73">
        <v>991756</v>
      </c>
      <c r="J270" s="71">
        <v>135527961</v>
      </c>
    </row>
    <row r="271" spans="1:10" x14ac:dyDescent="0.25">
      <c r="A271" s="8">
        <v>268</v>
      </c>
      <c r="B271" s="8" t="s">
        <v>473</v>
      </c>
      <c r="C271" s="78">
        <v>0.20564487500791959</v>
      </c>
      <c r="D271" s="39">
        <v>0.3499999968211816</v>
      </c>
      <c r="E271" s="75">
        <v>1694500</v>
      </c>
      <c r="F271" s="75">
        <v>711058</v>
      </c>
      <c r="G271" s="75">
        <v>10000</v>
      </c>
      <c r="H271" s="75">
        <v>18314</v>
      </c>
      <c r="I271" s="73">
        <v>983442</v>
      </c>
      <c r="J271" s="75">
        <v>136511403</v>
      </c>
    </row>
    <row r="272" spans="1:10" x14ac:dyDescent="0.25">
      <c r="A272" s="48">
        <v>269</v>
      </c>
      <c r="B272" s="48" t="s">
        <v>474</v>
      </c>
      <c r="C272" s="78">
        <v>0.2043489886067385</v>
      </c>
      <c r="D272" s="39">
        <v>0.34999999682803518</v>
      </c>
      <c r="E272" s="71">
        <v>1704500</v>
      </c>
      <c r="F272" s="71">
        <v>729856</v>
      </c>
      <c r="G272" s="71">
        <v>10000</v>
      </c>
      <c r="H272" s="71">
        <v>18798</v>
      </c>
      <c r="I272" s="73">
        <v>974644</v>
      </c>
      <c r="J272" s="71">
        <v>137486047</v>
      </c>
    </row>
    <row r="273" spans="1:10" x14ac:dyDescent="0.25">
      <c r="A273" s="8">
        <v>270</v>
      </c>
      <c r="B273" s="8" t="s">
        <v>475</v>
      </c>
      <c r="C273" s="78">
        <v>0.20304872562604859</v>
      </c>
      <c r="D273" s="39">
        <v>0.34999999661866038</v>
      </c>
      <c r="E273" s="75">
        <v>1714500</v>
      </c>
      <c r="F273" s="75">
        <v>749151</v>
      </c>
      <c r="G273" s="75">
        <v>10000</v>
      </c>
      <c r="H273" s="75">
        <v>19295</v>
      </c>
      <c r="I273" s="73">
        <v>965349</v>
      </c>
      <c r="J273" s="75">
        <v>138451396</v>
      </c>
    </row>
    <row r="274" spans="1:10" x14ac:dyDescent="0.25">
      <c r="A274" s="48">
        <v>271</v>
      </c>
      <c r="B274" s="48" t="s">
        <v>476</v>
      </c>
      <c r="C274" s="78">
        <v>0.20174409266819329</v>
      </c>
      <c r="D274" s="39">
        <v>0.34999999573459051</v>
      </c>
      <c r="E274" s="71">
        <v>1724500</v>
      </c>
      <c r="F274" s="71">
        <v>768956</v>
      </c>
      <c r="G274" s="71">
        <v>10000</v>
      </c>
      <c r="H274" s="71">
        <v>19805</v>
      </c>
      <c r="I274" s="73">
        <v>955544</v>
      </c>
      <c r="J274" s="71">
        <v>139406940</v>
      </c>
    </row>
    <row r="275" spans="1:10" x14ac:dyDescent="0.25">
      <c r="A275" s="8">
        <v>272</v>
      </c>
      <c r="B275" s="8" t="s">
        <v>477</v>
      </c>
      <c r="C275" s="78">
        <v>0.2004350964258684</v>
      </c>
      <c r="D275" s="39">
        <v>0.34999999621130368</v>
      </c>
      <c r="E275" s="75">
        <v>1734500</v>
      </c>
      <c r="F275" s="75">
        <v>789285</v>
      </c>
      <c r="G275" s="75">
        <v>10000</v>
      </c>
      <c r="H275" s="75">
        <v>20329</v>
      </c>
      <c r="I275" s="73">
        <v>945215</v>
      </c>
      <c r="J275" s="75">
        <v>140352155</v>
      </c>
    </row>
    <row r="276" spans="1:10" x14ac:dyDescent="0.25">
      <c r="A276" s="48">
        <v>273</v>
      </c>
      <c r="B276" s="48" t="s">
        <v>478</v>
      </c>
      <c r="C276" s="78">
        <v>0.1991217436698535</v>
      </c>
      <c r="D276" s="39">
        <v>0.34999999595217379</v>
      </c>
      <c r="E276" s="71">
        <v>1744500</v>
      </c>
      <c r="F276" s="71">
        <v>810151</v>
      </c>
      <c r="G276" s="71">
        <v>10000</v>
      </c>
      <c r="H276" s="71">
        <v>20866</v>
      </c>
      <c r="I276" s="73">
        <v>934349</v>
      </c>
      <c r="J276" s="71">
        <v>141286504</v>
      </c>
    </row>
    <row r="277" spans="1:10" x14ac:dyDescent="0.25">
      <c r="A277" s="8">
        <v>274</v>
      </c>
      <c r="B277" s="8" t="s">
        <v>478</v>
      </c>
      <c r="C277" s="78">
        <v>0.19780404123739129</v>
      </c>
      <c r="D277" s="39">
        <v>0.34999999667306081</v>
      </c>
      <c r="E277" s="75">
        <v>1754500</v>
      </c>
      <c r="F277" s="75">
        <v>831569</v>
      </c>
      <c r="G277" s="75">
        <v>10000</v>
      </c>
      <c r="H277" s="75">
        <v>21418</v>
      </c>
      <c r="I277" s="73">
        <v>922931</v>
      </c>
      <c r="J277" s="75">
        <v>142209435</v>
      </c>
    </row>
    <row r="278" spans="1:10" x14ac:dyDescent="0.25">
      <c r="A278" s="48">
        <v>275</v>
      </c>
      <c r="B278" s="48" t="s">
        <v>479</v>
      </c>
      <c r="C278" s="78">
        <v>0.1964819960211866</v>
      </c>
      <c r="D278" s="39">
        <v>0.34999999732629722</v>
      </c>
      <c r="E278" s="71">
        <v>1764500</v>
      </c>
      <c r="F278" s="71">
        <v>853553</v>
      </c>
      <c r="G278" s="71">
        <v>10000</v>
      </c>
      <c r="H278" s="71">
        <v>21984</v>
      </c>
      <c r="I278" s="73">
        <v>910947</v>
      </c>
      <c r="J278" s="71">
        <v>143120382</v>
      </c>
    </row>
    <row r="279" spans="1:10" x14ac:dyDescent="0.25">
      <c r="A279" s="8">
        <v>276</v>
      </c>
      <c r="B279" s="8" t="s">
        <v>480</v>
      </c>
      <c r="C279" s="78">
        <v>0.195155614958995</v>
      </c>
      <c r="D279" s="39">
        <v>0.34999999712189839</v>
      </c>
      <c r="E279" s="75">
        <v>1774500</v>
      </c>
      <c r="F279" s="75">
        <v>876118</v>
      </c>
      <c r="G279" s="75">
        <v>10000</v>
      </c>
      <c r="H279" s="75">
        <v>22565</v>
      </c>
      <c r="I279" s="73">
        <v>898382</v>
      </c>
      <c r="J279" s="75">
        <v>144018764</v>
      </c>
    </row>
    <row r="280" spans="1:10" x14ac:dyDescent="0.25">
      <c r="A280" s="48">
        <v>277</v>
      </c>
      <c r="B280" s="48" t="s">
        <v>481</v>
      </c>
      <c r="C280" s="78">
        <v>0.19382490502377159</v>
      </c>
      <c r="D280" s="39">
        <v>0.34999999800770942</v>
      </c>
      <c r="E280" s="71">
        <v>1784500</v>
      </c>
      <c r="F280" s="71">
        <v>899280</v>
      </c>
      <c r="G280" s="71">
        <v>10000</v>
      </c>
      <c r="H280" s="71">
        <v>23162</v>
      </c>
      <c r="I280" s="73">
        <v>885220</v>
      </c>
      <c r="J280" s="71">
        <v>144903984</v>
      </c>
    </row>
    <row r="281" spans="1:10" x14ac:dyDescent="0.25">
      <c r="A281" s="8">
        <v>278</v>
      </c>
      <c r="B281" s="8" t="s">
        <v>482</v>
      </c>
      <c r="C281" s="78">
        <v>0.19248987321435479</v>
      </c>
      <c r="D281" s="39">
        <v>0.34999999857340669</v>
      </c>
      <c r="E281" s="75">
        <v>1794500</v>
      </c>
      <c r="F281" s="75">
        <v>923054</v>
      </c>
      <c r="G281" s="75">
        <v>10000</v>
      </c>
      <c r="H281" s="75">
        <v>23774</v>
      </c>
      <c r="I281" s="73">
        <v>871446</v>
      </c>
      <c r="J281" s="75">
        <v>145775430</v>
      </c>
    </row>
    <row r="282" spans="1:10" x14ac:dyDescent="0.25">
      <c r="A282" s="48">
        <v>279</v>
      </c>
      <c r="B282" s="48" t="s">
        <v>482</v>
      </c>
      <c r="C282" s="78">
        <v>0.19115052654665879</v>
      </c>
      <c r="D282" s="39">
        <v>0.34999999683854183</v>
      </c>
      <c r="E282" s="71">
        <v>1804500</v>
      </c>
      <c r="F282" s="71">
        <v>947456</v>
      </c>
      <c r="G282" s="71">
        <v>10000</v>
      </c>
      <c r="H282" s="71">
        <v>24402</v>
      </c>
      <c r="I282" s="73">
        <v>857044</v>
      </c>
      <c r="J282" s="71">
        <v>146632474</v>
      </c>
    </row>
    <row r="283" spans="1:10" x14ac:dyDescent="0.25">
      <c r="A283" s="8">
        <v>280</v>
      </c>
      <c r="B283" s="8" t="s">
        <v>483</v>
      </c>
      <c r="C283" s="78">
        <v>0.18980687204534999</v>
      </c>
      <c r="D283" s="39">
        <v>0.34999999638884749</v>
      </c>
      <c r="E283" s="75">
        <v>1814500</v>
      </c>
      <c r="F283" s="75">
        <v>972504</v>
      </c>
      <c r="G283" s="75">
        <v>10000</v>
      </c>
      <c r="H283" s="75">
        <v>25048</v>
      </c>
      <c r="I283" s="73">
        <v>841996</v>
      </c>
      <c r="J283" s="75">
        <v>147474470</v>
      </c>
    </row>
    <row r="284" spans="1:10" x14ac:dyDescent="0.25">
      <c r="A284" s="48">
        <v>281</v>
      </c>
      <c r="B284" s="48" t="s">
        <v>484</v>
      </c>
      <c r="C284" s="78">
        <v>0.1884589167359853</v>
      </c>
      <c r="D284" s="39">
        <v>0.34999999642712548</v>
      </c>
      <c r="E284" s="71">
        <v>1824500</v>
      </c>
      <c r="F284" s="71">
        <v>998214</v>
      </c>
      <c r="G284" s="71">
        <v>10000</v>
      </c>
      <c r="H284" s="71">
        <v>25710</v>
      </c>
      <c r="I284" s="73">
        <v>826286</v>
      </c>
      <c r="J284" s="71">
        <v>148300756</v>
      </c>
    </row>
    <row r="285" spans="1:10" x14ac:dyDescent="0.25">
      <c r="A285" s="8">
        <v>282</v>
      </c>
      <c r="B285" s="8" t="s">
        <v>485</v>
      </c>
      <c r="C285" s="78">
        <v>0.1871066676375886</v>
      </c>
      <c r="D285" s="39">
        <v>0.34999999804930632</v>
      </c>
      <c r="E285" s="75">
        <v>1834500</v>
      </c>
      <c r="F285" s="75">
        <v>1024604</v>
      </c>
      <c r="G285" s="75">
        <v>10000</v>
      </c>
      <c r="H285" s="75">
        <v>26390</v>
      </c>
      <c r="I285" s="73">
        <v>809896</v>
      </c>
      <c r="J285" s="75">
        <v>149110652</v>
      </c>
    </row>
    <row r="286" spans="1:10" x14ac:dyDescent="0.25">
      <c r="A286" s="48">
        <v>283</v>
      </c>
      <c r="B286" s="48" t="s">
        <v>486</v>
      </c>
      <c r="C286" s="78">
        <v>0.1857501317556457</v>
      </c>
      <c r="D286" s="39">
        <v>0.34999999877076921</v>
      </c>
      <c r="E286" s="71">
        <v>1844500</v>
      </c>
      <c r="F286" s="71">
        <v>1051691</v>
      </c>
      <c r="G286" s="71">
        <v>10000</v>
      </c>
      <c r="H286" s="71">
        <v>27087</v>
      </c>
      <c r="I286" s="73">
        <v>792809</v>
      </c>
      <c r="J286" s="71">
        <v>149903461</v>
      </c>
    </row>
    <row r="287" spans="1:10" x14ac:dyDescent="0.25">
      <c r="A287" s="8">
        <v>284</v>
      </c>
      <c r="B287" s="8" t="s">
        <v>487</v>
      </c>
      <c r="C287" s="78">
        <v>0.18438931607549719</v>
      </c>
      <c r="D287" s="39">
        <v>0.34999999833318263</v>
      </c>
      <c r="E287" s="75">
        <v>1854500</v>
      </c>
      <c r="F287" s="75">
        <v>1079494</v>
      </c>
      <c r="G287" s="75">
        <v>10000</v>
      </c>
      <c r="H287" s="75">
        <v>27803</v>
      </c>
      <c r="I287" s="73">
        <v>775006</v>
      </c>
      <c r="J287" s="75">
        <v>150678467</v>
      </c>
    </row>
    <row r="288" spans="1:10" x14ac:dyDescent="0.25">
      <c r="A288" s="48">
        <v>285</v>
      </c>
      <c r="B288" s="48" t="s">
        <v>488</v>
      </c>
      <c r="C288" s="78">
        <v>0.18302422755610959</v>
      </c>
      <c r="D288" s="39">
        <v>0.34999999674744531</v>
      </c>
      <c r="E288" s="71">
        <v>1864500</v>
      </c>
      <c r="F288" s="71">
        <v>1108032</v>
      </c>
      <c r="G288" s="71">
        <v>10000</v>
      </c>
      <c r="H288" s="71">
        <v>28538</v>
      </c>
      <c r="I288" s="73">
        <v>756468</v>
      </c>
      <c r="J288" s="71">
        <v>151434935</v>
      </c>
    </row>
    <row r="289" spans="1:10" x14ac:dyDescent="0.25">
      <c r="A289" s="8">
        <v>286</v>
      </c>
      <c r="B289" s="8" t="s">
        <v>488</v>
      </c>
      <c r="C289" s="78">
        <v>0.18165487312420689</v>
      </c>
      <c r="D289" s="39">
        <v>0.34999999917961439</v>
      </c>
      <c r="E289" s="75">
        <v>1874500</v>
      </c>
      <c r="F289" s="75">
        <v>1137326</v>
      </c>
      <c r="G289" s="75">
        <v>10000</v>
      </c>
      <c r="H289" s="75">
        <v>29294</v>
      </c>
      <c r="I289" s="73">
        <v>737174</v>
      </c>
      <c r="J289" s="75">
        <v>152172109</v>
      </c>
    </row>
    <row r="290" spans="1:10" x14ac:dyDescent="0.25">
      <c r="A290" s="48">
        <v>287</v>
      </c>
      <c r="B290" s="48" t="s">
        <v>489</v>
      </c>
      <c r="C290" s="78">
        <v>0.180281259668745</v>
      </c>
      <c r="D290" s="39">
        <v>0.34999999753234301</v>
      </c>
      <c r="E290" s="71">
        <v>1884500</v>
      </c>
      <c r="F290" s="71">
        <v>1167392</v>
      </c>
      <c r="G290" s="71">
        <v>10000</v>
      </c>
      <c r="H290" s="71">
        <v>30066</v>
      </c>
      <c r="I290" s="73">
        <v>717108</v>
      </c>
      <c r="J290" s="71">
        <v>152889217</v>
      </c>
    </row>
    <row r="291" spans="1:10" x14ac:dyDescent="0.25">
      <c r="A291" s="8">
        <v>288</v>
      </c>
      <c r="B291" s="8" t="s">
        <v>490</v>
      </c>
      <c r="C291" s="78">
        <v>0.17890339403571301</v>
      </c>
      <c r="D291" s="39">
        <v>0.34999999880948979</v>
      </c>
      <c r="E291" s="75">
        <v>1894500</v>
      </c>
      <c r="F291" s="75">
        <v>1198255</v>
      </c>
      <c r="G291" s="75">
        <v>10000</v>
      </c>
      <c r="H291" s="75">
        <v>30863</v>
      </c>
      <c r="I291" s="73">
        <v>696245</v>
      </c>
      <c r="J291" s="75">
        <v>153585462</v>
      </c>
    </row>
    <row r="292" spans="1:10" x14ac:dyDescent="0.25">
      <c r="A292" s="48">
        <v>289</v>
      </c>
      <c r="B292" s="48" t="s">
        <v>491</v>
      </c>
      <c r="C292" s="78">
        <v>0.1775212830232441</v>
      </c>
      <c r="D292" s="39">
        <v>0.34999999697254741</v>
      </c>
      <c r="E292" s="71">
        <v>1904500</v>
      </c>
      <c r="F292" s="71">
        <v>1229932</v>
      </c>
      <c r="G292" s="71">
        <v>10000</v>
      </c>
      <c r="H292" s="71">
        <v>31677</v>
      </c>
      <c r="I292" s="73">
        <v>674568</v>
      </c>
      <c r="J292" s="71">
        <v>154260030</v>
      </c>
    </row>
    <row r="293" spans="1:10" x14ac:dyDescent="0.25">
      <c r="A293" s="8">
        <v>290</v>
      </c>
      <c r="B293" s="8" t="s">
        <v>492</v>
      </c>
      <c r="C293" s="78">
        <v>0.17613493337702291</v>
      </c>
      <c r="D293" s="39">
        <v>0.3499999998289004</v>
      </c>
      <c r="E293" s="75">
        <v>1914500</v>
      </c>
      <c r="F293" s="75">
        <v>1262449</v>
      </c>
      <c r="G293" s="75">
        <v>10000</v>
      </c>
      <c r="H293" s="75">
        <v>32517</v>
      </c>
      <c r="I293" s="73">
        <v>652051</v>
      </c>
      <c r="J293" s="75">
        <v>154912081</v>
      </c>
    </row>
    <row r="294" spans="1:10" x14ac:dyDescent="0.25">
      <c r="A294" s="48">
        <v>291</v>
      </c>
      <c r="B294" s="48" t="s">
        <v>492</v>
      </c>
      <c r="C294" s="78">
        <v>0.17474435178597239</v>
      </c>
      <c r="D294" s="39">
        <v>0.3499999994120413</v>
      </c>
      <c r="E294" s="71">
        <v>1924500</v>
      </c>
      <c r="F294" s="71">
        <v>1295823</v>
      </c>
      <c r="G294" s="71">
        <v>10000</v>
      </c>
      <c r="H294" s="71">
        <v>33374</v>
      </c>
      <c r="I294" s="73">
        <v>628677</v>
      </c>
      <c r="J294" s="71">
        <v>155540758</v>
      </c>
    </row>
    <row r="295" spans="1:10" x14ac:dyDescent="0.25">
      <c r="A295" s="8">
        <v>292</v>
      </c>
      <c r="B295" s="8" t="s">
        <v>493</v>
      </c>
      <c r="C295" s="78">
        <v>0.17334954487821</v>
      </c>
      <c r="D295" s="39">
        <v>0.3499999979213263</v>
      </c>
      <c r="E295" s="75">
        <v>1934500</v>
      </c>
      <c r="F295" s="75">
        <v>1330080</v>
      </c>
      <c r="G295" s="75">
        <v>10000</v>
      </c>
      <c r="H295" s="75">
        <v>34257</v>
      </c>
      <c r="I295" s="73">
        <v>604420</v>
      </c>
      <c r="J295" s="75">
        <v>156145178</v>
      </c>
    </row>
    <row r="296" spans="1:10" x14ac:dyDescent="0.25">
      <c r="A296" s="48">
        <v>293</v>
      </c>
      <c r="B296" s="48" t="s">
        <v>494</v>
      </c>
      <c r="C296" s="78">
        <v>0.17195051921725629</v>
      </c>
      <c r="D296" s="39">
        <v>0.34999999914405783</v>
      </c>
      <c r="E296" s="71">
        <v>1944500</v>
      </c>
      <c r="F296" s="71">
        <v>1365244</v>
      </c>
      <c r="G296" s="71">
        <v>10000</v>
      </c>
      <c r="H296" s="71">
        <v>35164</v>
      </c>
      <c r="I296" s="73">
        <v>579256</v>
      </c>
      <c r="J296" s="71">
        <v>156724434</v>
      </c>
    </row>
    <row r="297" spans="1:10" x14ac:dyDescent="0.25">
      <c r="A297" s="8">
        <v>294</v>
      </c>
      <c r="B297" s="8" t="s">
        <v>495</v>
      </c>
      <c r="C297" s="78">
        <v>0.17054728129848629</v>
      </c>
      <c r="D297" s="39">
        <v>0.34999999855679981</v>
      </c>
      <c r="E297" s="75">
        <v>1954500</v>
      </c>
      <c r="F297" s="75">
        <v>1401336</v>
      </c>
      <c r="G297" s="75">
        <v>10000</v>
      </c>
      <c r="H297" s="75">
        <v>36092</v>
      </c>
      <c r="I297" s="73">
        <v>553164</v>
      </c>
      <c r="J297" s="75">
        <v>157277598</v>
      </c>
    </row>
    <row r="298" spans="1:10" x14ac:dyDescent="0.25">
      <c r="A298" s="48">
        <v>295</v>
      </c>
      <c r="B298" s="48" t="s">
        <v>496</v>
      </c>
      <c r="C298" s="78">
        <v>0.16913983754581061</v>
      </c>
      <c r="D298" s="39">
        <v>0.34999999848184699</v>
      </c>
      <c r="E298" s="71">
        <v>1964500</v>
      </c>
      <c r="F298" s="71">
        <v>1438383</v>
      </c>
      <c r="G298" s="71">
        <v>10000</v>
      </c>
      <c r="H298" s="71">
        <v>37047</v>
      </c>
      <c r="I298" s="73">
        <v>526117</v>
      </c>
      <c r="J298" s="71">
        <v>157803715</v>
      </c>
    </row>
    <row r="299" spans="1:10" x14ac:dyDescent="0.25">
      <c r="A299" s="8">
        <v>296</v>
      </c>
      <c r="B299" s="8" t="s">
        <v>497</v>
      </c>
      <c r="C299" s="78">
        <v>0.16772819430857491</v>
      </c>
      <c r="D299" s="39">
        <v>0.34999999786183278</v>
      </c>
      <c r="E299" s="75">
        <v>1974500</v>
      </c>
      <c r="F299" s="75">
        <v>1476409</v>
      </c>
      <c r="G299" s="75">
        <v>10000</v>
      </c>
      <c r="H299" s="75">
        <v>38026</v>
      </c>
      <c r="I299" s="73">
        <v>498091</v>
      </c>
      <c r="J299" s="75">
        <v>158301806</v>
      </c>
    </row>
    <row r="300" spans="1:10" x14ac:dyDescent="0.25">
      <c r="A300" s="48">
        <v>297</v>
      </c>
      <c r="B300" s="48" t="s">
        <v>498</v>
      </c>
      <c r="C300" s="78">
        <v>0.16631235785866769</v>
      </c>
      <c r="D300" s="39">
        <v>0.34999999849914148</v>
      </c>
      <c r="E300" s="71">
        <v>1984500</v>
      </c>
      <c r="F300" s="71">
        <v>1515441</v>
      </c>
      <c r="G300" s="71">
        <v>10000</v>
      </c>
      <c r="H300" s="71">
        <v>39032</v>
      </c>
      <c r="I300" s="73">
        <v>469059</v>
      </c>
      <c r="J300" s="71">
        <v>158770865</v>
      </c>
    </row>
    <row r="301" spans="1:10" x14ac:dyDescent="0.25">
      <c r="A301" s="8">
        <v>298</v>
      </c>
      <c r="B301" s="8" t="s">
        <v>498</v>
      </c>
      <c r="C301" s="78">
        <v>0.16489233438782491</v>
      </c>
      <c r="D301" s="39">
        <v>0.34999999818796718</v>
      </c>
      <c r="E301" s="75">
        <v>1994500</v>
      </c>
      <c r="F301" s="75">
        <v>1555504</v>
      </c>
      <c r="G301" s="75">
        <v>10000</v>
      </c>
      <c r="H301" s="75">
        <v>40063</v>
      </c>
      <c r="I301" s="73">
        <v>438996</v>
      </c>
      <c r="J301" s="75">
        <v>159209861</v>
      </c>
    </row>
    <row r="302" spans="1:10" x14ac:dyDescent="0.25">
      <c r="A302" s="48">
        <v>299</v>
      </c>
      <c r="B302" s="48" t="s">
        <v>499</v>
      </c>
      <c r="C302" s="78">
        <v>0.16346813000512281</v>
      </c>
      <c r="D302" s="39">
        <v>0.34999999901650503</v>
      </c>
      <c r="E302" s="71">
        <v>2004500</v>
      </c>
      <c r="F302" s="71">
        <v>1596627</v>
      </c>
      <c r="G302" s="71">
        <v>10000</v>
      </c>
      <c r="H302" s="71">
        <v>41123</v>
      </c>
      <c r="I302" s="73">
        <v>407873</v>
      </c>
      <c r="J302" s="71">
        <v>159617734</v>
      </c>
    </row>
    <row r="303" spans="1:10" x14ac:dyDescent="0.25">
      <c r="A303" s="8">
        <v>300</v>
      </c>
      <c r="B303" s="8" t="s">
        <v>500</v>
      </c>
      <c r="C303" s="78">
        <v>0.16203975073464891</v>
      </c>
      <c r="D303" s="39">
        <v>0.34999999825808281</v>
      </c>
      <c r="E303" s="75">
        <v>2014500</v>
      </c>
      <c r="F303" s="75">
        <v>1638836</v>
      </c>
      <c r="G303" s="75">
        <v>10000</v>
      </c>
      <c r="H303" s="75">
        <v>42209</v>
      </c>
      <c r="I303" s="73">
        <v>375664</v>
      </c>
      <c r="J303" s="75">
        <v>159993398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8" customWidth="1"/>
    <col min="2" max="4" width="9" customWidth="1"/>
    <col min="5" max="7" width="11" customWidth="1"/>
    <col min="8" max="10" width="12" customWidth="1"/>
    <col min="11" max="11" width="14" customWidth="1"/>
  </cols>
  <sheetData>
    <row r="1" spans="1:14" ht="17.25" x14ac:dyDescent="0.3">
      <c r="A1" s="111" t="s">
        <v>501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4" x14ac:dyDescent="0.25">
      <c r="A2" s="110" t="s">
        <v>502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4" spans="1:14" x14ac:dyDescent="0.25">
      <c r="A4" s="79"/>
      <c r="F4" s="112" t="s">
        <v>503</v>
      </c>
      <c r="G4" s="102"/>
      <c r="H4" s="102"/>
      <c r="I4" s="118" t="s">
        <v>504</v>
      </c>
      <c r="J4" s="102"/>
      <c r="K4" s="102"/>
      <c r="L4" s="116" t="s">
        <v>505</v>
      </c>
      <c r="M4" s="102"/>
      <c r="N4" s="102"/>
    </row>
    <row r="5" spans="1:14" ht="26.25" x14ac:dyDescent="0.25">
      <c r="A5" s="22" t="s">
        <v>21</v>
      </c>
      <c r="B5" s="22" t="s">
        <v>506</v>
      </c>
      <c r="C5" s="22" t="s">
        <v>507</v>
      </c>
      <c r="D5" s="22" t="s">
        <v>508</v>
      </c>
      <c r="E5" s="22" t="s">
        <v>506</v>
      </c>
      <c r="F5" s="22" t="s">
        <v>507</v>
      </c>
      <c r="G5" s="22" t="s">
        <v>508</v>
      </c>
      <c r="H5" s="22" t="s">
        <v>506</v>
      </c>
      <c r="I5" s="22" t="s">
        <v>507</v>
      </c>
      <c r="J5" s="22" t="s">
        <v>508</v>
      </c>
      <c r="K5" s="22" t="s">
        <v>509</v>
      </c>
    </row>
    <row r="6" spans="1:14" x14ac:dyDescent="0.25">
      <c r="A6" s="48" t="s">
        <v>510</v>
      </c>
      <c r="B6" s="80">
        <v>0.45661134700268502</v>
      </c>
      <c r="C6" s="71">
        <v>8000</v>
      </c>
      <c r="D6" s="71">
        <v>0</v>
      </c>
      <c r="E6" s="35">
        <v>0.45709096895874451</v>
      </c>
      <c r="F6" s="81">
        <v>2500</v>
      </c>
      <c r="G6" s="73">
        <v>33000</v>
      </c>
      <c r="H6" s="35">
        <v>0.45661134700268502</v>
      </c>
      <c r="I6" s="82">
        <v>8000</v>
      </c>
      <c r="J6" s="71">
        <v>0</v>
      </c>
      <c r="K6" s="83">
        <v>0</v>
      </c>
    </row>
    <row r="7" spans="1:14" x14ac:dyDescent="0.25">
      <c r="A7" s="8" t="s">
        <v>511</v>
      </c>
      <c r="B7" s="84">
        <v>0.45991105512181102</v>
      </c>
      <c r="C7" s="75">
        <v>36000</v>
      </c>
      <c r="D7" s="75">
        <v>0</v>
      </c>
      <c r="E7" s="35">
        <v>0.44548499002471331</v>
      </c>
      <c r="F7" s="81">
        <v>2500</v>
      </c>
      <c r="G7" s="73">
        <v>270000</v>
      </c>
      <c r="H7" s="35">
        <v>0.45991105512181102</v>
      </c>
      <c r="I7" s="82">
        <v>36000</v>
      </c>
      <c r="J7" s="71">
        <v>0</v>
      </c>
      <c r="K7" s="83">
        <v>0</v>
      </c>
    </row>
    <row r="8" spans="1:14" x14ac:dyDescent="0.25">
      <c r="A8" s="48" t="s">
        <v>512</v>
      </c>
      <c r="B8" s="80">
        <v>0.45726202376046748</v>
      </c>
      <c r="C8" s="71">
        <v>66000</v>
      </c>
      <c r="D8" s="71">
        <v>0</v>
      </c>
      <c r="E8" s="35">
        <v>0.42713785903759038</v>
      </c>
      <c r="F8" s="81">
        <v>2500</v>
      </c>
      <c r="G8" s="73">
        <v>867000</v>
      </c>
      <c r="H8" s="35">
        <v>0.45726202376046748</v>
      </c>
      <c r="I8" s="82">
        <v>66000</v>
      </c>
      <c r="J8" s="71">
        <v>0</v>
      </c>
      <c r="K8" s="83">
        <v>0</v>
      </c>
    </row>
    <row r="9" spans="1:14" x14ac:dyDescent="0.25">
      <c r="A9" s="8" t="s">
        <v>513</v>
      </c>
      <c r="B9" s="84">
        <v>0.43434497876209488</v>
      </c>
      <c r="C9" s="75">
        <v>131500</v>
      </c>
      <c r="D9" s="75">
        <v>0</v>
      </c>
      <c r="E9" s="35">
        <v>0.38496878574664961</v>
      </c>
      <c r="F9" s="81">
        <v>2500</v>
      </c>
      <c r="G9" s="73">
        <v>3174000</v>
      </c>
      <c r="H9" s="35">
        <v>0.43434497876209488</v>
      </c>
      <c r="I9" s="82">
        <v>131500</v>
      </c>
      <c r="J9" s="71">
        <v>0</v>
      </c>
      <c r="K9" s="83">
        <v>0</v>
      </c>
    </row>
    <row r="10" spans="1:14" x14ac:dyDescent="0.25">
      <c r="A10" s="48" t="s">
        <v>514</v>
      </c>
      <c r="B10" s="80">
        <v>0.40916958689110061</v>
      </c>
      <c r="C10" s="71">
        <v>220500</v>
      </c>
      <c r="D10" s="71">
        <v>0</v>
      </c>
      <c r="E10" s="85">
        <v>0.34999998711147667</v>
      </c>
      <c r="F10" s="81">
        <v>5845</v>
      </c>
      <c r="G10" s="73">
        <v>7324064</v>
      </c>
      <c r="H10" s="35">
        <v>0.40916958689110061</v>
      </c>
      <c r="I10" s="82">
        <v>220500</v>
      </c>
      <c r="J10" s="71">
        <v>0</v>
      </c>
      <c r="K10" s="83">
        <v>0</v>
      </c>
    </row>
    <row r="11" spans="1:14" x14ac:dyDescent="0.25">
      <c r="A11" s="8" t="s">
        <v>515</v>
      </c>
      <c r="B11" s="84">
        <v>0.37193175093586572</v>
      </c>
      <c r="C11" s="75">
        <v>399500</v>
      </c>
      <c r="D11" s="75">
        <v>0</v>
      </c>
      <c r="E11" s="85">
        <v>0.34999989301202722</v>
      </c>
      <c r="F11" s="81">
        <v>14953</v>
      </c>
      <c r="G11" s="73">
        <v>18202420</v>
      </c>
      <c r="H11" s="35">
        <v>0.37174470471682258</v>
      </c>
      <c r="I11" s="82">
        <v>397833</v>
      </c>
      <c r="J11" s="72">
        <v>44455</v>
      </c>
      <c r="K11" s="83">
        <v>-4.1727158948685859E-3</v>
      </c>
    </row>
    <row r="12" spans="1:14" x14ac:dyDescent="0.25">
      <c r="A12" s="48" t="s">
        <v>516</v>
      </c>
      <c r="B12" s="50">
        <v>0.34465102042752488</v>
      </c>
      <c r="C12" s="71">
        <v>519500</v>
      </c>
      <c r="D12" s="71">
        <v>0</v>
      </c>
      <c r="E12" s="85">
        <v>0.34999994651482252</v>
      </c>
      <c r="F12" s="81">
        <v>27971</v>
      </c>
      <c r="G12" s="73">
        <v>28784987</v>
      </c>
      <c r="H12" s="39">
        <v>0.34442376810756281</v>
      </c>
      <c r="I12" s="82">
        <v>514708</v>
      </c>
      <c r="J12" s="72">
        <v>94672</v>
      </c>
      <c r="K12" s="83">
        <v>-9.2242540904716071E-3</v>
      </c>
    </row>
    <row r="13" spans="1:14" x14ac:dyDescent="0.25">
      <c r="A13" s="8" t="s">
        <v>517</v>
      </c>
      <c r="B13" s="25">
        <v>0.30374166601068231</v>
      </c>
      <c r="C13" s="75">
        <v>814500</v>
      </c>
      <c r="D13" s="75">
        <v>0</v>
      </c>
      <c r="E13" s="85">
        <v>0.34999997939579169</v>
      </c>
      <c r="F13" s="81">
        <v>71560</v>
      </c>
      <c r="G13" s="73">
        <v>50504602</v>
      </c>
      <c r="H13" s="39">
        <v>0.30302152592632858</v>
      </c>
      <c r="I13" s="82">
        <v>804500</v>
      </c>
      <c r="J13" s="72">
        <v>384472</v>
      </c>
      <c r="K13" s="83">
        <v>-1.2277470841006751E-2</v>
      </c>
    </row>
    <row r="14" spans="1:14" x14ac:dyDescent="0.25">
      <c r="A14" s="48" t="s">
        <v>518</v>
      </c>
      <c r="B14" s="50">
        <v>0.27951195493441722</v>
      </c>
      <c r="C14" s="71">
        <v>1054500</v>
      </c>
      <c r="D14" s="71">
        <v>0</v>
      </c>
      <c r="E14" s="85">
        <v>0.34999999388539998</v>
      </c>
      <c r="F14" s="81">
        <v>133858</v>
      </c>
      <c r="G14" s="73">
        <v>70633824</v>
      </c>
      <c r="H14" s="39">
        <v>0.27878623840178829</v>
      </c>
      <c r="I14" s="82">
        <v>1044500</v>
      </c>
      <c r="J14" s="72">
        <v>624472</v>
      </c>
      <c r="K14" s="83">
        <v>-9.4831673779042207E-3</v>
      </c>
    </row>
    <row r="15" spans="1:14" x14ac:dyDescent="0.25">
      <c r="A15" s="8" t="s">
        <v>519</v>
      </c>
      <c r="B15" s="25">
        <v>0.2401322388997037</v>
      </c>
      <c r="C15" s="75">
        <v>1414500</v>
      </c>
      <c r="D15" s="75">
        <v>0</v>
      </c>
      <c r="E15" s="85">
        <v>0.34999999013994071</v>
      </c>
      <c r="F15" s="81">
        <v>342454</v>
      </c>
      <c r="G15" s="73">
        <v>107156822</v>
      </c>
      <c r="H15" s="85">
        <v>0.23870733885967499</v>
      </c>
      <c r="I15" s="82">
        <v>1314500</v>
      </c>
      <c r="J15" s="72">
        <v>1434472</v>
      </c>
      <c r="K15" s="83">
        <v>-7.0696359137504425E-2</v>
      </c>
    </row>
    <row r="16" spans="1:14" x14ac:dyDescent="0.25">
      <c r="A16" s="48" t="s">
        <v>520</v>
      </c>
      <c r="B16" s="50">
        <v>0.21078452667867689</v>
      </c>
      <c r="C16" s="71">
        <v>1654500</v>
      </c>
      <c r="D16" s="71">
        <v>0</v>
      </c>
      <c r="E16" s="85">
        <v>0.34999999527758913</v>
      </c>
      <c r="F16" s="81">
        <v>640584</v>
      </c>
      <c r="G16" s="73">
        <v>132529626</v>
      </c>
      <c r="H16" s="85">
        <v>0.20124024598269721</v>
      </c>
      <c r="I16" s="82">
        <v>1314500</v>
      </c>
      <c r="J16" s="72">
        <v>6834472</v>
      </c>
      <c r="K16" s="86">
        <v>-0.20550015110305231</v>
      </c>
    </row>
    <row r="17" spans="1:11" x14ac:dyDescent="0.25">
      <c r="A17" s="8" t="s">
        <v>521</v>
      </c>
      <c r="B17" s="25">
        <v>0.16203975073464891</v>
      </c>
      <c r="C17" s="75">
        <v>2014500</v>
      </c>
      <c r="D17" s="75">
        <v>0</v>
      </c>
      <c r="E17" s="85">
        <v>0.34999999825808281</v>
      </c>
      <c r="F17" s="72">
        <v>1638836</v>
      </c>
      <c r="G17" s="73">
        <v>159993398</v>
      </c>
      <c r="H17" s="85">
        <v>0.14928922712713061</v>
      </c>
      <c r="I17" s="82">
        <v>1314500</v>
      </c>
      <c r="J17" s="72">
        <v>25734472</v>
      </c>
      <c r="K17" s="87">
        <v>-0.34748076445768178</v>
      </c>
    </row>
    <row r="20" spans="1:11" x14ac:dyDescent="0.25">
      <c r="A20" s="117" t="s">
        <v>522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</row>
    <row r="21" spans="1:11" x14ac:dyDescent="0.25">
      <c r="A21" s="113" t="s">
        <v>523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</row>
    <row r="22" spans="1:11" x14ac:dyDescent="0.25">
      <c r="A22" s="113" t="s">
        <v>524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</row>
    <row r="23" spans="1:11" x14ac:dyDescent="0.25">
      <c r="A23" s="113" t="s">
        <v>525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</row>
  </sheetData>
  <mergeCells count="9">
    <mergeCell ref="L4:N4"/>
    <mergeCell ref="A1:K1"/>
    <mergeCell ref="A23:K23"/>
    <mergeCell ref="A22:K22"/>
    <mergeCell ref="A20:K20"/>
    <mergeCell ref="A21:K21"/>
    <mergeCell ref="A2:K2"/>
    <mergeCell ref="F4:H4"/>
    <mergeCell ref="I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K35"/>
  <sheetViews>
    <sheetView topLeftCell="A3" workbookViewId="0">
      <selection sqref="A1:K1"/>
    </sheetView>
  </sheetViews>
  <sheetFormatPr defaultRowHeight="15" x14ac:dyDescent="0.25"/>
  <cols>
    <col min="1" max="1" width="22" customWidth="1"/>
    <col min="2" max="10" width="15" customWidth="1"/>
  </cols>
  <sheetData>
    <row r="1" spans="1:11" ht="21.95" customHeight="1" x14ac:dyDescent="0.25">
      <c r="A1" s="119" t="s">
        <v>526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25">
      <c r="A2" s="123" t="s">
        <v>527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x14ac:dyDescent="0.25">
      <c r="B3" s="120" t="s">
        <v>528</v>
      </c>
      <c r="C3" s="102"/>
      <c r="D3" s="102"/>
      <c r="E3" s="124" t="s">
        <v>529</v>
      </c>
      <c r="F3" s="102"/>
      <c r="G3" s="102"/>
      <c r="H3" s="125" t="s">
        <v>530</v>
      </c>
      <c r="I3" s="102"/>
      <c r="J3" s="102"/>
    </row>
    <row r="4" spans="1:11" x14ac:dyDescent="0.25">
      <c r="A4" s="88" t="s">
        <v>531</v>
      </c>
      <c r="B4" s="89" t="s">
        <v>532</v>
      </c>
      <c r="C4" s="89" t="s">
        <v>533</v>
      </c>
      <c r="D4" s="89" t="s">
        <v>507</v>
      </c>
      <c r="E4" s="90" t="s">
        <v>532</v>
      </c>
      <c r="F4" s="90" t="s">
        <v>533</v>
      </c>
      <c r="G4" s="90" t="s">
        <v>507</v>
      </c>
      <c r="H4" s="91" t="s">
        <v>532</v>
      </c>
      <c r="I4" s="91" t="s">
        <v>533</v>
      </c>
      <c r="J4" s="91" t="s">
        <v>507</v>
      </c>
    </row>
    <row r="5" spans="1:11" x14ac:dyDescent="0.25">
      <c r="A5" s="92" t="s">
        <v>534</v>
      </c>
    </row>
    <row r="6" spans="1:11" x14ac:dyDescent="0.25">
      <c r="A6" t="s">
        <v>24</v>
      </c>
      <c r="B6" s="93">
        <v>0.45661134700268502</v>
      </c>
      <c r="C6" s="94">
        <v>0.1150660594446766</v>
      </c>
      <c r="D6" s="75">
        <v>8000</v>
      </c>
      <c r="E6" s="93">
        <v>0.46505754499332869</v>
      </c>
      <c r="F6" s="94">
        <v>0.1171945013383188</v>
      </c>
      <c r="G6" s="75">
        <v>8000</v>
      </c>
      <c r="H6" s="93">
        <v>0.47022434423457882</v>
      </c>
      <c r="I6" s="94">
        <v>0.1184965347471139</v>
      </c>
      <c r="J6" s="75">
        <v>8000</v>
      </c>
    </row>
    <row r="7" spans="1:11" x14ac:dyDescent="0.25">
      <c r="A7" t="s">
        <v>26</v>
      </c>
      <c r="B7" s="93">
        <v>0.45991105512181102</v>
      </c>
      <c r="C7" s="94">
        <v>0.60708259276079046</v>
      </c>
      <c r="D7" s="75">
        <v>36000</v>
      </c>
      <c r="E7" s="93">
        <v>0.4728076051972841</v>
      </c>
      <c r="F7" s="94">
        <v>0.62410603886041494</v>
      </c>
      <c r="G7" s="75">
        <v>36000</v>
      </c>
      <c r="H7" s="93">
        <v>0.48082841922538</v>
      </c>
      <c r="I7" s="94">
        <v>0.63469351337750157</v>
      </c>
      <c r="J7" s="75">
        <v>36000</v>
      </c>
    </row>
    <row r="8" spans="1:11" x14ac:dyDescent="0.25">
      <c r="A8" t="s">
        <v>28</v>
      </c>
      <c r="B8" s="93">
        <v>0.45726202376046748</v>
      </c>
      <c r="C8" s="94">
        <v>1.75039902695507</v>
      </c>
      <c r="D8" s="75">
        <v>66000</v>
      </c>
      <c r="E8" s="93">
        <v>0.47672220657767089</v>
      </c>
      <c r="F8" s="94">
        <v>1.8248926067793241</v>
      </c>
      <c r="G8" s="75">
        <v>66000</v>
      </c>
      <c r="H8" s="93">
        <v>0.48900908001234811</v>
      </c>
      <c r="I8" s="94">
        <v>1.871926758287269</v>
      </c>
      <c r="J8" s="75">
        <v>66000</v>
      </c>
    </row>
    <row r="9" spans="1:11" x14ac:dyDescent="0.25">
      <c r="A9" t="s">
        <v>30</v>
      </c>
      <c r="B9" s="93">
        <v>0.44667565219863908</v>
      </c>
      <c r="C9" s="94">
        <v>3.4733498714966169</v>
      </c>
      <c r="D9" s="75">
        <v>96000</v>
      </c>
      <c r="E9" s="93">
        <v>0.47378972101848899</v>
      </c>
      <c r="F9" s="94">
        <v>3.6841888706397699</v>
      </c>
      <c r="G9" s="75">
        <v>96000</v>
      </c>
      <c r="H9" s="93">
        <v>0.49122984490036492</v>
      </c>
      <c r="I9" s="94">
        <v>3.819803273945237</v>
      </c>
      <c r="J9" s="75">
        <v>96000</v>
      </c>
    </row>
    <row r="10" spans="1:11" x14ac:dyDescent="0.25">
      <c r="A10" t="s">
        <v>32</v>
      </c>
      <c r="B10" s="93">
        <v>0.43434497876209488</v>
      </c>
      <c r="C10" s="94">
        <v>5.7750508376208129</v>
      </c>
      <c r="D10" s="75">
        <v>131500</v>
      </c>
      <c r="E10" s="93">
        <v>0.46917176142026817</v>
      </c>
      <c r="F10" s="94">
        <v>6.238107739843886</v>
      </c>
      <c r="G10" s="75">
        <v>131500</v>
      </c>
      <c r="H10" s="93">
        <v>0.49203329370436671</v>
      </c>
      <c r="I10" s="94">
        <v>6.5420746730932597</v>
      </c>
      <c r="J10" s="75">
        <v>131500</v>
      </c>
    </row>
    <row r="11" spans="1:11" x14ac:dyDescent="0.25">
      <c r="A11" t="s">
        <v>34</v>
      </c>
      <c r="B11" s="93">
        <v>0.42175501719256592</v>
      </c>
      <c r="C11" s="94">
        <v>8.7202067354734911</v>
      </c>
      <c r="D11" s="75">
        <v>173000</v>
      </c>
      <c r="E11" s="93">
        <v>0.46401473793309372</v>
      </c>
      <c r="F11" s="94">
        <v>9.5939687215046465</v>
      </c>
      <c r="G11" s="75">
        <v>173000</v>
      </c>
      <c r="H11" s="93">
        <v>0.49234606481518173</v>
      </c>
      <c r="I11" s="94">
        <v>10.1797472361187</v>
      </c>
      <c r="J11" s="75">
        <v>173000</v>
      </c>
    </row>
    <row r="12" spans="1:11" x14ac:dyDescent="0.25">
      <c r="A12" t="s">
        <v>35</v>
      </c>
      <c r="B12" s="93">
        <v>0.40916958689110061</v>
      </c>
      <c r="C12" s="94">
        <v>12.3585582024588</v>
      </c>
      <c r="D12" s="75">
        <v>220500</v>
      </c>
      <c r="E12" s="93">
        <v>0.45858653517428299</v>
      </c>
      <c r="F12" s="94">
        <v>13.851147708404049</v>
      </c>
      <c r="G12" s="75">
        <v>220500</v>
      </c>
      <c r="H12" s="93">
        <v>0.49243304081674028</v>
      </c>
      <c r="I12" s="94">
        <v>14.873447564828821</v>
      </c>
      <c r="J12" s="75">
        <v>220500</v>
      </c>
    </row>
    <row r="13" spans="1:11" x14ac:dyDescent="0.25">
      <c r="A13" t="s">
        <v>36</v>
      </c>
      <c r="B13" s="93">
        <v>0.39688243322844602</v>
      </c>
      <c r="C13" s="94">
        <v>16.788126925563269</v>
      </c>
      <c r="D13" s="75">
        <v>279500</v>
      </c>
      <c r="E13" s="93">
        <v>0.45307554699201918</v>
      </c>
      <c r="F13" s="94">
        <v>19.165095637762409</v>
      </c>
      <c r="G13" s="75">
        <v>279500</v>
      </c>
      <c r="H13" s="93">
        <v>0.49240406446076312</v>
      </c>
      <c r="I13" s="94">
        <v>20.828691926690279</v>
      </c>
      <c r="J13" s="75">
        <v>279500</v>
      </c>
    </row>
    <row r="14" spans="1:11" x14ac:dyDescent="0.25">
      <c r="A14" t="s">
        <v>37</v>
      </c>
      <c r="B14" s="93">
        <v>0.38464436260394602</v>
      </c>
      <c r="C14" s="94">
        <v>22.030890512503611</v>
      </c>
      <c r="D14" s="75">
        <v>339500</v>
      </c>
      <c r="E14" s="93">
        <v>0.44740828891800449</v>
      </c>
      <c r="F14" s="94">
        <v>25.625757156067628</v>
      </c>
      <c r="G14" s="75">
        <v>339500</v>
      </c>
      <c r="H14" s="93">
        <v>0.49229962896036839</v>
      </c>
      <c r="I14" s="94">
        <v>28.196953548334061</v>
      </c>
      <c r="J14" s="75">
        <v>339500</v>
      </c>
    </row>
    <row r="15" spans="1:11" x14ac:dyDescent="0.25">
      <c r="A15" t="s">
        <v>38</v>
      </c>
      <c r="B15" s="93">
        <v>0.37193175093586572</v>
      </c>
      <c r="C15" s="94">
        <v>27.94397631131346</v>
      </c>
      <c r="D15" s="75">
        <v>399500</v>
      </c>
      <c r="E15" s="93">
        <v>0.44136443411712267</v>
      </c>
      <c r="F15" s="94">
        <v>33.160592664087659</v>
      </c>
      <c r="G15" s="75">
        <v>399500</v>
      </c>
      <c r="H15" s="93">
        <v>0.49213132011551719</v>
      </c>
      <c r="I15" s="94">
        <v>36.974810342919042</v>
      </c>
      <c r="J15" s="75">
        <v>399500</v>
      </c>
    </row>
    <row r="16" spans="1:11" x14ac:dyDescent="0.25">
      <c r="A16" t="s">
        <v>39</v>
      </c>
      <c r="B16" s="93">
        <v>0.35860444379505468</v>
      </c>
      <c r="C16" s="94">
        <v>34.378690817744307</v>
      </c>
      <c r="D16" s="75">
        <v>459500</v>
      </c>
      <c r="E16" s="93">
        <v>0.43487146751604527</v>
      </c>
      <c r="F16" s="94">
        <v>41.690257847828242</v>
      </c>
      <c r="G16" s="75">
        <v>459500</v>
      </c>
      <c r="H16" s="93">
        <v>0.49190977403656388</v>
      </c>
      <c r="I16" s="94">
        <v>47.158406217337308</v>
      </c>
      <c r="J16" s="75">
        <v>459500</v>
      </c>
    </row>
    <row r="17" spans="1:11" x14ac:dyDescent="0.25">
      <c r="A17" t="s">
        <v>40</v>
      </c>
      <c r="B17" s="95">
        <v>0.34465102042752488</v>
      </c>
      <c r="C17" s="94">
        <v>41.180282524762383</v>
      </c>
      <c r="D17" s="75">
        <v>519500</v>
      </c>
      <c r="E17" s="93">
        <v>0.42790637532516018</v>
      </c>
      <c r="F17" s="94">
        <v>51.127965349351442</v>
      </c>
      <c r="G17" s="75">
        <v>519500</v>
      </c>
      <c r="H17" s="93">
        <v>0.49164236240296921</v>
      </c>
      <c r="I17" s="94">
        <v>58.743396029356383</v>
      </c>
      <c r="J17" s="75">
        <v>519500</v>
      </c>
    </row>
    <row r="18" spans="1:11" x14ac:dyDescent="0.25">
      <c r="A18" t="s">
        <v>41</v>
      </c>
      <c r="B18" s="95">
        <v>0.33009792512788211</v>
      </c>
      <c r="C18" s="94">
        <v>48.187695110168221</v>
      </c>
      <c r="D18" s="75">
        <v>579500</v>
      </c>
      <c r="E18" s="93">
        <v>0.42046024495077511</v>
      </c>
      <c r="F18" s="94">
        <v>61.37878655791414</v>
      </c>
      <c r="G18" s="75">
        <v>579500</v>
      </c>
      <c r="H18" s="93">
        <v>0.49133363175742711</v>
      </c>
      <c r="I18" s="94">
        <v>71.724883563949206</v>
      </c>
      <c r="J18" s="75">
        <v>579500</v>
      </c>
    </row>
    <row r="19" spans="1:11" x14ac:dyDescent="0.25">
      <c r="A19" t="s">
        <v>42</v>
      </c>
      <c r="B19" s="95">
        <v>0.31623910110484432</v>
      </c>
      <c r="C19" s="94">
        <v>55.871859426799467</v>
      </c>
      <c r="D19" s="75">
        <v>694500</v>
      </c>
      <c r="E19" s="93">
        <v>0.4131094554447643</v>
      </c>
      <c r="F19" s="94">
        <v>72.986526150159179</v>
      </c>
      <c r="G19" s="75">
        <v>694500</v>
      </c>
      <c r="H19" s="93">
        <v>0.49101477627599888</v>
      </c>
      <c r="I19" s="94">
        <v>86.75052661333838</v>
      </c>
      <c r="J19" s="75">
        <v>694500</v>
      </c>
    </row>
    <row r="20" spans="1:11" x14ac:dyDescent="0.25">
      <c r="A20" t="s">
        <v>43</v>
      </c>
      <c r="B20" s="95">
        <v>0.30374166601068231</v>
      </c>
      <c r="C20" s="94">
        <v>64.737068760188748</v>
      </c>
      <c r="D20" s="75">
        <v>814500</v>
      </c>
      <c r="E20" s="93">
        <v>0.4061936373366794</v>
      </c>
      <c r="F20" s="94">
        <v>86.572862312841153</v>
      </c>
      <c r="G20" s="75">
        <v>814500</v>
      </c>
      <c r="H20" s="93">
        <v>0.4907045808490581</v>
      </c>
      <c r="I20" s="94">
        <v>104.5848487255215</v>
      </c>
      <c r="J20" s="75">
        <v>814500</v>
      </c>
    </row>
    <row r="21" spans="1:11" x14ac:dyDescent="0.25">
      <c r="A21" t="s">
        <v>44</v>
      </c>
      <c r="B21" s="95">
        <v>0.29167815599005847</v>
      </c>
      <c r="C21" s="94">
        <v>74.47943377574947</v>
      </c>
      <c r="D21" s="75">
        <v>934500</v>
      </c>
      <c r="E21" s="93">
        <v>0.39931067627284589</v>
      </c>
      <c r="F21" s="94">
        <v>101.9631825649187</v>
      </c>
      <c r="G21" s="75">
        <v>934500</v>
      </c>
      <c r="H21" s="93">
        <v>0.49038490460269191</v>
      </c>
      <c r="I21" s="94">
        <v>125.2188046204882</v>
      </c>
      <c r="J21" s="75">
        <v>934500</v>
      </c>
    </row>
    <row r="22" spans="1:11" x14ac:dyDescent="0.25">
      <c r="A22" t="s">
        <v>45</v>
      </c>
      <c r="B22" s="95">
        <v>0.27951195493441722</v>
      </c>
      <c r="C22" s="94">
        <v>84.78268421852718</v>
      </c>
      <c r="D22" s="75">
        <v>1054500</v>
      </c>
      <c r="E22" s="93">
        <v>0.39220930282539168</v>
      </c>
      <c r="F22" s="94">
        <v>118.96649457020909</v>
      </c>
      <c r="G22" s="75">
        <v>1054500</v>
      </c>
      <c r="H22" s="93">
        <v>0.49004431515580188</v>
      </c>
      <c r="I22" s="94">
        <v>148.64220185031849</v>
      </c>
      <c r="J22" s="75">
        <v>1054500</v>
      </c>
    </row>
    <row r="23" spans="1:11" x14ac:dyDescent="0.25">
      <c r="A23" t="s">
        <v>46</v>
      </c>
      <c r="B23" s="95">
        <v>0.26695139331037088</v>
      </c>
      <c r="C23" s="94">
        <v>95.317664495401019</v>
      </c>
      <c r="D23" s="75">
        <v>1174500</v>
      </c>
      <c r="E23" s="93">
        <v>0.38473614964990122</v>
      </c>
      <c r="F23" s="94">
        <v>137.37388959399371</v>
      </c>
      <c r="G23" s="75">
        <v>1174500</v>
      </c>
      <c r="H23" s="93">
        <v>0.48967555959664388</v>
      </c>
      <c r="I23" s="94">
        <v>174.84355530957771</v>
      </c>
      <c r="J23" s="75">
        <v>1174500</v>
      </c>
    </row>
    <row r="24" spans="1:11" x14ac:dyDescent="0.25">
      <c r="A24" t="s">
        <v>47</v>
      </c>
      <c r="B24" s="95">
        <v>0.25384776286147742</v>
      </c>
      <c r="C24" s="94">
        <v>105.7418087065256</v>
      </c>
      <c r="D24" s="75">
        <v>1294500</v>
      </c>
      <c r="E24" s="93">
        <v>0.37679654553350178</v>
      </c>
      <c r="F24" s="94">
        <v>156.9568618212534</v>
      </c>
      <c r="G24" s="75">
        <v>1294500</v>
      </c>
      <c r="H24" s="93">
        <v>0.48927376701809222</v>
      </c>
      <c r="I24" s="94">
        <v>203.80992329398839</v>
      </c>
      <c r="J24" s="75">
        <v>1294500</v>
      </c>
    </row>
    <row r="25" spans="1:11" x14ac:dyDescent="0.25">
      <c r="A25" t="s">
        <v>535</v>
      </c>
      <c r="B25" s="96">
        <v>0.2401322388997037</v>
      </c>
      <c r="C25" s="94">
        <v>115.698594288744</v>
      </c>
      <c r="D25" s="75">
        <v>1414500</v>
      </c>
      <c r="E25" s="93">
        <v>0.36832928614347948</v>
      </c>
      <c r="F25" s="94">
        <v>177.46547001536209</v>
      </c>
      <c r="G25" s="75">
        <v>1414500</v>
      </c>
      <c r="H25" s="93">
        <v>0.4888353191021359</v>
      </c>
      <c r="I25" s="94">
        <v>235.52672276723831</v>
      </c>
      <c r="J25" s="75">
        <v>1414500</v>
      </c>
    </row>
    <row r="26" spans="1:11" x14ac:dyDescent="0.25">
      <c r="A26" s="122" t="s">
        <v>536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</row>
    <row r="27" spans="1:11" x14ac:dyDescent="0.25">
      <c r="A27" t="s">
        <v>537</v>
      </c>
      <c r="B27" s="96">
        <v>0.24991559681726111</v>
      </c>
      <c r="C27" s="94">
        <v>120.4123335337182</v>
      </c>
      <c r="D27" s="97" t="s">
        <v>538</v>
      </c>
      <c r="E27" s="93">
        <v>0.40288111379796721</v>
      </c>
      <c r="F27" s="94">
        <v>194.11295520122621</v>
      </c>
      <c r="G27" s="97" t="s">
        <v>538</v>
      </c>
      <c r="H27" s="93">
        <v>0.55083187317683535</v>
      </c>
      <c r="I27" s="94">
        <v>265.3974064790774</v>
      </c>
      <c r="J27" s="97" t="s">
        <v>538</v>
      </c>
    </row>
    <row r="28" spans="1:11" x14ac:dyDescent="0.25">
      <c r="A28" t="s">
        <v>539</v>
      </c>
      <c r="B28" s="95">
        <v>0.26009754383131639</v>
      </c>
      <c r="C28" s="94">
        <v>125.3181177884542</v>
      </c>
      <c r="D28" s="97" t="s">
        <v>538</v>
      </c>
      <c r="E28" s="93">
        <v>0.44067414121358472</v>
      </c>
      <c r="F28" s="94">
        <v>212.32208932639969</v>
      </c>
      <c r="G28" s="97" t="s">
        <v>538</v>
      </c>
      <c r="H28" s="93">
        <v>0.62069114209013687</v>
      </c>
      <c r="I28" s="94">
        <v>299.05644055273302</v>
      </c>
      <c r="J28" s="97" t="s">
        <v>538</v>
      </c>
    </row>
    <row r="29" spans="1:11" x14ac:dyDescent="0.25">
      <c r="A29" t="s">
        <v>540</v>
      </c>
      <c r="B29" s="95">
        <v>0.27069431907665192</v>
      </c>
      <c r="C29" s="94">
        <v>130.4237712629598</v>
      </c>
      <c r="D29" s="97" t="s">
        <v>538</v>
      </c>
      <c r="E29" s="93">
        <v>0.48201241528465572</v>
      </c>
      <c r="F29" s="94">
        <v>232.23936583313051</v>
      </c>
      <c r="G29" s="97" t="s">
        <v>538</v>
      </c>
      <c r="H29" s="93">
        <v>0.69941031488836525</v>
      </c>
      <c r="I29" s="94">
        <v>336.98428263699299</v>
      </c>
      <c r="J29" s="97" t="s">
        <v>538</v>
      </c>
    </row>
    <row r="30" spans="1:11" x14ac:dyDescent="0.25">
      <c r="A30" t="s">
        <v>541</v>
      </c>
      <c r="B30" s="95">
        <v>0.28172282329545661</v>
      </c>
      <c r="C30" s="94">
        <v>135.73743693763049</v>
      </c>
      <c r="D30" s="97" t="s">
        <v>538</v>
      </c>
      <c r="E30" s="93">
        <v>0.5272285046014068</v>
      </c>
      <c r="F30" s="94">
        <v>254.02502025901299</v>
      </c>
      <c r="G30" s="97" t="s">
        <v>538</v>
      </c>
      <c r="H30" s="93">
        <v>0.78811304914869285</v>
      </c>
      <c r="I30" s="94">
        <v>379.72232443642997</v>
      </c>
      <c r="J30" s="97" t="s">
        <v>538</v>
      </c>
    </row>
    <row r="31" spans="1:11" x14ac:dyDescent="0.25">
      <c r="A31" t="s">
        <v>542</v>
      </c>
      <c r="B31" s="95">
        <v>0.29320064579223271</v>
      </c>
      <c r="C31" s="94">
        <v>141.26758955044721</v>
      </c>
      <c r="D31" s="97" t="s">
        <v>538</v>
      </c>
      <c r="E31" s="93">
        <v>0.57668617498177621</v>
      </c>
      <c r="F31" s="94">
        <v>277.85431934031959</v>
      </c>
      <c r="G31" s="97" t="s">
        <v>538</v>
      </c>
      <c r="H31" s="93">
        <v>0.88806551035437431</v>
      </c>
      <c r="I31" s="94">
        <v>427.8806196748618</v>
      </c>
      <c r="J31" s="97" t="s">
        <v>538</v>
      </c>
    </row>
    <row r="32" spans="1:11" x14ac:dyDescent="0.25">
      <c r="A32" t="s">
        <v>543</v>
      </c>
      <c r="B32" s="95">
        <v>0.30514609248688712</v>
      </c>
      <c r="C32" s="94">
        <v>147.02304911329199</v>
      </c>
      <c r="D32" s="97" t="s">
        <v>538</v>
      </c>
      <c r="E32" s="93">
        <v>0.63078331598656245</v>
      </c>
      <c r="F32" s="94">
        <v>303.91897104211762</v>
      </c>
      <c r="G32" s="97" t="s">
        <v>538</v>
      </c>
      <c r="H32" s="93">
        <v>1.000694445464231</v>
      </c>
      <c r="I32" s="94">
        <v>482.14659215801208</v>
      </c>
      <c r="J32" s="97" t="s">
        <v>538</v>
      </c>
    </row>
    <row r="33" spans="1:11" x14ac:dyDescent="0.25">
      <c r="A33" t="s">
        <v>544</v>
      </c>
      <c r="B33" s="95">
        <v>0.3175782151107478</v>
      </c>
      <c r="C33" s="94">
        <v>153.01299497893959</v>
      </c>
      <c r="D33" s="97" t="s">
        <v>538</v>
      </c>
      <c r="E33" s="93">
        <v>0.68995514196187735</v>
      </c>
      <c r="F33" s="94">
        <v>332.42866685893603</v>
      </c>
      <c r="G33" s="97" t="s">
        <v>538</v>
      </c>
      <c r="H33" s="93">
        <v>1.127607548663127</v>
      </c>
      <c r="I33" s="94">
        <v>543.29484823647863</v>
      </c>
      <c r="J33" s="97" t="s">
        <v>538</v>
      </c>
    </row>
    <row r="34" spans="1:11" x14ac:dyDescent="0.25">
      <c r="A34" t="s">
        <v>545</v>
      </c>
      <c r="B34" s="95">
        <v>0.33051684159207251</v>
      </c>
      <c r="C34" s="94">
        <v>159.2469804811596</v>
      </c>
      <c r="D34" s="97" t="s">
        <v>538</v>
      </c>
      <c r="E34" s="93">
        <v>0.75467769336146362</v>
      </c>
      <c r="F34" s="94">
        <v>363.61276879387361</v>
      </c>
      <c r="G34" s="97" t="s">
        <v>538</v>
      </c>
      <c r="H34" s="93">
        <v>1.2706164099993651</v>
      </c>
      <c r="I34" s="94">
        <v>612.19823373461406</v>
      </c>
      <c r="J34" s="97" t="s">
        <v>538</v>
      </c>
    </row>
    <row r="35" spans="1:11" x14ac:dyDescent="0.25">
      <c r="A35" s="121" t="s">
        <v>546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</row>
  </sheetData>
  <mergeCells count="7">
    <mergeCell ref="A1:K1"/>
    <mergeCell ref="B3:D3"/>
    <mergeCell ref="A35:K35"/>
    <mergeCell ref="A26:K26"/>
    <mergeCell ref="A2:K2"/>
    <mergeCell ref="E3:G3"/>
    <mergeCell ref="H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H347"/>
  <sheetViews>
    <sheetView topLeftCell="A316" workbookViewId="0">
      <selection activeCell="H338" sqref="H338"/>
    </sheetView>
  </sheetViews>
  <sheetFormatPr defaultRowHeight="15" x14ac:dyDescent="0.25"/>
  <cols>
    <col min="1" max="2" width="8" customWidth="1"/>
    <col min="3" max="3" width="10" customWidth="1"/>
    <col min="4" max="5" width="22" customWidth="1"/>
    <col min="6" max="7" width="20" customWidth="1"/>
    <col min="8" max="8" width="12" customWidth="1"/>
  </cols>
  <sheetData>
    <row r="1" spans="1:8" ht="20.100000000000001" customHeight="1" x14ac:dyDescent="0.25">
      <c r="A1" s="101" t="s">
        <v>547</v>
      </c>
      <c r="B1" s="102"/>
      <c r="C1" s="102"/>
      <c r="D1" s="102"/>
      <c r="E1" s="102"/>
      <c r="F1" s="102"/>
      <c r="G1" s="102"/>
      <c r="H1" s="102"/>
    </row>
    <row r="2" spans="1:8" x14ac:dyDescent="0.25">
      <c r="A2" s="98" t="s">
        <v>0</v>
      </c>
      <c r="B2" s="98" t="s">
        <v>21</v>
      </c>
      <c r="C2" s="98" t="s">
        <v>548</v>
      </c>
      <c r="D2" s="98" t="s">
        <v>549</v>
      </c>
      <c r="E2" s="98" t="s">
        <v>550</v>
      </c>
      <c r="F2" s="98" t="s">
        <v>551</v>
      </c>
      <c r="G2" s="98" t="s">
        <v>552</v>
      </c>
      <c r="H2" s="98" t="s">
        <v>532</v>
      </c>
    </row>
    <row r="3" spans="1:8" x14ac:dyDescent="0.25">
      <c r="A3">
        <v>1</v>
      </c>
      <c r="B3">
        <v>0.08</v>
      </c>
      <c r="C3" t="s">
        <v>553</v>
      </c>
      <c r="D3" s="75">
        <v>5000000</v>
      </c>
      <c r="E3" s="75">
        <v>5000000</v>
      </c>
      <c r="F3" s="99">
        <v>0</v>
      </c>
      <c r="G3" s="99">
        <v>4500000</v>
      </c>
      <c r="H3" s="93">
        <v>0.45</v>
      </c>
    </row>
    <row r="4" spans="1:8" x14ac:dyDescent="0.25">
      <c r="A4">
        <v>2</v>
      </c>
      <c r="B4">
        <v>0.17</v>
      </c>
      <c r="C4" t="s">
        <v>553</v>
      </c>
      <c r="D4" s="75">
        <v>11000000</v>
      </c>
      <c r="E4" s="75">
        <v>6000000</v>
      </c>
      <c r="F4" s="99">
        <v>33750</v>
      </c>
      <c r="G4" s="99">
        <v>9933750</v>
      </c>
      <c r="H4" s="93">
        <v>0.45153409090909091</v>
      </c>
    </row>
    <row r="5" spans="1:8" x14ac:dyDescent="0.25">
      <c r="A5">
        <v>3</v>
      </c>
      <c r="B5">
        <v>0.25</v>
      </c>
      <c r="C5" t="s">
        <v>553</v>
      </c>
      <c r="D5" s="75">
        <v>18000000</v>
      </c>
      <c r="E5" s="75">
        <v>7000000</v>
      </c>
      <c r="F5" s="99">
        <v>74503.125</v>
      </c>
      <c r="G5" s="99">
        <v>16308253.125</v>
      </c>
      <c r="H5" s="93">
        <v>0.45300703125000003</v>
      </c>
    </row>
    <row r="6" spans="1:8" x14ac:dyDescent="0.25">
      <c r="A6">
        <v>4</v>
      </c>
      <c r="B6">
        <v>0.33</v>
      </c>
      <c r="C6" t="s">
        <v>553</v>
      </c>
      <c r="D6" s="75">
        <v>26000000</v>
      </c>
      <c r="E6" s="75">
        <v>8000000</v>
      </c>
      <c r="F6" s="99">
        <v>122311.8984375</v>
      </c>
      <c r="G6" s="99">
        <v>23630565.0234375</v>
      </c>
      <c r="H6" s="93">
        <v>0.45443394275841348</v>
      </c>
    </row>
    <row r="7" spans="1:8" x14ac:dyDescent="0.25">
      <c r="A7">
        <v>5</v>
      </c>
      <c r="B7">
        <v>0.42</v>
      </c>
      <c r="C7" t="s">
        <v>553</v>
      </c>
      <c r="D7" s="75">
        <v>35000000</v>
      </c>
      <c r="E7" s="75">
        <v>9000000</v>
      </c>
      <c r="F7" s="99">
        <v>177229.23767578119</v>
      </c>
      <c r="G7" s="99">
        <v>31907794.261113279</v>
      </c>
      <c r="H7" s="93">
        <v>0.45582563230161832</v>
      </c>
    </row>
    <row r="8" spans="1:8" x14ac:dyDescent="0.25">
      <c r="A8">
        <v>6</v>
      </c>
      <c r="B8">
        <v>0.5</v>
      </c>
      <c r="C8" t="s">
        <v>553</v>
      </c>
      <c r="D8" s="75">
        <v>45000000</v>
      </c>
      <c r="E8" s="75">
        <v>10000000</v>
      </c>
      <c r="F8" s="99">
        <v>239308.45695834959</v>
      </c>
      <c r="G8" s="99">
        <v>41147102.718071632</v>
      </c>
      <c r="H8" s="93">
        <v>0.4571900302007959</v>
      </c>
    </row>
    <row r="9" spans="1:8" x14ac:dyDescent="0.25">
      <c r="A9">
        <v>7</v>
      </c>
      <c r="B9">
        <v>0.57999999999999996</v>
      </c>
      <c r="C9" t="s">
        <v>553</v>
      </c>
      <c r="D9" s="75">
        <v>56000000</v>
      </c>
      <c r="E9" s="75">
        <v>11000000</v>
      </c>
      <c r="F9" s="99">
        <v>308603.27038553718</v>
      </c>
      <c r="G9" s="99">
        <v>51355705.988457173</v>
      </c>
      <c r="H9" s="93">
        <v>0.45853308918265329</v>
      </c>
    </row>
    <row r="10" spans="1:8" x14ac:dyDescent="0.25">
      <c r="A10">
        <v>8</v>
      </c>
      <c r="B10">
        <v>0.67</v>
      </c>
      <c r="C10" t="s">
        <v>553</v>
      </c>
      <c r="D10" s="75">
        <v>68000000</v>
      </c>
      <c r="E10" s="75">
        <v>12000000</v>
      </c>
      <c r="F10" s="99">
        <v>385167.79491342872</v>
      </c>
      <c r="G10" s="99">
        <v>62540873.783370592</v>
      </c>
      <c r="H10" s="93">
        <v>0.45985936605419547</v>
      </c>
    </row>
    <row r="11" spans="1:8" x14ac:dyDescent="0.25">
      <c r="A11">
        <v>9</v>
      </c>
      <c r="B11">
        <v>0.75</v>
      </c>
      <c r="C11" t="s">
        <v>553</v>
      </c>
      <c r="D11" s="75">
        <v>81000000</v>
      </c>
      <c r="E11" s="75">
        <v>13000000</v>
      </c>
      <c r="F11" s="99">
        <v>469056.55337527941</v>
      </c>
      <c r="G11" s="99">
        <v>74709930.336745858</v>
      </c>
      <c r="H11" s="93">
        <v>0.46117240948608562</v>
      </c>
    </row>
    <row r="12" spans="1:8" x14ac:dyDescent="0.25">
      <c r="A12">
        <v>10</v>
      </c>
      <c r="B12">
        <v>0.83</v>
      </c>
      <c r="C12" t="s">
        <v>553</v>
      </c>
      <c r="D12" s="75">
        <v>95000000</v>
      </c>
      <c r="E12" s="75">
        <v>14000000</v>
      </c>
      <c r="F12" s="99">
        <v>560324.47752559395</v>
      </c>
      <c r="G12" s="99">
        <v>87870254.81427145</v>
      </c>
      <c r="H12" s="93">
        <v>0.46247502533827078</v>
      </c>
    </row>
    <row r="13" spans="1:8" x14ac:dyDescent="0.25">
      <c r="A13">
        <v>11</v>
      </c>
      <c r="B13">
        <v>0.92</v>
      </c>
      <c r="C13" t="s">
        <v>553</v>
      </c>
      <c r="D13" s="75">
        <v>110000000</v>
      </c>
      <c r="E13" s="75">
        <v>15000000</v>
      </c>
      <c r="F13" s="99">
        <v>659026.91110703582</v>
      </c>
      <c r="G13" s="99">
        <v>102029281.7253785</v>
      </c>
      <c r="H13" s="93">
        <v>0.46376946238808398</v>
      </c>
    </row>
    <row r="14" spans="1:8" x14ac:dyDescent="0.25">
      <c r="A14">
        <v>12</v>
      </c>
      <c r="B14">
        <v>1</v>
      </c>
      <c r="C14" t="s">
        <v>553</v>
      </c>
      <c r="D14" s="75">
        <v>126000000</v>
      </c>
      <c r="E14" s="75">
        <v>16000000</v>
      </c>
      <c r="F14" s="99">
        <v>765219.61294033856</v>
      </c>
      <c r="G14" s="99">
        <v>117194501.33831879</v>
      </c>
      <c r="H14" s="93">
        <v>0.46505754499332869</v>
      </c>
    </row>
    <row r="15" spans="1:8" x14ac:dyDescent="0.25">
      <c r="A15">
        <v>13</v>
      </c>
      <c r="B15">
        <v>1.08</v>
      </c>
      <c r="C15" t="s">
        <v>553</v>
      </c>
      <c r="D15" s="75">
        <v>143000000</v>
      </c>
      <c r="E15" s="75">
        <v>17000000</v>
      </c>
      <c r="F15" s="99">
        <v>878958.7600373911</v>
      </c>
      <c r="G15" s="99">
        <v>133373460.0983562</v>
      </c>
      <c r="H15" s="93">
        <v>0.46634076957467208</v>
      </c>
    </row>
    <row r="16" spans="1:8" x14ac:dyDescent="0.25">
      <c r="A16">
        <v>14</v>
      </c>
      <c r="B16">
        <v>1.17</v>
      </c>
      <c r="C16" t="s">
        <v>553</v>
      </c>
      <c r="D16" s="75">
        <v>165000000</v>
      </c>
      <c r="E16" s="75">
        <v>22000000</v>
      </c>
      <c r="F16" s="99">
        <v>1000300.950737672</v>
      </c>
      <c r="G16" s="99">
        <v>154173761.0490939</v>
      </c>
      <c r="H16" s="93">
        <v>0.46719321530028463</v>
      </c>
    </row>
    <row r="17" spans="1:8" x14ac:dyDescent="0.25">
      <c r="A17">
        <v>15</v>
      </c>
      <c r="B17">
        <v>1.25</v>
      </c>
      <c r="C17" t="s">
        <v>553</v>
      </c>
      <c r="D17" s="75">
        <v>192000000</v>
      </c>
      <c r="E17" s="75">
        <v>27000000</v>
      </c>
      <c r="F17" s="99">
        <v>1156303.207868204</v>
      </c>
      <c r="G17" s="99">
        <v>179630064.25696209</v>
      </c>
      <c r="H17" s="93">
        <v>0.46778662566917217</v>
      </c>
    </row>
    <row r="18" spans="1:8" x14ac:dyDescent="0.25">
      <c r="A18">
        <v>16</v>
      </c>
      <c r="B18">
        <v>1.33</v>
      </c>
      <c r="C18" t="s">
        <v>553</v>
      </c>
      <c r="D18" s="75">
        <v>224000000</v>
      </c>
      <c r="E18" s="75">
        <v>32000000</v>
      </c>
      <c r="F18" s="99">
        <v>1347225.4819272161</v>
      </c>
      <c r="G18" s="99">
        <v>209777289.73888931</v>
      </c>
      <c r="H18" s="93">
        <v>0.4682528788814494</v>
      </c>
    </row>
    <row r="19" spans="1:8" x14ac:dyDescent="0.25">
      <c r="A19">
        <v>17</v>
      </c>
      <c r="B19">
        <v>1.42</v>
      </c>
      <c r="C19" t="s">
        <v>553</v>
      </c>
      <c r="D19" s="75">
        <v>261000000</v>
      </c>
      <c r="E19" s="75">
        <v>37000000</v>
      </c>
      <c r="F19" s="99">
        <v>1573329.6730416699</v>
      </c>
      <c r="G19" s="99">
        <v>244650619.41193101</v>
      </c>
      <c r="H19" s="93">
        <v>0.4686793475324349</v>
      </c>
    </row>
    <row r="20" spans="1:8" x14ac:dyDescent="0.25">
      <c r="A20">
        <v>18</v>
      </c>
      <c r="B20">
        <v>1.5</v>
      </c>
      <c r="C20" t="s">
        <v>553</v>
      </c>
      <c r="D20" s="75">
        <v>303000000</v>
      </c>
      <c r="E20" s="75">
        <v>42000000</v>
      </c>
      <c r="F20" s="99">
        <v>1834879.645589483</v>
      </c>
      <c r="G20" s="99">
        <v>284285499.05752051</v>
      </c>
      <c r="H20" s="93">
        <v>0.46911798524343318</v>
      </c>
    </row>
    <row r="21" spans="1:8" x14ac:dyDescent="0.25">
      <c r="A21">
        <v>19</v>
      </c>
      <c r="B21">
        <v>1.58</v>
      </c>
      <c r="C21" t="s">
        <v>553</v>
      </c>
      <c r="D21" s="75">
        <v>350000000</v>
      </c>
      <c r="E21" s="75">
        <v>47000000</v>
      </c>
      <c r="F21" s="99">
        <v>2132141.2429314042</v>
      </c>
      <c r="G21" s="99">
        <v>328717640.30045187</v>
      </c>
      <c r="H21" s="93">
        <v>0.46959662900064558</v>
      </c>
    </row>
    <row r="22" spans="1:8" x14ac:dyDescent="0.25">
      <c r="A22">
        <v>20</v>
      </c>
      <c r="B22">
        <v>1.67</v>
      </c>
      <c r="C22" t="s">
        <v>553</v>
      </c>
      <c r="D22" s="75">
        <v>402000000</v>
      </c>
      <c r="E22" s="75">
        <v>52000000</v>
      </c>
      <c r="F22" s="99">
        <v>2465382.3022533888</v>
      </c>
      <c r="G22" s="99">
        <v>377983022.6027053</v>
      </c>
      <c r="H22" s="93">
        <v>0.47012813756555388</v>
      </c>
    </row>
    <row r="23" spans="1:8" x14ac:dyDescent="0.25">
      <c r="A23">
        <v>21</v>
      </c>
      <c r="B23">
        <v>1.75</v>
      </c>
      <c r="C23" t="s">
        <v>553</v>
      </c>
      <c r="D23" s="75">
        <v>459000000</v>
      </c>
      <c r="E23" s="75">
        <v>57000000</v>
      </c>
      <c r="F23" s="99">
        <v>2834872.6695202901</v>
      </c>
      <c r="G23" s="99">
        <v>432117895.27222562</v>
      </c>
      <c r="H23" s="93">
        <v>0.47071666151658559</v>
      </c>
    </row>
    <row r="24" spans="1:8" x14ac:dyDescent="0.25">
      <c r="A24">
        <v>22</v>
      </c>
      <c r="B24">
        <v>1.83</v>
      </c>
      <c r="C24" t="s">
        <v>553</v>
      </c>
      <c r="D24" s="75">
        <v>521000000</v>
      </c>
      <c r="E24" s="75">
        <v>62000000</v>
      </c>
      <c r="F24" s="99">
        <v>3240884.2145416918</v>
      </c>
      <c r="G24" s="99">
        <v>491158779.48676729</v>
      </c>
      <c r="H24" s="93">
        <v>0.47136159259766541</v>
      </c>
    </row>
    <row r="25" spans="1:8" x14ac:dyDescent="0.25">
      <c r="A25">
        <v>23</v>
      </c>
      <c r="B25">
        <v>1.92</v>
      </c>
      <c r="C25" t="s">
        <v>553</v>
      </c>
      <c r="D25" s="75">
        <v>588000000</v>
      </c>
      <c r="E25" s="75">
        <v>67000000</v>
      </c>
      <c r="F25" s="99">
        <v>3683690.846150754</v>
      </c>
      <c r="G25" s="99">
        <v>555142470.33291805</v>
      </c>
      <c r="H25" s="93">
        <v>0.47205992375248129</v>
      </c>
    </row>
    <row r="26" spans="1:8" x14ac:dyDescent="0.25">
      <c r="A26">
        <v>24</v>
      </c>
      <c r="B26">
        <v>2</v>
      </c>
      <c r="C26" t="s">
        <v>553</v>
      </c>
      <c r="D26" s="75">
        <v>660000000</v>
      </c>
      <c r="E26" s="75">
        <v>72000000</v>
      </c>
      <c r="F26" s="99">
        <v>4163568.527496885</v>
      </c>
      <c r="G26" s="99">
        <v>624106038.86041498</v>
      </c>
      <c r="H26" s="93">
        <v>0.4728076051972841</v>
      </c>
    </row>
    <row r="27" spans="1:8" x14ac:dyDescent="0.25">
      <c r="A27">
        <v>25</v>
      </c>
      <c r="B27">
        <v>2.08</v>
      </c>
      <c r="C27" t="s">
        <v>553</v>
      </c>
      <c r="D27" s="75">
        <v>737000000</v>
      </c>
      <c r="E27" s="75">
        <v>77000000</v>
      </c>
      <c r="F27" s="99">
        <v>4680795.2914531119</v>
      </c>
      <c r="G27" s="99">
        <v>698086834.1518681</v>
      </c>
      <c r="H27" s="93">
        <v>0.47360029453993768</v>
      </c>
    </row>
    <row r="28" spans="1:8" x14ac:dyDescent="0.25">
      <c r="A28">
        <v>26</v>
      </c>
      <c r="B28">
        <v>2.17</v>
      </c>
      <c r="C28" t="s">
        <v>553</v>
      </c>
      <c r="D28" s="75">
        <v>819000000</v>
      </c>
      <c r="E28" s="75">
        <v>82000000</v>
      </c>
      <c r="F28" s="99">
        <v>5235651.2561390102</v>
      </c>
      <c r="G28" s="99">
        <v>777122485.40800714</v>
      </c>
      <c r="H28" s="93">
        <v>0.47443375177534008</v>
      </c>
    </row>
    <row r="29" spans="1:8" x14ac:dyDescent="0.25">
      <c r="A29">
        <v>27</v>
      </c>
      <c r="B29">
        <v>2.25</v>
      </c>
      <c r="C29" t="s">
        <v>553</v>
      </c>
      <c r="D29" s="75">
        <v>906000000</v>
      </c>
      <c r="E29" s="75">
        <v>87000000</v>
      </c>
      <c r="F29" s="99">
        <v>5828418.6405600533</v>
      </c>
      <c r="G29" s="99">
        <v>860890904.04856718</v>
      </c>
      <c r="H29" s="93">
        <v>0.47510535543519161</v>
      </c>
    </row>
    <row r="30" spans="1:8" x14ac:dyDescent="0.25">
      <c r="A30">
        <v>28</v>
      </c>
      <c r="B30">
        <v>2.33</v>
      </c>
      <c r="C30" t="s">
        <v>553</v>
      </c>
      <c r="D30" s="75">
        <v>998000000</v>
      </c>
      <c r="E30" s="75">
        <v>92000000</v>
      </c>
      <c r="F30" s="99">
        <v>6456681.7803642536</v>
      </c>
      <c r="G30" s="99">
        <v>949367585.82893145</v>
      </c>
      <c r="H30" s="93">
        <v>0.47563506304054681</v>
      </c>
    </row>
    <row r="31" spans="1:8" x14ac:dyDescent="0.25">
      <c r="A31">
        <v>29</v>
      </c>
      <c r="B31">
        <v>2.42</v>
      </c>
      <c r="C31" t="s">
        <v>553</v>
      </c>
      <c r="D31" s="75">
        <v>1095000000</v>
      </c>
      <c r="E31" s="75">
        <v>97000000</v>
      </c>
      <c r="F31" s="99">
        <v>7120256.8937169854</v>
      </c>
      <c r="G31" s="99">
        <v>1042537842.722648</v>
      </c>
      <c r="H31" s="93">
        <v>0.47604467704230519</v>
      </c>
    </row>
    <row r="32" spans="1:8" x14ac:dyDescent="0.25">
      <c r="A32">
        <v>30</v>
      </c>
      <c r="B32">
        <v>2.5</v>
      </c>
      <c r="C32" t="s">
        <v>553</v>
      </c>
      <c r="D32" s="75">
        <v>1197000000</v>
      </c>
      <c r="E32" s="75">
        <v>102000000</v>
      </c>
      <c r="F32" s="99">
        <v>7819033.8204198629</v>
      </c>
      <c r="G32" s="99">
        <v>1140386876.5430679</v>
      </c>
      <c r="H32" s="93">
        <v>0.47635207875650298</v>
      </c>
    </row>
    <row r="33" spans="1:8" x14ac:dyDescent="0.25">
      <c r="A33">
        <v>31</v>
      </c>
      <c r="B33">
        <v>2.58</v>
      </c>
      <c r="C33" t="s">
        <v>553</v>
      </c>
      <c r="D33" s="75">
        <v>1304000000</v>
      </c>
      <c r="E33" s="75">
        <v>107000000</v>
      </c>
      <c r="F33" s="99">
        <v>8552901.5740730111</v>
      </c>
      <c r="G33" s="99">
        <v>1242899778.117141</v>
      </c>
      <c r="H33" s="93">
        <v>0.4765720008117873</v>
      </c>
    </row>
    <row r="34" spans="1:8" x14ac:dyDescent="0.25">
      <c r="A34">
        <v>32</v>
      </c>
      <c r="B34">
        <v>2.67</v>
      </c>
      <c r="C34" t="s">
        <v>553</v>
      </c>
      <c r="D34" s="75">
        <v>1416000000</v>
      </c>
      <c r="E34" s="75">
        <v>112000000</v>
      </c>
      <c r="F34" s="99">
        <v>9321748.3358785585</v>
      </c>
      <c r="G34" s="99">
        <v>1350061526.4530201</v>
      </c>
      <c r="H34" s="93">
        <v>0.47671664069668779</v>
      </c>
    </row>
    <row r="35" spans="1:8" x14ac:dyDescent="0.25">
      <c r="A35">
        <v>33</v>
      </c>
      <c r="B35">
        <v>2.75</v>
      </c>
      <c r="C35" t="s">
        <v>553</v>
      </c>
      <c r="D35" s="75">
        <v>1533000000</v>
      </c>
      <c r="E35" s="75">
        <v>117000000</v>
      </c>
      <c r="F35" s="99">
        <v>10125461.448397649</v>
      </c>
      <c r="G35" s="99">
        <v>1461856987.901417</v>
      </c>
      <c r="H35" s="93">
        <v>0.47679614739119952</v>
      </c>
    </row>
    <row r="36" spans="1:8" x14ac:dyDescent="0.25">
      <c r="A36">
        <v>34</v>
      </c>
      <c r="B36">
        <v>2.83</v>
      </c>
      <c r="C36" t="s">
        <v>553</v>
      </c>
      <c r="D36" s="75">
        <v>1655000000</v>
      </c>
      <c r="E36" s="75">
        <v>122000000</v>
      </c>
      <c r="F36" s="99">
        <v>10963927.409260631</v>
      </c>
      <c r="G36" s="99">
        <v>1578270915.310678</v>
      </c>
      <c r="H36" s="93">
        <v>0.47681900764673052</v>
      </c>
    </row>
    <row r="37" spans="1:8" x14ac:dyDescent="0.25">
      <c r="A37">
        <v>35</v>
      </c>
      <c r="B37">
        <v>2.92</v>
      </c>
      <c r="C37" t="s">
        <v>553</v>
      </c>
      <c r="D37" s="75">
        <v>1782000000</v>
      </c>
      <c r="E37" s="75">
        <v>127000000</v>
      </c>
      <c r="F37" s="99">
        <v>11837031.86483008</v>
      </c>
      <c r="G37" s="99">
        <v>1699287947.175508</v>
      </c>
      <c r="H37" s="93">
        <v>0.47679235330401459</v>
      </c>
    </row>
    <row r="38" spans="1:8" x14ac:dyDescent="0.25">
      <c r="A38">
        <v>36</v>
      </c>
      <c r="B38">
        <v>3</v>
      </c>
      <c r="C38" t="s">
        <v>553</v>
      </c>
      <c r="D38" s="75">
        <v>1914000000</v>
      </c>
      <c r="E38" s="75">
        <v>132000000</v>
      </c>
      <c r="F38" s="99">
        <v>12744659.60381631</v>
      </c>
      <c r="G38" s="99">
        <v>1824892606.7793241</v>
      </c>
      <c r="H38" s="93">
        <v>0.47672220657767089</v>
      </c>
    </row>
    <row r="39" spans="1:8" x14ac:dyDescent="0.25">
      <c r="A39">
        <v>37</v>
      </c>
      <c r="B39">
        <v>3.08</v>
      </c>
      <c r="C39" t="s">
        <v>553</v>
      </c>
      <c r="D39" s="75">
        <v>2051000000</v>
      </c>
      <c r="E39" s="75">
        <v>137000000</v>
      </c>
      <c r="F39" s="99">
        <v>13686694.55084493</v>
      </c>
      <c r="G39" s="99">
        <v>1955069301.330169</v>
      </c>
      <c r="H39" s="93">
        <v>0.47661367657975839</v>
      </c>
    </row>
    <row r="40" spans="1:8" x14ac:dyDescent="0.25">
      <c r="A40">
        <v>38</v>
      </c>
      <c r="B40">
        <v>3.17</v>
      </c>
      <c r="C40" t="s">
        <v>553</v>
      </c>
      <c r="D40" s="75">
        <v>2193000000</v>
      </c>
      <c r="E40" s="75">
        <v>142000000</v>
      </c>
      <c r="F40" s="99">
        <v>14663019.75997627</v>
      </c>
      <c r="G40" s="99">
        <v>2089802321.0901461</v>
      </c>
      <c r="H40" s="93">
        <v>0.47647111743961368</v>
      </c>
    </row>
    <row r="41" spans="1:8" x14ac:dyDescent="0.25">
      <c r="A41">
        <v>39</v>
      </c>
      <c r="B41">
        <v>3.25</v>
      </c>
      <c r="C41" t="s">
        <v>553</v>
      </c>
      <c r="D41" s="75">
        <v>2340000000</v>
      </c>
      <c r="E41" s="75">
        <v>147000000</v>
      </c>
      <c r="F41" s="99">
        <v>15673517.408176091</v>
      </c>
      <c r="G41" s="99">
        <v>2229075838.498322</v>
      </c>
      <c r="H41" s="93">
        <v>0.47629825608938492</v>
      </c>
    </row>
    <row r="42" spans="1:8" x14ac:dyDescent="0.25">
      <c r="A42">
        <v>40</v>
      </c>
      <c r="B42">
        <v>3.33</v>
      </c>
      <c r="C42" t="s">
        <v>553</v>
      </c>
      <c r="D42" s="75">
        <v>2492000000</v>
      </c>
      <c r="E42" s="75">
        <v>152000000</v>
      </c>
      <c r="F42" s="99">
        <v>16718068.788737411</v>
      </c>
      <c r="G42" s="99">
        <v>2372873907.2870588</v>
      </c>
      <c r="H42" s="93">
        <v>0.47609829600462661</v>
      </c>
    </row>
    <row r="43" spans="1:8" x14ac:dyDescent="0.25">
      <c r="A43">
        <v>41</v>
      </c>
      <c r="B43">
        <v>3.42</v>
      </c>
      <c r="C43" t="s">
        <v>553</v>
      </c>
      <c r="D43" s="75">
        <v>2649000000</v>
      </c>
      <c r="E43" s="75">
        <v>157000000</v>
      </c>
      <c r="F43" s="99">
        <v>17796554.30465294</v>
      </c>
      <c r="G43" s="99">
        <v>2521180461.591712</v>
      </c>
      <c r="H43" s="93">
        <v>0.47587400181044021</v>
      </c>
    </row>
    <row r="44" spans="1:8" x14ac:dyDescent="0.25">
      <c r="A44">
        <v>42</v>
      </c>
      <c r="B44">
        <v>3.5</v>
      </c>
      <c r="C44" t="s">
        <v>553</v>
      </c>
      <c r="D44" s="75">
        <v>2811000000</v>
      </c>
      <c r="E44" s="75">
        <v>162000000</v>
      </c>
      <c r="F44" s="99">
        <v>18908853.461937841</v>
      </c>
      <c r="G44" s="99">
        <v>2673979315.0536499</v>
      </c>
      <c r="H44" s="93">
        <v>0.47562776859723399</v>
      </c>
    </row>
    <row r="45" spans="1:8" x14ac:dyDescent="0.25">
      <c r="A45">
        <v>43</v>
      </c>
      <c r="B45">
        <v>3.58</v>
      </c>
      <c r="C45" t="s">
        <v>553</v>
      </c>
      <c r="D45" s="75">
        <v>2978000000</v>
      </c>
      <c r="E45" s="75">
        <v>167000000</v>
      </c>
      <c r="F45" s="99">
        <v>20054844.862902369</v>
      </c>
      <c r="G45" s="99">
        <v>2831254159.9165521</v>
      </c>
      <c r="H45" s="93">
        <v>0.4753616789651699</v>
      </c>
    </row>
    <row r="46" spans="1:8" x14ac:dyDescent="0.25">
      <c r="A46">
        <v>44</v>
      </c>
      <c r="B46">
        <v>3.67</v>
      </c>
      <c r="C46" t="s">
        <v>553</v>
      </c>
      <c r="D46" s="75">
        <v>3150000000</v>
      </c>
      <c r="E46" s="75">
        <v>172000000</v>
      </c>
      <c r="F46" s="99">
        <v>21234406.199374139</v>
      </c>
      <c r="G46" s="99">
        <v>2992988566.1159258</v>
      </c>
      <c r="H46" s="93">
        <v>0.47507755017713121</v>
      </c>
    </row>
    <row r="47" spans="1:8" x14ac:dyDescent="0.25">
      <c r="A47">
        <v>45</v>
      </c>
      <c r="B47">
        <v>3.75</v>
      </c>
      <c r="C47" t="s">
        <v>553</v>
      </c>
      <c r="D47" s="75">
        <v>3327000000</v>
      </c>
      <c r="E47" s="75">
        <v>177000000</v>
      </c>
      <c r="F47" s="99">
        <v>22447414.24586945</v>
      </c>
      <c r="G47" s="99">
        <v>3159165980.3617959</v>
      </c>
      <c r="H47" s="93">
        <v>0.47477697330354612</v>
      </c>
    </row>
    <row r="48" spans="1:8" x14ac:dyDescent="0.25">
      <c r="A48">
        <v>46</v>
      </c>
      <c r="B48">
        <v>3.83</v>
      </c>
      <c r="C48" t="s">
        <v>553</v>
      </c>
      <c r="D48" s="75">
        <v>3509000000</v>
      </c>
      <c r="E48" s="75">
        <v>182000000</v>
      </c>
      <c r="F48" s="99">
        <v>23693744.852713469</v>
      </c>
      <c r="G48" s="99">
        <v>3329769725.214509</v>
      </c>
      <c r="H48" s="93">
        <v>0.47446134585558702</v>
      </c>
    </row>
    <row r="49" spans="1:8" x14ac:dyDescent="0.25">
      <c r="A49">
        <v>47</v>
      </c>
      <c r="B49">
        <v>3.92</v>
      </c>
      <c r="C49" t="s">
        <v>553</v>
      </c>
      <c r="D49" s="75">
        <v>3696000000</v>
      </c>
      <c r="E49" s="75">
        <v>187000000</v>
      </c>
      <c r="F49" s="99">
        <v>24973272.939108819</v>
      </c>
      <c r="G49" s="99">
        <v>3504782998.1536179</v>
      </c>
      <c r="H49" s="93">
        <v>0.47413189910086828</v>
      </c>
    </row>
    <row r="50" spans="1:8" x14ac:dyDescent="0.25">
      <c r="A50">
        <v>48</v>
      </c>
      <c r="B50">
        <v>4</v>
      </c>
      <c r="C50" t="s">
        <v>553</v>
      </c>
      <c r="D50" s="75">
        <v>3888000000</v>
      </c>
      <c r="E50" s="75">
        <v>192000000</v>
      </c>
      <c r="F50" s="99">
        <v>26285872.486152131</v>
      </c>
      <c r="G50" s="99">
        <v>3684188870.639771</v>
      </c>
      <c r="H50" s="93">
        <v>0.47378972101848899</v>
      </c>
    </row>
    <row r="51" spans="1:8" x14ac:dyDescent="0.25">
      <c r="A51">
        <v>49</v>
      </c>
      <c r="B51">
        <v>4.08</v>
      </c>
      <c r="C51" t="s">
        <v>553</v>
      </c>
      <c r="D51" s="75">
        <v>4085000000</v>
      </c>
      <c r="E51" s="75">
        <v>197000000</v>
      </c>
      <c r="F51" s="99">
        <v>27631416.52979828</v>
      </c>
      <c r="G51" s="99">
        <v>3867970287.169569</v>
      </c>
      <c r="H51" s="93">
        <v>0.47343577566334988</v>
      </c>
    </row>
    <row r="52" spans="1:8" x14ac:dyDescent="0.25">
      <c r="A52">
        <v>50</v>
      </c>
      <c r="B52">
        <v>4.17</v>
      </c>
      <c r="C52" t="s">
        <v>553</v>
      </c>
      <c r="D52" s="75">
        <v>4288000000</v>
      </c>
      <c r="E52" s="75">
        <v>203000000</v>
      </c>
      <c r="F52" s="99">
        <v>29009777.153771769</v>
      </c>
      <c r="G52" s="99">
        <v>4057100064.3233409</v>
      </c>
      <c r="H52" s="93">
        <v>0.47307603361979261</v>
      </c>
    </row>
    <row r="53" spans="1:8" x14ac:dyDescent="0.25">
      <c r="A53">
        <v>51</v>
      </c>
      <c r="B53">
        <v>4.25</v>
      </c>
      <c r="C53" t="s">
        <v>553</v>
      </c>
      <c r="D53" s="75">
        <v>4497000000</v>
      </c>
      <c r="E53" s="75">
        <v>209000000</v>
      </c>
      <c r="F53" s="99">
        <v>30428250.48242506</v>
      </c>
      <c r="G53" s="99">
        <v>4251558314.8057661</v>
      </c>
      <c r="H53" s="93">
        <v>0.47271050865085229</v>
      </c>
    </row>
    <row r="54" spans="1:8" x14ac:dyDescent="0.25">
      <c r="A54">
        <v>52</v>
      </c>
      <c r="B54">
        <v>4.33</v>
      </c>
      <c r="C54" t="s">
        <v>553</v>
      </c>
      <c r="D54" s="75">
        <v>4712000000</v>
      </c>
      <c r="E54" s="75">
        <v>215000000</v>
      </c>
      <c r="F54" s="99">
        <v>31886687.361043241</v>
      </c>
      <c r="G54" s="99">
        <v>4451325002.1668091</v>
      </c>
      <c r="H54" s="93">
        <v>0.47233924046761561</v>
      </c>
    </row>
    <row r="55" spans="1:8" x14ac:dyDescent="0.25">
      <c r="A55">
        <v>53</v>
      </c>
      <c r="B55">
        <v>4.42</v>
      </c>
      <c r="C55" t="s">
        <v>553</v>
      </c>
      <c r="D55" s="75">
        <v>4933000000</v>
      </c>
      <c r="E55" s="75">
        <v>221000000</v>
      </c>
      <c r="F55" s="99">
        <v>33384937.516251069</v>
      </c>
      <c r="G55" s="99">
        <v>4656379939.6830597</v>
      </c>
      <c r="H55" s="93">
        <v>0.47196228863602868</v>
      </c>
    </row>
    <row r="56" spans="1:8" x14ac:dyDescent="0.25">
      <c r="A56">
        <v>54</v>
      </c>
      <c r="B56">
        <v>4.5</v>
      </c>
      <c r="C56" t="s">
        <v>553</v>
      </c>
      <c r="D56" s="75">
        <v>5160000000</v>
      </c>
      <c r="E56" s="75">
        <v>227000000</v>
      </c>
      <c r="F56" s="99">
        <v>34922849.547622949</v>
      </c>
      <c r="G56" s="99">
        <v>4866702789.2306824</v>
      </c>
      <c r="H56" s="93">
        <v>0.47157972763863198</v>
      </c>
    </row>
    <row r="57" spans="1:8" x14ac:dyDescent="0.25">
      <c r="A57">
        <v>55</v>
      </c>
      <c r="B57">
        <v>4.58</v>
      </c>
      <c r="C57" t="s">
        <v>553</v>
      </c>
      <c r="D57" s="75">
        <v>5393000000</v>
      </c>
      <c r="E57" s="75">
        <v>233000000</v>
      </c>
      <c r="F57" s="99">
        <v>36500270.919230118</v>
      </c>
      <c r="G57" s="99">
        <v>5082273060.1499128</v>
      </c>
      <c r="H57" s="93">
        <v>0.47119164288428639</v>
      </c>
    </row>
    <row r="58" spans="1:8" x14ac:dyDescent="0.25">
      <c r="A58">
        <v>56</v>
      </c>
      <c r="B58">
        <v>4.67</v>
      </c>
      <c r="C58" t="s">
        <v>553</v>
      </c>
      <c r="D58" s="75">
        <v>5632000000</v>
      </c>
      <c r="E58" s="75">
        <v>239000000</v>
      </c>
      <c r="F58" s="99">
        <v>38117047.951124348</v>
      </c>
      <c r="G58" s="99">
        <v>5303070108.101037</v>
      </c>
      <c r="H58" s="93">
        <v>0.47079812749476541</v>
      </c>
    </row>
    <row r="59" spans="1:8" x14ac:dyDescent="0.25">
      <c r="A59">
        <v>57</v>
      </c>
      <c r="B59">
        <v>4.75</v>
      </c>
      <c r="C59" t="s">
        <v>553</v>
      </c>
      <c r="D59" s="75">
        <v>5877000000</v>
      </c>
      <c r="E59" s="75">
        <v>245000000</v>
      </c>
      <c r="F59" s="99">
        <v>39773025.810757779</v>
      </c>
      <c r="G59" s="99">
        <v>5529073133.9117947</v>
      </c>
      <c r="H59" s="93">
        <v>0.47039927972705409</v>
      </c>
    </row>
    <row r="60" spans="1:8" x14ac:dyDescent="0.25">
      <c r="A60">
        <v>58</v>
      </c>
      <c r="B60">
        <v>4.83</v>
      </c>
      <c r="C60" t="s">
        <v>553</v>
      </c>
      <c r="D60" s="75">
        <v>6128000000</v>
      </c>
      <c r="E60" s="75">
        <v>251000000</v>
      </c>
      <c r="F60" s="99">
        <v>41468048.504338458</v>
      </c>
      <c r="G60" s="99">
        <v>5760261182.4161329</v>
      </c>
      <c r="H60" s="93">
        <v>0.46999520091515451</v>
      </c>
    </row>
    <row r="61" spans="1:8" x14ac:dyDescent="0.25">
      <c r="A61">
        <v>59</v>
      </c>
      <c r="B61">
        <v>4.92</v>
      </c>
      <c r="C61" t="s">
        <v>553</v>
      </c>
      <c r="D61" s="75">
        <v>6385000000</v>
      </c>
      <c r="E61" s="75">
        <v>257000000</v>
      </c>
      <c r="F61" s="99">
        <v>43201958.868120998</v>
      </c>
      <c r="G61" s="99">
        <v>5996613141.2842541</v>
      </c>
      <c r="H61" s="93">
        <v>0.46958599383588517</v>
      </c>
    </row>
    <row r="62" spans="1:8" x14ac:dyDescent="0.25">
      <c r="A62">
        <v>60</v>
      </c>
      <c r="B62">
        <v>5</v>
      </c>
      <c r="C62" t="s">
        <v>553</v>
      </c>
      <c r="D62" s="75">
        <v>6648000000</v>
      </c>
      <c r="E62" s="75">
        <v>263000000</v>
      </c>
      <c r="F62" s="99">
        <v>44974598.559631906</v>
      </c>
      <c r="G62" s="99">
        <v>6238107739.8438864</v>
      </c>
      <c r="H62" s="93">
        <v>0.46917176142026817</v>
      </c>
    </row>
    <row r="63" spans="1:8" x14ac:dyDescent="0.25">
      <c r="A63">
        <v>61</v>
      </c>
      <c r="B63">
        <v>5.08</v>
      </c>
      <c r="C63" t="s">
        <v>553</v>
      </c>
      <c r="D63" s="75">
        <v>6917000000</v>
      </c>
      <c r="E63" s="75">
        <v>269000000</v>
      </c>
      <c r="F63" s="99">
        <v>46785808.048829153</v>
      </c>
      <c r="G63" s="99">
        <v>6484723547.8927155</v>
      </c>
      <c r="H63" s="93">
        <v>0.46875260574618438</v>
      </c>
    </row>
    <row r="64" spans="1:8" x14ac:dyDescent="0.25">
      <c r="A64">
        <v>62</v>
      </c>
      <c r="B64">
        <v>5.17</v>
      </c>
      <c r="C64" t="s">
        <v>553</v>
      </c>
      <c r="D64" s="75">
        <v>7193000000</v>
      </c>
      <c r="E64" s="75">
        <v>276000000</v>
      </c>
      <c r="F64" s="99">
        <v>48635426.609195367</v>
      </c>
      <c r="G64" s="99">
        <v>6737428974.5019112</v>
      </c>
      <c r="H64" s="93">
        <v>0.46833233522187617</v>
      </c>
    </row>
    <row r="65" spans="1:8" x14ac:dyDescent="0.25">
      <c r="A65">
        <v>63</v>
      </c>
      <c r="B65">
        <v>5.25</v>
      </c>
      <c r="C65" t="s">
        <v>553</v>
      </c>
      <c r="D65" s="75">
        <v>7476000000</v>
      </c>
      <c r="E65" s="75">
        <v>283000000</v>
      </c>
      <c r="F65" s="99">
        <v>50530717.308764331</v>
      </c>
      <c r="G65" s="99">
        <v>6996199691.8106756</v>
      </c>
      <c r="H65" s="93">
        <v>0.46791062679311629</v>
      </c>
    </row>
    <row r="66" spans="1:8" x14ac:dyDescent="0.25">
      <c r="A66">
        <v>64</v>
      </c>
      <c r="B66">
        <v>5.33</v>
      </c>
      <c r="C66" t="s">
        <v>553</v>
      </c>
      <c r="D66" s="75">
        <v>7766000000</v>
      </c>
      <c r="E66" s="75">
        <v>290000000</v>
      </c>
      <c r="F66" s="99">
        <v>52471497.688580073</v>
      </c>
      <c r="G66" s="99">
        <v>7261011189.4992561</v>
      </c>
      <c r="H66" s="93">
        <v>0.46748719994200721</v>
      </c>
    </row>
    <row r="67" spans="1:8" x14ac:dyDescent="0.25">
      <c r="A67">
        <v>65</v>
      </c>
      <c r="B67">
        <v>5.42</v>
      </c>
      <c r="C67" t="s">
        <v>553</v>
      </c>
      <c r="D67" s="75">
        <v>8063000000</v>
      </c>
      <c r="E67" s="75">
        <v>297000000</v>
      </c>
      <c r="F67" s="99">
        <v>54457583.92124442</v>
      </c>
      <c r="G67" s="99">
        <v>7531838773.4205008</v>
      </c>
      <c r="H67" s="93">
        <v>0.4670618115726467</v>
      </c>
    </row>
    <row r="68" spans="1:8" x14ac:dyDescent="0.25">
      <c r="A68">
        <v>66</v>
      </c>
      <c r="B68">
        <v>5.5</v>
      </c>
      <c r="C68" t="s">
        <v>553</v>
      </c>
      <c r="D68" s="75">
        <v>8367000000</v>
      </c>
      <c r="E68" s="75">
        <v>304000000</v>
      </c>
      <c r="F68" s="99">
        <v>56488790.800653763</v>
      </c>
      <c r="G68" s="99">
        <v>7808657564.2211542</v>
      </c>
      <c r="H68" s="93">
        <v>0.46663425147730098</v>
      </c>
    </row>
    <row r="69" spans="1:8" x14ac:dyDescent="0.25">
      <c r="A69">
        <v>67</v>
      </c>
      <c r="B69">
        <v>5.58</v>
      </c>
      <c r="C69" t="s">
        <v>553</v>
      </c>
      <c r="D69" s="75">
        <v>8678000000</v>
      </c>
      <c r="E69" s="75">
        <v>311000000</v>
      </c>
      <c r="F69" s="99">
        <v>58564931.731658652</v>
      </c>
      <c r="G69" s="99">
        <v>8091442495.9528131</v>
      </c>
      <c r="H69" s="93">
        <v>0.46620433832408459</v>
      </c>
    </row>
    <row r="70" spans="1:8" x14ac:dyDescent="0.25">
      <c r="A70">
        <v>68</v>
      </c>
      <c r="B70">
        <v>5.67</v>
      </c>
      <c r="C70" t="s">
        <v>553</v>
      </c>
      <c r="D70" s="75">
        <v>8996000000</v>
      </c>
      <c r="E70" s="75">
        <v>318000000</v>
      </c>
      <c r="F70" s="99">
        <v>60685818.719646104</v>
      </c>
      <c r="G70" s="99">
        <v>8380168314.6724596</v>
      </c>
      <c r="H70" s="93">
        <v>0.46577191611118612</v>
      </c>
    </row>
    <row r="71" spans="1:8" x14ac:dyDescent="0.25">
      <c r="A71">
        <v>69</v>
      </c>
      <c r="B71">
        <v>5.75</v>
      </c>
      <c r="C71" t="s">
        <v>553</v>
      </c>
      <c r="D71" s="75">
        <v>9321000000</v>
      </c>
      <c r="E71" s="75">
        <v>325000000</v>
      </c>
      <c r="F71" s="99">
        <v>62851262.360043436</v>
      </c>
      <c r="G71" s="99">
        <v>8674809577.0325012</v>
      </c>
      <c r="H71" s="93">
        <v>0.46533685103704009</v>
      </c>
    </row>
    <row r="72" spans="1:8" x14ac:dyDescent="0.25">
      <c r="A72">
        <v>70</v>
      </c>
      <c r="B72">
        <v>5.83</v>
      </c>
      <c r="C72" t="s">
        <v>553</v>
      </c>
      <c r="D72" s="75">
        <v>9653000000</v>
      </c>
      <c r="E72" s="75">
        <v>332000000</v>
      </c>
      <c r="F72" s="99">
        <v>65061071.827743746</v>
      </c>
      <c r="G72" s="99">
        <v>8975340648.8602448</v>
      </c>
      <c r="H72" s="93">
        <v>0.46489902874030059</v>
      </c>
    </row>
    <row r="73" spans="1:8" x14ac:dyDescent="0.25">
      <c r="A73">
        <v>71</v>
      </c>
      <c r="B73">
        <v>5.92</v>
      </c>
      <c r="C73" t="s">
        <v>553</v>
      </c>
      <c r="D73" s="75">
        <v>9992000000</v>
      </c>
      <c r="E73" s="75">
        <v>339000000</v>
      </c>
      <c r="F73" s="99">
        <v>67315054.86645183</v>
      </c>
      <c r="G73" s="99">
        <v>9281735703.726696</v>
      </c>
      <c r="H73" s="93">
        <v>0.46445835186782908</v>
      </c>
    </row>
    <row r="74" spans="1:8" x14ac:dyDescent="0.25">
      <c r="A74">
        <v>72</v>
      </c>
      <c r="B74">
        <v>6</v>
      </c>
      <c r="C74" t="s">
        <v>553</v>
      </c>
      <c r="D74" s="75">
        <v>10338000000</v>
      </c>
      <c r="E74" s="75">
        <v>346000000</v>
      </c>
      <c r="F74" s="99">
        <v>69613017.777950212</v>
      </c>
      <c r="G74" s="99">
        <v>9593968721.5046463</v>
      </c>
      <c r="H74" s="93">
        <v>0.46401473793309372</v>
      </c>
    </row>
    <row r="75" spans="1:8" x14ac:dyDescent="0.25">
      <c r="A75">
        <v>73</v>
      </c>
      <c r="B75">
        <v>6.08</v>
      </c>
      <c r="C75" t="s">
        <v>553</v>
      </c>
      <c r="D75" s="75">
        <v>10691000000</v>
      </c>
      <c r="E75" s="75">
        <v>353000000</v>
      </c>
      <c r="F75" s="99">
        <v>71954765.411284849</v>
      </c>
      <c r="G75" s="99">
        <v>9912013486.9159317</v>
      </c>
      <c r="H75" s="93">
        <v>0.46356811743129422</v>
      </c>
    </row>
    <row r="76" spans="1:8" x14ac:dyDescent="0.25">
      <c r="A76">
        <v>74</v>
      </c>
      <c r="B76">
        <v>6.17</v>
      </c>
      <c r="C76" t="s">
        <v>553</v>
      </c>
      <c r="D76" s="75">
        <v>11052000000</v>
      </c>
      <c r="E76" s="75">
        <v>361000000</v>
      </c>
      <c r="F76" s="99">
        <v>74340101.151869491</v>
      </c>
      <c r="G76" s="99">
        <v>10236833588.067801</v>
      </c>
      <c r="H76" s="93">
        <v>0.46312131686879299</v>
      </c>
    </row>
    <row r="77" spans="1:8" x14ac:dyDescent="0.25">
      <c r="A77">
        <v>75</v>
      </c>
      <c r="B77">
        <v>6.25</v>
      </c>
      <c r="C77" t="s">
        <v>553</v>
      </c>
      <c r="D77" s="75">
        <v>11421000000</v>
      </c>
      <c r="E77" s="75">
        <v>369000000</v>
      </c>
      <c r="F77" s="99">
        <v>76776251.910508499</v>
      </c>
      <c r="G77" s="99">
        <v>10568399839.97831</v>
      </c>
      <c r="H77" s="93">
        <v>0.46267401453367962</v>
      </c>
    </row>
    <row r="78" spans="1:8" x14ac:dyDescent="0.25">
      <c r="A78">
        <v>76</v>
      </c>
      <c r="B78">
        <v>6.33</v>
      </c>
      <c r="C78" t="s">
        <v>553</v>
      </c>
      <c r="D78" s="75">
        <v>11798000000</v>
      </c>
      <c r="E78" s="75">
        <v>377000000</v>
      </c>
      <c r="F78" s="99">
        <v>79262998.799837321</v>
      </c>
      <c r="G78" s="99">
        <v>10906682838.778151</v>
      </c>
      <c r="H78" s="93">
        <v>0.46222592129081819</v>
      </c>
    </row>
    <row r="79" spans="1:8" x14ac:dyDescent="0.25">
      <c r="A79">
        <v>77</v>
      </c>
      <c r="B79">
        <v>6.42</v>
      </c>
      <c r="C79" t="s">
        <v>553</v>
      </c>
      <c r="D79" s="75">
        <v>12183000000</v>
      </c>
      <c r="E79" s="75">
        <v>385000000</v>
      </c>
      <c r="F79" s="99">
        <v>81800121.290836096</v>
      </c>
      <c r="G79" s="99">
        <v>11251652960.068979</v>
      </c>
      <c r="H79" s="93">
        <v>0.46177677747964307</v>
      </c>
    </row>
    <row r="80" spans="1:8" x14ac:dyDescent="0.25">
      <c r="A80">
        <v>78</v>
      </c>
      <c r="B80">
        <v>6.5</v>
      </c>
      <c r="C80" t="s">
        <v>553</v>
      </c>
      <c r="D80" s="75">
        <v>12576000000</v>
      </c>
      <c r="E80" s="75">
        <v>393000000</v>
      </c>
      <c r="F80" s="99">
        <v>84387397.200517371</v>
      </c>
      <c r="G80" s="99">
        <v>11603280357.269501</v>
      </c>
      <c r="H80" s="93">
        <v>0.46132635008227979</v>
      </c>
    </row>
    <row r="81" spans="1:8" x14ac:dyDescent="0.25">
      <c r="A81">
        <v>79</v>
      </c>
      <c r="B81">
        <v>6.58</v>
      </c>
      <c r="C81" t="s">
        <v>553</v>
      </c>
      <c r="D81" s="75">
        <v>12977000000</v>
      </c>
      <c r="E81" s="75">
        <v>401000000</v>
      </c>
      <c r="F81" s="99">
        <v>87024602.679521248</v>
      </c>
      <c r="G81" s="99">
        <v>11961534959.94902</v>
      </c>
      <c r="H81" s="93">
        <v>0.46087443014367813</v>
      </c>
    </row>
    <row r="82" spans="1:8" x14ac:dyDescent="0.25">
      <c r="A82">
        <v>80</v>
      </c>
      <c r="B82">
        <v>6.67</v>
      </c>
      <c r="C82" t="s">
        <v>553</v>
      </c>
      <c r="D82" s="75">
        <v>13386000000</v>
      </c>
      <c r="E82" s="75">
        <v>409000000</v>
      </c>
      <c r="F82" s="99">
        <v>89711512.199617669</v>
      </c>
      <c r="G82" s="99">
        <v>12326386472.14864</v>
      </c>
      <c r="H82" s="93">
        <v>0.46042083042539372</v>
      </c>
    </row>
    <row r="83" spans="1:8" x14ac:dyDescent="0.25">
      <c r="A83">
        <v>81</v>
      </c>
      <c r="B83">
        <v>6.75</v>
      </c>
      <c r="C83" t="s">
        <v>553</v>
      </c>
      <c r="D83" s="75">
        <v>13803000000</v>
      </c>
      <c r="E83" s="75">
        <v>417000000</v>
      </c>
      <c r="F83" s="99">
        <v>92447898.541114792</v>
      </c>
      <c r="G83" s="99">
        <v>12697804370.689751</v>
      </c>
      <c r="H83" s="93">
        <v>0.4599653832750038</v>
      </c>
    </row>
    <row r="84" spans="1:8" x14ac:dyDescent="0.25">
      <c r="A84">
        <v>82</v>
      </c>
      <c r="B84">
        <v>6.83</v>
      </c>
      <c r="C84" t="s">
        <v>553</v>
      </c>
      <c r="D84" s="75">
        <v>14228000000</v>
      </c>
      <c r="E84" s="75">
        <v>425000000</v>
      </c>
      <c r="F84" s="99">
        <v>95233532.780173153</v>
      </c>
      <c r="G84" s="99">
        <v>13075757903.469931</v>
      </c>
      <c r="H84" s="93">
        <v>0.45950793869377032</v>
      </c>
    </row>
    <row r="85" spans="1:8" x14ac:dyDescent="0.25">
      <c r="A85">
        <v>83</v>
      </c>
      <c r="B85">
        <v>6.92</v>
      </c>
      <c r="C85" t="s">
        <v>553</v>
      </c>
      <c r="D85" s="75">
        <v>14661000000</v>
      </c>
      <c r="E85" s="75">
        <v>433000000</v>
      </c>
      <c r="F85" s="99">
        <v>98068184.276024446</v>
      </c>
      <c r="G85" s="99">
        <v>13460216087.745951</v>
      </c>
      <c r="H85" s="93">
        <v>0.4590483625859747</v>
      </c>
    </row>
    <row r="86" spans="1:8" x14ac:dyDescent="0.25">
      <c r="A86">
        <v>84</v>
      </c>
      <c r="B86">
        <v>7</v>
      </c>
      <c r="C86" t="s">
        <v>553</v>
      </c>
      <c r="D86" s="75">
        <v>15102000000</v>
      </c>
      <c r="E86" s="75">
        <v>441000000</v>
      </c>
      <c r="F86" s="99">
        <v>100951620.6580946</v>
      </c>
      <c r="G86" s="99">
        <v>13851147708.404051</v>
      </c>
      <c r="H86" s="93">
        <v>0.45858653517428299</v>
      </c>
    </row>
    <row r="87" spans="1:8" x14ac:dyDescent="0.25">
      <c r="A87">
        <v>85</v>
      </c>
      <c r="B87">
        <v>7.08</v>
      </c>
      <c r="C87" t="s">
        <v>553</v>
      </c>
      <c r="D87" s="75">
        <v>15551000000</v>
      </c>
      <c r="E87" s="75">
        <v>449000000</v>
      </c>
      <c r="F87" s="99">
        <v>103883607.8130303</v>
      </c>
      <c r="G87" s="99">
        <v>14248521316.217079</v>
      </c>
      <c r="H87" s="93">
        <v>0.45812234956649328</v>
      </c>
    </row>
    <row r="88" spans="1:8" x14ac:dyDescent="0.25">
      <c r="A88">
        <v>86</v>
      </c>
      <c r="B88">
        <v>7.17</v>
      </c>
      <c r="C88" t="s">
        <v>553</v>
      </c>
      <c r="D88" s="75">
        <v>16010000000</v>
      </c>
      <c r="E88" s="75">
        <v>459000000</v>
      </c>
      <c r="F88" s="99">
        <v>106863909.87162811</v>
      </c>
      <c r="G88" s="99">
        <v>14654285226.088699</v>
      </c>
      <c r="H88" s="93">
        <v>0.45766037558053407</v>
      </c>
    </row>
    <row r="89" spans="1:8" x14ac:dyDescent="0.25">
      <c r="A89">
        <v>87</v>
      </c>
      <c r="B89">
        <v>7.25</v>
      </c>
      <c r="C89" t="s">
        <v>553</v>
      </c>
      <c r="D89" s="75">
        <v>16479000000</v>
      </c>
      <c r="E89" s="75">
        <v>469000000</v>
      </c>
      <c r="F89" s="99">
        <v>109907139.1956653</v>
      </c>
      <c r="G89" s="99">
        <v>15068402365.28437</v>
      </c>
      <c r="H89" s="93">
        <v>0.45720014458657587</v>
      </c>
    </row>
    <row r="90" spans="1:8" x14ac:dyDescent="0.25">
      <c r="A90">
        <v>88</v>
      </c>
      <c r="B90">
        <v>7.33</v>
      </c>
      <c r="C90" t="s">
        <v>553</v>
      </c>
      <c r="D90" s="75">
        <v>16958000000</v>
      </c>
      <c r="E90" s="75">
        <v>479000000</v>
      </c>
      <c r="F90" s="99">
        <v>113013017.7396328</v>
      </c>
      <c r="G90" s="99">
        <v>15490835383.024</v>
      </c>
      <c r="H90" s="93">
        <v>0.45674122487982077</v>
      </c>
    </row>
    <row r="91" spans="1:8" x14ac:dyDescent="0.25">
      <c r="A91">
        <v>89</v>
      </c>
      <c r="B91">
        <v>7.42</v>
      </c>
      <c r="C91" t="s">
        <v>553</v>
      </c>
      <c r="D91" s="75">
        <v>17447000000</v>
      </c>
      <c r="E91" s="75">
        <v>489000000</v>
      </c>
      <c r="F91" s="99">
        <v>116181265.37267999</v>
      </c>
      <c r="G91" s="99">
        <v>15921546648.396681</v>
      </c>
      <c r="H91" s="93">
        <v>0.45628321913213399</v>
      </c>
    </row>
    <row r="92" spans="1:8" x14ac:dyDescent="0.25">
      <c r="A92">
        <v>90</v>
      </c>
      <c r="B92">
        <v>7.5</v>
      </c>
      <c r="C92" t="s">
        <v>553</v>
      </c>
      <c r="D92" s="75">
        <v>17946000000</v>
      </c>
      <c r="E92" s="75">
        <v>499000000</v>
      </c>
      <c r="F92" s="99">
        <v>119411599.86297511</v>
      </c>
      <c r="G92" s="99">
        <v>16360498248.259661</v>
      </c>
      <c r="H92" s="93">
        <v>0.45582576195975871</v>
      </c>
    </row>
    <row r="93" spans="1:8" x14ac:dyDescent="0.25">
      <c r="A93">
        <v>91</v>
      </c>
      <c r="B93">
        <v>7.58</v>
      </c>
      <c r="C93" t="s">
        <v>553</v>
      </c>
      <c r="D93" s="75">
        <v>18455000000</v>
      </c>
      <c r="E93" s="75">
        <v>509000000</v>
      </c>
      <c r="F93" s="99">
        <v>122703736.8619474</v>
      </c>
      <c r="G93" s="99">
        <v>16807651985.121611</v>
      </c>
      <c r="H93" s="93">
        <v>0.45536851761369829</v>
      </c>
    </row>
    <row r="94" spans="1:8" x14ac:dyDescent="0.25">
      <c r="A94">
        <v>92</v>
      </c>
      <c r="B94">
        <v>7.67</v>
      </c>
      <c r="C94" t="s">
        <v>553</v>
      </c>
      <c r="D94" s="75">
        <v>18974000000</v>
      </c>
      <c r="E94" s="75">
        <v>519000000</v>
      </c>
      <c r="F94" s="99">
        <v>126057389.888412</v>
      </c>
      <c r="G94" s="99">
        <v>17262969375.010021</v>
      </c>
      <c r="H94" s="93">
        <v>0.45491117779619528</v>
      </c>
    </row>
    <row r="95" spans="1:8" x14ac:dyDescent="0.25">
      <c r="A95">
        <v>93</v>
      </c>
      <c r="B95">
        <v>7.75</v>
      </c>
      <c r="C95" t="s">
        <v>553</v>
      </c>
      <c r="D95" s="75">
        <v>19503000000</v>
      </c>
      <c r="E95" s="75">
        <v>529000000</v>
      </c>
      <c r="F95" s="99">
        <v>129472270.3125751</v>
      </c>
      <c r="G95" s="99">
        <v>17726411645.32259</v>
      </c>
      <c r="H95" s="93">
        <v>0.45445345960422989</v>
      </c>
    </row>
    <row r="96" spans="1:8" x14ac:dyDescent="0.25">
      <c r="A96">
        <v>94</v>
      </c>
      <c r="B96">
        <v>7.83</v>
      </c>
      <c r="C96" t="s">
        <v>553</v>
      </c>
      <c r="D96" s="75">
        <v>20042000000</v>
      </c>
      <c r="E96" s="75">
        <v>539000000</v>
      </c>
      <c r="F96" s="99">
        <v>132948087.3399194</v>
      </c>
      <c r="G96" s="99">
        <v>18197939732.66251</v>
      </c>
      <c r="H96" s="93">
        <v>0.45399510359900491</v>
      </c>
    </row>
    <row r="97" spans="1:8" x14ac:dyDescent="0.25">
      <c r="A97">
        <v>95</v>
      </c>
      <c r="B97">
        <v>7.92</v>
      </c>
      <c r="C97" t="s">
        <v>553</v>
      </c>
      <c r="D97" s="75">
        <v>20591000000</v>
      </c>
      <c r="E97" s="75">
        <v>549000000</v>
      </c>
      <c r="F97" s="99">
        <v>136484547.99496889</v>
      </c>
      <c r="G97" s="99">
        <v>18677514280.657478</v>
      </c>
      <c r="H97" s="93">
        <v>0.45353587199887041</v>
      </c>
    </row>
    <row r="98" spans="1:8" x14ac:dyDescent="0.25">
      <c r="A98">
        <v>96</v>
      </c>
      <c r="B98">
        <v>8</v>
      </c>
      <c r="C98" t="s">
        <v>553</v>
      </c>
      <c r="D98" s="75">
        <v>21150000000</v>
      </c>
      <c r="E98" s="75">
        <v>559000000</v>
      </c>
      <c r="F98" s="99">
        <v>140081357.10493109</v>
      </c>
      <c r="G98" s="99">
        <v>19165095637.762409</v>
      </c>
      <c r="H98" s="93">
        <v>0.45307554699201918</v>
      </c>
    </row>
    <row r="99" spans="1:8" x14ac:dyDescent="0.25">
      <c r="A99">
        <v>97</v>
      </c>
      <c r="B99">
        <v>8.08</v>
      </c>
      <c r="C99" t="s">
        <v>553</v>
      </c>
      <c r="D99" s="75">
        <v>21719000000</v>
      </c>
      <c r="E99" s="75">
        <v>569000000</v>
      </c>
      <c r="F99" s="99">
        <v>143738217.28321809</v>
      </c>
      <c r="G99" s="99">
        <v>19660643855.045631</v>
      </c>
      <c r="H99" s="93">
        <v>0.45261392916445581</v>
      </c>
    </row>
    <row r="100" spans="1:8" x14ac:dyDescent="0.25">
      <c r="A100">
        <v>98</v>
      </c>
      <c r="B100">
        <v>8.17</v>
      </c>
      <c r="C100" t="s">
        <v>553</v>
      </c>
      <c r="D100" s="75">
        <v>22298000000</v>
      </c>
      <c r="E100" s="75">
        <v>579000000</v>
      </c>
      <c r="F100" s="99">
        <v>147454828.91284221</v>
      </c>
      <c r="G100" s="99">
        <v>20164118683.958469</v>
      </c>
      <c r="H100" s="93">
        <v>0.45215083603817552</v>
      </c>
    </row>
    <row r="101" spans="1:8" x14ac:dyDescent="0.25">
      <c r="A101">
        <v>99</v>
      </c>
      <c r="B101">
        <v>8.25</v>
      </c>
      <c r="C101" t="s">
        <v>553</v>
      </c>
      <c r="D101" s="75">
        <v>22887000000</v>
      </c>
      <c r="E101" s="75">
        <v>589000000</v>
      </c>
      <c r="F101" s="99">
        <v>151230890.1296885</v>
      </c>
      <c r="G101" s="99">
        <v>20675479574.088161</v>
      </c>
      <c r="H101" s="93">
        <v>0.45168610071412069</v>
      </c>
    </row>
    <row r="102" spans="1:8" x14ac:dyDescent="0.25">
      <c r="A102">
        <v>100</v>
      </c>
      <c r="B102">
        <v>8.33</v>
      </c>
      <c r="C102" t="s">
        <v>553</v>
      </c>
      <c r="D102" s="75">
        <v>23486000000</v>
      </c>
      <c r="E102" s="75">
        <v>599000000</v>
      </c>
      <c r="F102" s="99">
        <v>155066096.8056612</v>
      </c>
      <c r="G102" s="99">
        <v>21194685670.893822</v>
      </c>
      <c r="H102" s="93">
        <v>0.45121957061427698</v>
      </c>
    </row>
    <row r="103" spans="1:8" x14ac:dyDescent="0.25">
      <c r="A103">
        <v>101</v>
      </c>
      <c r="B103">
        <v>8.42</v>
      </c>
      <c r="C103" t="s">
        <v>553</v>
      </c>
      <c r="D103" s="75">
        <v>24095000000</v>
      </c>
      <c r="E103" s="75">
        <v>609000000</v>
      </c>
      <c r="F103" s="99">
        <v>158960142.53170371</v>
      </c>
      <c r="G103" s="99">
        <v>21721695813.425529</v>
      </c>
      <c r="H103" s="93">
        <v>0.4507511063171929</v>
      </c>
    </row>
    <row r="104" spans="1:8" x14ac:dyDescent="0.25">
      <c r="A104">
        <v>102</v>
      </c>
      <c r="B104">
        <v>8.5</v>
      </c>
      <c r="C104" t="s">
        <v>553</v>
      </c>
      <c r="D104" s="75">
        <v>24714000000</v>
      </c>
      <c r="E104" s="75">
        <v>619000000</v>
      </c>
      <c r="F104" s="99">
        <v>162912718.60069141</v>
      </c>
      <c r="G104" s="99">
        <v>22256468532.026218</v>
      </c>
      <c r="H104" s="93">
        <v>0.45028058048122971</v>
      </c>
    </row>
    <row r="105" spans="1:8" x14ac:dyDescent="0.25">
      <c r="A105">
        <v>103</v>
      </c>
      <c r="B105">
        <v>8.58</v>
      </c>
      <c r="C105" t="s">
        <v>553</v>
      </c>
      <c r="D105" s="75">
        <v>25343000000</v>
      </c>
      <c r="E105" s="75">
        <v>629000000</v>
      </c>
      <c r="F105" s="99">
        <v>166923513.99019659</v>
      </c>
      <c r="G105" s="99">
        <v>22798962046.016411</v>
      </c>
      <c r="H105" s="93">
        <v>0.449807876849947</v>
      </c>
    </row>
    <row r="106" spans="1:8" x14ac:dyDescent="0.25">
      <c r="A106">
        <v>104</v>
      </c>
      <c r="B106">
        <v>8.67</v>
      </c>
      <c r="C106" t="s">
        <v>553</v>
      </c>
      <c r="D106" s="75">
        <v>25982000000</v>
      </c>
      <c r="E106" s="75">
        <v>639000000</v>
      </c>
      <c r="F106" s="99">
        <v>170992215.34512311</v>
      </c>
      <c r="G106" s="99">
        <v>23349134261.361542</v>
      </c>
      <c r="H106" s="93">
        <v>0.44933288933418403</v>
      </c>
    </row>
    <row r="107" spans="1:8" x14ac:dyDescent="0.25">
      <c r="A107">
        <v>105</v>
      </c>
      <c r="B107">
        <v>8.75</v>
      </c>
      <c r="C107" t="s">
        <v>553</v>
      </c>
      <c r="D107" s="75">
        <v>26631000000</v>
      </c>
      <c r="E107" s="75">
        <v>649000000</v>
      </c>
      <c r="F107" s="99">
        <v>175118506.96021149</v>
      </c>
      <c r="G107" s="99">
        <v>23906942768.321751</v>
      </c>
      <c r="H107" s="93">
        <v>0.4488555211655918</v>
      </c>
    </row>
    <row r="108" spans="1:8" x14ac:dyDescent="0.25">
      <c r="A108">
        <v>106</v>
      </c>
      <c r="B108">
        <v>8.83</v>
      </c>
      <c r="C108" t="s">
        <v>553</v>
      </c>
      <c r="D108" s="75">
        <v>27290000000</v>
      </c>
      <c r="E108" s="75">
        <v>659000000</v>
      </c>
      <c r="F108" s="99">
        <v>179302070.76241311</v>
      </c>
      <c r="G108" s="99">
        <v>24472344839.08416</v>
      </c>
      <c r="H108" s="93">
        <v>0.4483756841166025</v>
      </c>
    </row>
    <row r="109" spans="1:8" x14ac:dyDescent="0.25">
      <c r="A109">
        <v>107</v>
      </c>
      <c r="B109">
        <v>8.92</v>
      </c>
      <c r="C109" t="s">
        <v>553</v>
      </c>
      <c r="D109" s="75">
        <v>27959000000</v>
      </c>
      <c r="E109" s="75">
        <v>669000000</v>
      </c>
      <c r="F109" s="99">
        <v>183542586.2931312</v>
      </c>
      <c r="G109" s="99">
        <v>25045297425.3773</v>
      </c>
      <c r="H109" s="93">
        <v>0.44789329778206122</v>
      </c>
    </row>
    <row r="110" spans="1:8" x14ac:dyDescent="0.25">
      <c r="A110">
        <v>108</v>
      </c>
      <c r="B110">
        <v>9</v>
      </c>
      <c r="C110" t="s">
        <v>553</v>
      </c>
      <c r="D110" s="75">
        <v>28638000000</v>
      </c>
      <c r="E110" s="75">
        <v>679000000</v>
      </c>
      <c r="F110" s="99">
        <v>187839730.6903297</v>
      </c>
      <c r="G110" s="99">
        <v>25625757156.067631</v>
      </c>
      <c r="H110" s="93">
        <v>0.44740828891800449</v>
      </c>
    </row>
    <row r="111" spans="1:8" x14ac:dyDescent="0.25">
      <c r="A111">
        <v>109</v>
      </c>
      <c r="B111">
        <v>9.08</v>
      </c>
      <c r="C111" t="s">
        <v>553</v>
      </c>
      <c r="D111" s="75">
        <v>29327000000</v>
      </c>
      <c r="E111" s="75">
        <v>689000000</v>
      </c>
      <c r="F111" s="99">
        <v>192193178.67050719</v>
      </c>
      <c r="G111" s="99">
        <v>26213680334.738129</v>
      </c>
      <c r="H111" s="93">
        <v>0.44692059083332991</v>
      </c>
    </row>
    <row r="112" spans="1:8" x14ac:dyDescent="0.25">
      <c r="A112">
        <v>110</v>
      </c>
      <c r="B112">
        <v>9.17</v>
      </c>
      <c r="C112" t="s">
        <v>553</v>
      </c>
      <c r="D112" s="75">
        <v>30026000000</v>
      </c>
      <c r="E112" s="75">
        <v>699000000</v>
      </c>
      <c r="F112" s="99">
        <v>196602602.51053599</v>
      </c>
      <c r="G112" s="99">
        <v>26809022937.248669</v>
      </c>
      <c r="H112" s="93">
        <v>0.44643014283035809</v>
      </c>
    </row>
    <row r="113" spans="1:8" x14ac:dyDescent="0.25">
      <c r="A113">
        <v>111</v>
      </c>
      <c r="B113">
        <v>9.25</v>
      </c>
      <c r="C113" t="s">
        <v>553</v>
      </c>
      <c r="D113" s="75">
        <v>30735000000</v>
      </c>
      <c r="E113" s="75">
        <v>709000000</v>
      </c>
      <c r="F113" s="99">
        <v>201067672.029365</v>
      </c>
      <c r="G113" s="99">
        <v>27411740609.27803</v>
      </c>
      <c r="H113" s="93">
        <v>0.44593688969054879</v>
      </c>
    </row>
    <row r="114" spans="1:8" x14ac:dyDescent="0.25">
      <c r="A114">
        <v>112</v>
      </c>
      <c r="B114">
        <v>9.33</v>
      </c>
      <c r="C114" t="s">
        <v>553</v>
      </c>
      <c r="D114" s="75">
        <v>31454000000</v>
      </c>
      <c r="E114" s="75">
        <v>719000000</v>
      </c>
      <c r="F114" s="99">
        <v>205588054.56958529</v>
      </c>
      <c r="G114" s="99">
        <v>28021788663.847618</v>
      </c>
      <c r="H114" s="93">
        <v>0.44544078120187602</v>
      </c>
    </row>
    <row r="115" spans="1:8" x14ac:dyDescent="0.25">
      <c r="A115">
        <v>113</v>
      </c>
      <c r="B115">
        <v>9.42</v>
      </c>
      <c r="C115" t="s">
        <v>553</v>
      </c>
      <c r="D115" s="75">
        <v>32183000000</v>
      </c>
      <c r="E115" s="75">
        <v>729000000</v>
      </c>
      <c r="F115" s="99">
        <v>210163414.9788571</v>
      </c>
      <c r="G115" s="99">
        <v>28639122078.826481</v>
      </c>
      <c r="H115" s="93">
        <v>0.44494177172461358</v>
      </c>
    </row>
    <row r="116" spans="1:8" x14ac:dyDescent="0.25">
      <c r="A116">
        <v>114</v>
      </c>
      <c r="B116">
        <v>9.5</v>
      </c>
      <c r="C116" t="s">
        <v>553</v>
      </c>
      <c r="D116" s="75">
        <v>32922000000</v>
      </c>
      <c r="E116" s="75">
        <v>739000000</v>
      </c>
      <c r="F116" s="99">
        <v>214793415.59119859</v>
      </c>
      <c r="G116" s="99">
        <v>29263695494.417679</v>
      </c>
      <c r="H116" s="93">
        <v>0.44443981979250458</v>
      </c>
    </row>
    <row r="117" spans="1:8" x14ac:dyDescent="0.25">
      <c r="A117">
        <v>115</v>
      </c>
      <c r="B117">
        <v>9.58</v>
      </c>
      <c r="C117" t="s">
        <v>553</v>
      </c>
      <c r="D117" s="75">
        <v>33671000000</v>
      </c>
      <c r="E117" s="75">
        <v>749000000</v>
      </c>
      <c r="F117" s="99">
        <v>219477716.20813259</v>
      </c>
      <c r="G117" s="99">
        <v>29895463210.625809</v>
      </c>
      <c r="H117" s="93">
        <v>0.44393488774651502</v>
      </c>
    </row>
    <row r="118" spans="1:8" x14ac:dyDescent="0.25">
      <c r="A118">
        <v>116</v>
      </c>
      <c r="B118">
        <v>9.67</v>
      </c>
      <c r="C118" t="s">
        <v>553</v>
      </c>
      <c r="D118" s="75">
        <v>34430000000</v>
      </c>
      <c r="E118" s="75">
        <v>759000000</v>
      </c>
      <c r="F118" s="99">
        <v>224215974.07969359</v>
      </c>
      <c r="G118" s="99">
        <v>30534379184.705502</v>
      </c>
      <c r="H118" s="93">
        <v>0.44342694139856959</v>
      </c>
    </row>
    <row r="119" spans="1:8" x14ac:dyDescent="0.25">
      <c r="A119">
        <v>117</v>
      </c>
      <c r="B119">
        <v>9.75</v>
      </c>
      <c r="C119" t="s">
        <v>553</v>
      </c>
      <c r="D119" s="75">
        <v>35199000000</v>
      </c>
      <c r="E119" s="75">
        <v>769000000</v>
      </c>
      <c r="F119" s="99">
        <v>229007843.88529119</v>
      </c>
      <c r="G119" s="99">
        <v>31180397028.59079</v>
      </c>
      <c r="H119" s="93">
        <v>0.44291594972287268</v>
      </c>
    </row>
    <row r="120" spans="1:8" x14ac:dyDescent="0.25">
      <c r="A120">
        <v>118</v>
      </c>
      <c r="B120">
        <v>9.83</v>
      </c>
      <c r="C120" t="s">
        <v>553</v>
      </c>
      <c r="D120" s="75">
        <v>35978000000</v>
      </c>
      <c r="E120" s="75">
        <v>779000000</v>
      </c>
      <c r="F120" s="99">
        <v>233852977.71443099</v>
      </c>
      <c r="G120" s="99">
        <v>31833470006.305229</v>
      </c>
      <c r="H120" s="93">
        <v>0.44240188457258922</v>
      </c>
    </row>
    <row r="121" spans="1:8" x14ac:dyDescent="0.25">
      <c r="A121">
        <v>119</v>
      </c>
      <c r="B121">
        <v>9.92</v>
      </c>
      <c r="C121" t="s">
        <v>553</v>
      </c>
      <c r="D121" s="75">
        <v>36767000000</v>
      </c>
      <c r="E121" s="75">
        <v>789000000</v>
      </c>
      <c r="F121" s="99">
        <v>238751025.04728919</v>
      </c>
      <c r="G121" s="99">
        <v>32493551031.35252</v>
      </c>
      <c r="H121" s="93">
        <v>0.44188472041984</v>
      </c>
    </row>
    <row r="122" spans="1:8" x14ac:dyDescent="0.25">
      <c r="A122">
        <v>120</v>
      </c>
      <c r="B122">
        <v>10</v>
      </c>
      <c r="C122" t="s">
        <v>553</v>
      </c>
      <c r="D122" s="75">
        <v>37566000000</v>
      </c>
      <c r="E122" s="75">
        <v>799000000</v>
      </c>
      <c r="F122" s="99">
        <v>243701632.7351439</v>
      </c>
      <c r="G122" s="99">
        <v>33160592664.087662</v>
      </c>
      <c r="H122" s="93">
        <v>0.44136443411712267</v>
      </c>
    </row>
    <row r="123" spans="1:8" x14ac:dyDescent="0.25">
      <c r="A123">
        <v>121</v>
      </c>
      <c r="B123">
        <v>10.08</v>
      </c>
      <c r="C123" t="s">
        <v>553</v>
      </c>
      <c r="D123" s="75">
        <v>38375000000</v>
      </c>
      <c r="E123" s="75">
        <v>809000000</v>
      </c>
      <c r="F123" s="99">
        <v>248704444.98065749</v>
      </c>
      <c r="G123" s="99">
        <v>33834547109.068321</v>
      </c>
      <c r="H123" s="93">
        <v>0.44084100467841458</v>
      </c>
    </row>
    <row r="124" spans="1:8" x14ac:dyDescent="0.25">
      <c r="A124">
        <v>122</v>
      </c>
      <c r="B124">
        <v>10.17</v>
      </c>
      <c r="C124" t="s">
        <v>553</v>
      </c>
      <c r="D124" s="75">
        <v>39194000000</v>
      </c>
      <c r="E124" s="75">
        <v>819000000</v>
      </c>
      <c r="F124" s="99">
        <v>253759103.31801239</v>
      </c>
      <c r="G124" s="99">
        <v>34515366212.38633</v>
      </c>
      <c r="H124" s="93">
        <v>0.44031441307835811</v>
      </c>
    </row>
    <row r="125" spans="1:8" x14ac:dyDescent="0.25">
      <c r="A125">
        <v>123</v>
      </c>
      <c r="B125">
        <v>10.25</v>
      </c>
      <c r="C125" t="s">
        <v>553</v>
      </c>
      <c r="D125" s="75">
        <v>40023000000</v>
      </c>
      <c r="E125" s="75">
        <v>829000000</v>
      </c>
      <c r="F125" s="99">
        <v>258865246.5928975</v>
      </c>
      <c r="G125" s="99">
        <v>35203001458.979233</v>
      </c>
      <c r="H125" s="93">
        <v>0.43978464206805118</v>
      </c>
    </row>
    <row r="126" spans="1:8" x14ac:dyDescent="0.25">
      <c r="A126">
        <v>124</v>
      </c>
      <c r="B126">
        <v>10.33</v>
      </c>
      <c r="C126" t="s">
        <v>553</v>
      </c>
      <c r="D126" s="75">
        <v>40862000000</v>
      </c>
      <c r="E126" s="75">
        <v>839000000</v>
      </c>
      <c r="F126" s="99">
        <v>264022510.94234419</v>
      </c>
      <c r="G126" s="99">
        <v>35897403969.92157</v>
      </c>
      <c r="H126" s="93">
        <v>0.43925167600608839</v>
      </c>
    </row>
    <row r="127" spans="1:8" x14ac:dyDescent="0.25">
      <c r="A127">
        <v>125</v>
      </c>
      <c r="B127">
        <v>10.42</v>
      </c>
      <c r="C127" t="s">
        <v>553</v>
      </c>
      <c r="D127" s="75">
        <v>41711000000</v>
      </c>
      <c r="E127" s="75">
        <v>849000000</v>
      </c>
      <c r="F127" s="99">
        <v>269230529.77441168</v>
      </c>
      <c r="G127" s="99">
        <v>36598524499.695976</v>
      </c>
      <c r="H127" s="93">
        <v>0.43871550070360321</v>
      </c>
    </row>
    <row r="128" spans="1:8" x14ac:dyDescent="0.25">
      <c r="A128">
        <v>126</v>
      </c>
      <c r="B128">
        <v>10.5</v>
      </c>
      <c r="C128" t="s">
        <v>553</v>
      </c>
      <c r="D128" s="75">
        <v>42570000000</v>
      </c>
      <c r="E128" s="75">
        <v>859000000</v>
      </c>
      <c r="F128" s="99">
        <v>274488933.74771988</v>
      </c>
      <c r="G128" s="99">
        <v>37306313433.443703</v>
      </c>
      <c r="H128" s="93">
        <v>0.43817610328216711</v>
      </c>
    </row>
    <row r="129" spans="1:8" x14ac:dyDescent="0.25">
      <c r="A129">
        <v>127</v>
      </c>
      <c r="B129">
        <v>10.58</v>
      </c>
      <c r="C129" t="s">
        <v>553</v>
      </c>
      <c r="D129" s="75">
        <v>43439000000</v>
      </c>
      <c r="E129" s="75">
        <v>869000000</v>
      </c>
      <c r="F129" s="99">
        <v>279797350.75082779</v>
      </c>
      <c r="G129" s="99">
        <v>38020720784.194527</v>
      </c>
      <c r="H129" s="93">
        <v>0.4376334720434924</v>
      </c>
    </row>
    <row r="130" spans="1:8" x14ac:dyDescent="0.25">
      <c r="A130">
        <v>128</v>
      </c>
      <c r="B130">
        <v>10.67</v>
      </c>
      <c r="C130" t="s">
        <v>553</v>
      </c>
      <c r="D130" s="75">
        <v>44318000000</v>
      </c>
      <c r="E130" s="75">
        <v>879000000</v>
      </c>
      <c r="F130" s="99">
        <v>285155405.881459</v>
      </c>
      <c r="G130" s="99">
        <v>38741696190.075996</v>
      </c>
      <c r="H130" s="93">
        <v>0.43708759634997058</v>
      </c>
    </row>
    <row r="131" spans="1:8" x14ac:dyDescent="0.25">
      <c r="A131">
        <v>129</v>
      </c>
      <c r="B131">
        <v>10.75</v>
      </c>
      <c r="C131" t="s">
        <v>553</v>
      </c>
      <c r="D131" s="75">
        <v>45207000000</v>
      </c>
      <c r="E131" s="75">
        <v>889000000</v>
      </c>
      <c r="F131" s="99">
        <v>290562721.42557001</v>
      </c>
      <c r="G131" s="99">
        <v>39469188911.501556</v>
      </c>
      <c r="H131" s="93">
        <v>0.43653846651515882</v>
      </c>
    </row>
    <row r="132" spans="1:8" x14ac:dyDescent="0.25">
      <c r="A132">
        <v>130</v>
      </c>
      <c r="B132">
        <v>10.83</v>
      </c>
      <c r="C132" t="s">
        <v>553</v>
      </c>
      <c r="D132" s="75">
        <v>46106000000</v>
      </c>
      <c r="E132" s="75">
        <v>899000000</v>
      </c>
      <c r="F132" s="99">
        <v>296018916.83626169</v>
      </c>
      <c r="G132" s="99">
        <v>40203147828.337822</v>
      </c>
      <c r="H132" s="93">
        <v>0.43598607370339892</v>
      </c>
    </row>
    <row r="133" spans="1:8" x14ac:dyDescent="0.25">
      <c r="A133">
        <v>131</v>
      </c>
      <c r="B133">
        <v>10.92</v>
      </c>
      <c r="C133" t="s">
        <v>553</v>
      </c>
      <c r="D133" s="75">
        <v>47015000000</v>
      </c>
      <c r="E133" s="75">
        <v>909000000</v>
      </c>
      <c r="F133" s="99">
        <v>301523608.71253371</v>
      </c>
      <c r="G133" s="99">
        <v>40943521437.050346</v>
      </c>
      <c r="H133" s="93">
        <v>0.4354304098378215</v>
      </c>
    </row>
    <row r="134" spans="1:8" x14ac:dyDescent="0.25">
      <c r="A134">
        <v>132</v>
      </c>
      <c r="B134">
        <v>11</v>
      </c>
      <c r="C134" t="s">
        <v>553</v>
      </c>
      <c r="D134" s="75">
        <v>47934000000</v>
      </c>
      <c r="E134" s="75">
        <v>919000000</v>
      </c>
      <c r="F134" s="99">
        <v>307076410.77787763</v>
      </c>
      <c r="G134" s="99">
        <v>41690257847.828232</v>
      </c>
      <c r="H134" s="93">
        <v>0.43487146751604527</v>
      </c>
    </row>
    <row r="135" spans="1:8" x14ac:dyDescent="0.25">
      <c r="A135">
        <v>133</v>
      </c>
      <c r="B135">
        <v>11.08</v>
      </c>
      <c r="C135" t="s">
        <v>553</v>
      </c>
      <c r="D135" s="75">
        <v>48863000000</v>
      </c>
      <c r="E135" s="75">
        <v>929000000</v>
      </c>
      <c r="F135" s="99">
        <v>312676933.85871172</v>
      </c>
      <c r="G135" s="99">
        <v>42443304781.686943</v>
      </c>
      <c r="H135" s="93">
        <v>0.43430923993294462</v>
      </c>
    </row>
    <row r="136" spans="1:8" x14ac:dyDescent="0.25">
      <c r="A136">
        <v>134</v>
      </c>
      <c r="B136">
        <v>11.17</v>
      </c>
      <c r="C136" t="s">
        <v>553</v>
      </c>
      <c r="D136" s="75">
        <v>49802000000</v>
      </c>
      <c r="E136" s="75">
        <v>939000000</v>
      </c>
      <c r="F136" s="99">
        <v>318324785.86265212</v>
      </c>
      <c r="G136" s="99">
        <v>43202609567.549599</v>
      </c>
      <c r="H136" s="93">
        <v>0.4337437208099032</v>
      </c>
    </row>
    <row r="137" spans="1:8" x14ac:dyDescent="0.25">
      <c r="A137">
        <v>135</v>
      </c>
      <c r="B137">
        <v>11.25</v>
      </c>
      <c r="C137" t="s">
        <v>553</v>
      </c>
      <c r="D137" s="75">
        <v>50751000000</v>
      </c>
      <c r="E137" s="75">
        <v>949000000</v>
      </c>
      <c r="F137" s="99">
        <v>324019571.75662202</v>
      </c>
      <c r="G137" s="99">
        <v>43968119139.306221</v>
      </c>
      <c r="H137" s="93">
        <v>0.43317490433002531</v>
      </c>
    </row>
    <row r="138" spans="1:8" x14ac:dyDescent="0.25">
      <c r="A138">
        <v>136</v>
      </c>
      <c r="B138">
        <v>11.33</v>
      </c>
      <c r="C138" t="s">
        <v>553</v>
      </c>
      <c r="D138" s="75">
        <v>51710000000</v>
      </c>
      <c r="E138" s="75">
        <v>959000000</v>
      </c>
      <c r="F138" s="99">
        <v>329760893.54479659</v>
      </c>
      <c r="G138" s="99">
        <v>44739780032.851021</v>
      </c>
      <c r="H138" s="93">
        <v>0.43260278507881472</v>
      </c>
    </row>
    <row r="139" spans="1:8" x14ac:dyDescent="0.25">
      <c r="A139">
        <v>137</v>
      </c>
      <c r="B139">
        <v>11.42</v>
      </c>
      <c r="C139" t="s">
        <v>553</v>
      </c>
      <c r="D139" s="75">
        <v>52679000000</v>
      </c>
      <c r="E139" s="75">
        <v>969000000</v>
      </c>
      <c r="F139" s="99">
        <v>335548350.24638271</v>
      </c>
      <c r="G139" s="99">
        <v>45517538383.097397</v>
      </c>
      <c r="H139" s="93">
        <v>0.43202735798987651</v>
      </c>
    </row>
    <row r="140" spans="1:8" x14ac:dyDescent="0.25">
      <c r="A140">
        <v>138</v>
      </c>
      <c r="B140">
        <v>11.5</v>
      </c>
      <c r="C140" t="s">
        <v>553</v>
      </c>
      <c r="D140" s="75">
        <v>53658000000</v>
      </c>
      <c r="E140" s="75">
        <v>979000000</v>
      </c>
      <c r="F140" s="99">
        <v>341381537.87323052</v>
      </c>
      <c r="G140" s="99">
        <v>46301339920.970627</v>
      </c>
      <c r="H140" s="93">
        <v>0.43144861829522752</v>
      </c>
    </row>
    <row r="141" spans="1:8" x14ac:dyDescent="0.25">
      <c r="A141">
        <v>139</v>
      </c>
      <c r="B141">
        <v>11.58</v>
      </c>
      <c r="C141" t="s">
        <v>553</v>
      </c>
      <c r="D141" s="75">
        <v>54647000000</v>
      </c>
      <c r="E141" s="75">
        <v>989000000</v>
      </c>
      <c r="F141" s="99">
        <v>347260049.40727967</v>
      </c>
      <c r="G141" s="99">
        <v>47091129970.377907</v>
      </c>
      <c r="H141" s="93">
        <v>0.43086656147984259</v>
      </c>
    </row>
    <row r="142" spans="1:8" x14ac:dyDescent="0.25">
      <c r="A142">
        <v>140</v>
      </c>
      <c r="B142">
        <v>11.67</v>
      </c>
      <c r="C142" t="s">
        <v>553</v>
      </c>
      <c r="D142" s="75">
        <v>55646000000</v>
      </c>
      <c r="E142" s="75">
        <v>999000000</v>
      </c>
      <c r="F142" s="99">
        <v>353183474.77783442</v>
      </c>
      <c r="G142" s="99">
        <v>47886853445.155746</v>
      </c>
      <c r="H142" s="93">
        <v>0.43028118324008691</v>
      </c>
    </row>
    <row r="143" spans="1:8" x14ac:dyDescent="0.25">
      <c r="A143">
        <v>141</v>
      </c>
      <c r="B143">
        <v>11.75</v>
      </c>
      <c r="C143" t="s">
        <v>553</v>
      </c>
      <c r="D143" s="75">
        <v>56655000000</v>
      </c>
      <c r="E143" s="75">
        <v>1009000000</v>
      </c>
      <c r="F143" s="99">
        <v>359151400.83866811</v>
      </c>
      <c r="G143" s="99">
        <v>48688454845.994423</v>
      </c>
      <c r="H143" s="93">
        <v>0.42969247944571898</v>
      </c>
    </row>
    <row r="144" spans="1:8" x14ac:dyDescent="0.25">
      <c r="A144">
        <v>142</v>
      </c>
      <c r="B144">
        <v>11.83</v>
      </c>
      <c r="C144" t="s">
        <v>553</v>
      </c>
      <c r="D144" s="75">
        <v>57674000000</v>
      </c>
      <c r="E144" s="75">
        <v>1019000000</v>
      </c>
      <c r="F144" s="99">
        <v>365163411.34495813</v>
      </c>
      <c r="G144" s="99">
        <v>49495878257.339371</v>
      </c>
      <c r="H144" s="93">
        <v>0.4291004461051719</v>
      </c>
    </row>
    <row r="145" spans="1:8" x14ac:dyDescent="0.25">
      <c r="A145">
        <v>143</v>
      </c>
      <c r="B145">
        <v>11.92</v>
      </c>
      <c r="C145" t="s">
        <v>553</v>
      </c>
      <c r="D145" s="75">
        <v>58703000000</v>
      </c>
      <c r="E145" s="75">
        <v>1029000000</v>
      </c>
      <c r="F145" s="99">
        <v>371219086.93004519</v>
      </c>
      <c r="G145" s="99">
        <v>50309067344.269417</v>
      </c>
      <c r="H145" s="93">
        <v>0.42850507933384507</v>
      </c>
    </row>
    <row r="146" spans="1:8" x14ac:dyDescent="0.25">
      <c r="A146">
        <v>144</v>
      </c>
      <c r="B146">
        <v>12</v>
      </c>
      <c r="C146" t="s">
        <v>553</v>
      </c>
      <c r="D146" s="75">
        <v>59742000000</v>
      </c>
      <c r="E146" s="75">
        <v>1039000000</v>
      </c>
      <c r="F146" s="99">
        <v>377318005.08202058</v>
      </c>
      <c r="G146" s="99">
        <v>51127965349.35144</v>
      </c>
      <c r="H146" s="93">
        <v>0.42790637532516018</v>
      </c>
    </row>
    <row r="147" spans="1:8" x14ac:dyDescent="0.25">
      <c r="A147">
        <v>145</v>
      </c>
      <c r="B147">
        <v>12.08</v>
      </c>
      <c r="C147" t="s">
        <v>553</v>
      </c>
      <c r="D147" s="75">
        <v>60791000000</v>
      </c>
      <c r="E147" s="75">
        <v>1049000000</v>
      </c>
      <c r="F147" s="99">
        <v>383459740.12013578</v>
      </c>
      <c r="G147" s="99">
        <v>51952515089.471573</v>
      </c>
      <c r="H147" s="93">
        <v>0.42730433032415632</v>
      </c>
    </row>
    <row r="148" spans="1:8" x14ac:dyDescent="0.25">
      <c r="A148">
        <v>146</v>
      </c>
      <c r="B148">
        <v>12.17</v>
      </c>
      <c r="C148" t="s">
        <v>553</v>
      </c>
      <c r="D148" s="75">
        <v>61850000000</v>
      </c>
      <c r="E148" s="75">
        <v>1059000000</v>
      </c>
      <c r="F148" s="99">
        <v>389643863.17103678</v>
      </c>
      <c r="G148" s="99">
        <v>52782658952.642609</v>
      </c>
      <c r="H148" s="93">
        <v>0.4266989406034164</v>
      </c>
    </row>
    <row r="149" spans="1:8" x14ac:dyDescent="0.25">
      <c r="A149">
        <v>147</v>
      </c>
      <c r="B149">
        <v>12.25</v>
      </c>
      <c r="C149" t="s">
        <v>553</v>
      </c>
      <c r="D149" s="75">
        <v>62919000000</v>
      </c>
      <c r="E149" s="75">
        <v>1069000000</v>
      </c>
      <c r="F149" s="99">
        <v>395869942.14481962</v>
      </c>
      <c r="G149" s="99">
        <v>53618338894.78743</v>
      </c>
      <c r="H149" s="93">
        <v>0.4260902024411341</v>
      </c>
    </row>
    <row r="150" spans="1:8" x14ac:dyDescent="0.25">
      <c r="A150">
        <v>148</v>
      </c>
      <c r="B150">
        <v>12.33</v>
      </c>
      <c r="C150" t="s">
        <v>553</v>
      </c>
      <c r="D150" s="75">
        <v>63998000000</v>
      </c>
      <c r="E150" s="75">
        <v>1079000000</v>
      </c>
      <c r="F150" s="99">
        <v>402137541.71090567</v>
      </c>
      <c r="G150" s="99">
        <v>54459496436.498337</v>
      </c>
      <c r="H150" s="93">
        <v>0.42547811210114639</v>
      </c>
    </row>
    <row r="151" spans="1:8" x14ac:dyDescent="0.25">
      <c r="A151">
        <v>149</v>
      </c>
      <c r="B151">
        <v>12.42</v>
      </c>
      <c r="C151" t="s">
        <v>553</v>
      </c>
      <c r="D151" s="75">
        <v>65087000000</v>
      </c>
      <c r="E151" s="75">
        <v>1089000000</v>
      </c>
      <c r="F151" s="99">
        <v>408446223.27373749</v>
      </c>
      <c r="G151" s="99">
        <v>55306072659.772072</v>
      </c>
      <c r="H151" s="93">
        <v>0.42486266581477161</v>
      </c>
    </row>
    <row r="152" spans="1:8" x14ac:dyDescent="0.25">
      <c r="A152">
        <v>150</v>
      </c>
      <c r="B152">
        <v>12.5</v>
      </c>
      <c r="C152" t="s">
        <v>553</v>
      </c>
      <c r="D152" s="75">
        <v>66186000000</v>
      </c>
      <c r="E152" s="75">
        <v>1099000000</v>
      </c>
      <c r="F152" s="99">
        <v>414795544.94829053</v>
      </c>
      <c r="G152" s="99">
        <v>56158008204.72036</v>
      </c>
      <c r="H152" s="93">
        <v>0.42424385976430329</v>
      </c>
    </row>
    <row r="153" spans="1:8" x14ac:dyDescent="0.25">
      <c r="A153">
        <v>151</v>
      </c>
      <c r="B153">
        <v>12.58</v>
      </c>
      <c r="C153" t="s">
        <v>553</v>
      </c>
      <c r="D153" s="75">
        <v>67295000000</v>
      </c>
      <c r="E153" s="75">
        <v>1109000000</v>
      </c>
      <c r="F153" s="99">
        <v>421185061.53540272</v>
      </c>
      <c r="G153" s="99">
        <v>57015243266.25576</v>
      </c>
      <c r="H153" s="93">
        <v>0.42362169006802702</v>
      </c>
    </row>
    <row r="154" spans="1:8" x14ac:dyDescent="0.25">
      <c r="A154">
        <v>152</v>
      </c>
      <c r="B154">
        <v>12.67</v>
      </c>
      <c r="C154" t="s">
        <v>553</v>
      </c>
      <c r="D154" s="75">
        <v>68414000000</v>
      </c>
      <c r="E154" s="75">
        <v>1119000000</v>
      </c>
      <c r="F154" s="99">
        <v>427614324.4969182</v>
      </c>
      <c r="G154" s="99">
        <v>57877717590.752678</v>
      </c>
      <c r="H154" s="93">
        <v>0.42299615276663172</v>
      </c>
    </row>
    <row r="155" spans="1:8" x14ac:dyDescent="0.25">
      <c r="A155">
        <v>153</v>
      </c>
      <c r="B155">
        <v>12.75</v>
      </c>
      <c r="C155" t="s">
        <v>553</v>
      </c>
      <c r="D155" s="75">
        <v>69543000000</v>
      </c>
      <c r="E155" s="75">
        <v>1129000000</v>
      </c>
      <c r="F155" s="99">
        <v>434082881.93064499</v>
      </c>
      <c r="G155" s="99">
        <v>58745370472.683327</v>
      </c>
      <c r="H155" s="93">
        <v>0.42236724381090351</v>
      </c>
    </row>
    <row r="156" spans="1:8" x14ac:dyDescent="0.25">
      <c r="A156">
        <v>154</v>
      </c>
      <c r="B156">
        <v>12.83</v>
      </c>
      <c r="C156" t="s">
        <v>553</v>
      </c>
      <c r="D156" s="75">
        <v>70682000000</v>
      </c>
      <c r="E156" s="75">
        <v>1139000000</v>
      </c>
      <c r="F156" s="99">
        <v>440590278.54512489</v>
      </c>
      <c r="G156" s="99">
        <v>59618140751.228447</v>
      </c>
      <c r="H156" s="93">
        <v>0.42173495905059599</v>
      </c>
    </row>
    <row r="157" spans="1:8" x14ac:dyDescent="0.25">
      <c r="A157">
        <v>155</v>
      </c>
      <c r="B157">
        <v>12.92</v>
      </c>
      <c r="C157" t="s">
        <v>553</v>
      </c>
      <c r="D157" s="75">
        <v>71831000000</v>
      </c>
      <c r="E157" s="75">
        <v>1149000000</v>
      </c>
      <c r="F157" s="99">
        <v>447136055.63421339</v>
      </c>
      <c r="G157" s="99">
        <v>60495966806.862671</v>
      </c>
      <c r="H157" s="93">
        <v>0.42109929422437847</v>
      </c>
    </row>
    <row r="158" spans="1:8" x14ac:dyDescent="0.25">
      <c r="A158">
        <v>156</v>
      </c>
      <c r="B158">
        <v>13</v>
      </c>
      <c r="C158" t="s">
        <v>553</v>
      </c>
      <c r="D158" s="75">
        <v>72990000000</v>
      </c>
      <c r="E158" s="75">
        <v>1159000000</v>
      </c>
      <c r="F158" s="99">
        <v>453719751.05146998</v>
      </c>
      <c r="G158" s="99">
        <v>61378786557.914139</v>
      </c>
      <c r="H158" s="93">
        <v>0.42046024495077511</v>
      </c>
    </row>
    <row r="159" spans="1:8" x14ac:dyDescent="0.25">
      <c r="A159">
        <v>157</v>
      </c>
      <c r="B159">
        <v>13.08</v>
      </c>
      <c r="C159" t="s">
        <v>553</v>
      </c>
      <c r="D159" s="75">
        <v>74159000000</v>
      </c>
      <c r="E159" s="75">
        <v>1169000000</v>
      </c>
      <c r="F159" s="99">
        <v>460340899.18435597</v>
      </c>
      <c r="G159" s="99">
        <v>62266537457.098503</v>
      </c>
      <c r="H159" s="93">
        <v>0.41981780672001029</v>
      </c>
    </row>
    <row r="160" spans="1:8" x14ac:dyDescent="0.25">
      <c r="A160">
        <v>158</v>
      </c>
      <c r="B160">
        <v>13.17</v>
      </c>
      <c r="C160" t="s">
        <v>553</v>
      </c>
      <c r="D160" s="75">
        <v>75348000000</v>
      </c>
      <c r="E160" s="75">
        <v>1189000000</v>
      </c>
      <c r="F160" s="99">
        <v>466999030.92823869</v>
      </c>
      <c r="G160" s="99">
        <v>63169056488.026733</v>
      </c>
      <c r="H160" s="93">
        <v>0.41918203859443343</v>
      </c>
    </row>
    <row r="161" spans="1:8" x14ac:dyDescent="0.25">
      <c r="A161">
        <v>159</v>
      </c>
      <c r="B161">
        <v>13.25</v>
      </c>
      <c r="C161" t="s">
        <v>553</v>
      </c>
      <c r="D161" s="75">
        <v>76557000000</v>
      </c>
      <c r="E161" s="75">
        <v>1209000000</v>
      </c>
      <c r="F161" s="99">
        <v>473767923.66020048</v>
      </c>
      <c r="G161" s="99">
        <v>64086254411.686943</v>
      </c>
      <c r="H161" s="93">
        <v>0.41855254523875629</v>
      </c>
    </row>
    <row r="162" spans="1:8" x14ac:dyDescent="0.25">
      <c r="A162">
        <v>160</v>
      </c>
      <c r="B162">
        <v>13.33</v>
      </c>
      <c r="C162" t="s">
        <v>553</v>
      </c>
      <c r="D162" s="75">
        <v>77786000000</v>
      </c>
      <c r="E162" s="75">
        <v>1229000000</v>
      </c>
      <c r="F162" s="99">
        <v>480646908.08765203</v>
      </c>
      <c r="G162" s="99">
        <v>65018041319.77459</v>
      </c>
      <c r="H162" s="93">
        <v>0.41792894171042733</v>
      </c>
    </row>
    <row r="163" spans="1:8" x14ac:dyDescent="0.25">
      <c r="A163">
        <v>161</v>
      </c>
      <c r="B163">
        <v>13.42</v>
      </c>
      <c r="C163" t="s">
        <v>553</v>
      </c>
      <c r="D163" s="75">
        <v>79035000000</v>
      </c>
      <c r="E163" s="75">
        <v>1249000000</v>
      </c>
      <c r="F163" s="99">
        <v>487635309.89830941</v>
      </c>
      <c r="G163" s="99">
        <v>65964326629.672897</v>
      </c>
      <c r="H163" s="93">
        <v>0.41731085360709108</v>
      </c>
    </row>
    <row r="164" spans="1:8" x14ac:dyDescent="0.25">
      <c r="A164">
        <v>162</v>
      </c>
      <c r="B164">
        <v>13.5</v>
      </c>
      <c r="C164" t="s">
        <v>553</v>
      </c>
      <c r="D164" s="75">
        <v>80304000000</v>
      </c>
      <c r="E164" s="75">
        <v>1269000000</v>
      </c>
      <c r="F164" s="99">
        <v>494732449.7225467</v>
      </c>
      <c r="G164" s="99">
        <v>66925019079.395447</v>
      </c>
      <c r="H164" s="93">
        <v>0.41669791716100968</v>
      </c>
    </row>
    <row r="165" spans="1:8" x14ac:dyDescent="0.25">
      <c r="A165">
        <v>163</v>
      </c>
      <c r="B165">
        <v>13.58</v>
      </c>
      <c r="C165" t="s">
        <v>553</v>
      </c>
      <c r="D165" s="75">
        <v>81593000000</v>
      </c>
      <c r="E165" s="75">
        <v>1289000000</v>
      </c>
      <c r="F165" s="99">
        <v>501937643.09546578</v>
      </c>
      <c r="G165" s="99">
        <v>67900026722.490913</v>
      </c>
      <c r="H165" s="93">
        <v>0.4160897792855448</v>
      </c>
    </row>
    <row r="166" spans="1:8" x14ac:dyDescent="0.25">
      <c r="A166">
        <v>164</v>
      </c>
      <c r="B166">
        <v>13.67</v>
      </c>
      <c r="C166" t="s">
        <v>553</v>
      </c>
      <c r="D166" s="75">
        <v>82902000000</v>
      </c>
      <c r="E166" s="75">
        <v>1309000000</v>
      </c>
      <c r="F166" s="99">
        <v>509250200.41868192</v>
      </c>
      <c r="G166" s="99">
        <v>68889256922.909592</v>
      </c>
      <c r="H166" s="93">
        <v>0.41548609757852401</v>
      </c>
    </row>
    <row r="167" spans="1:8" x14ac:dyDescent="0.25">
      <c r="A167">
        <v>165</v>
      </c>
      <c r="B167">
        <v>13.75</v>
      </c>
      <c r="C167" t="s">
        <v>553</v>
      </c>
      <c r="D167" s="75">
        <v>84231000000</v>
      </c>
      <c r="E167" s="75">
        <v>1329000000</v>
      </c>
      <c r="F167" s="99">
        <v>516669426.92182189</v>
      </c>
      <c r="G167" s="99">
        <v>69892616349.831421</v>
      </c>
      <c r="H167" s="93">
        <v>0.41488654028701683</v>
      </c>
    </row>
    <row r="168" spans="1:8" x14ac:dyDescent="0.25">
      <c r="A168">
        <v>166</v>
      </c>
      <c r="B168">
        <v>13.83</v>
      </c>
      <c r="C168" t="s">
        <v>553</v>
      </c>
      <c r="D168" s="75">
        <v>85580000000</v>
      </c>
      <c r="E168" s="75">
        <v>1349000000</v>
      </c>
      <c r="F168" s="99">
        <v>524194622.62373573</v>
      </c>
      <c r="G168" s="99">
        <v>70910010972.455154</v>
      </c>
      <c r="H168" s="93">
        <v>0.41429078623776089</v>
      </c>
    </row>
    <row r="169" spans="1:8" x14ac:dyDescent="0.25">
      <c r="A169">
        <v>167</v>
      </c>
      <c r="B169">
        <v>13.92</v>
      </c>
      <c r="C169" t="s">
        <v>553</v>
      </c>
      <c r="D169" s="75">
        <v>86949000000</v>
      </c>
      <c r="E169" s="75">
        <v>1369000000</v>
      </c>
      <c r="F169" s="99">
        <v>531825082.29341358</v>
      </c>
      <c r="G169" s="99">
        <v>71941346054.748566</v>
      </c>
      <c r="H169" s="93">
        <v>0.41369852473719398</v>
      </c>
    </row>
    <row r="170" spans="1:8" x14ac:dyDescent="0.25">
      <c r="A170">
        <v>168</v>
      </c>
      <c r="B170">
        <v>14</v>
      </c>
      <c r="C170" t="s">
        <v>553</v>
      </c>
      <c r="D170" s="75">
        <v>88338000000</v>
      </c>
      <c r="E170" s="75">
        <v>1389000000</v>
      </c>
      <c r="F170" s="99">
        <v>539560095.41061425</v>
      </c>
      <c r="G170" s="99">
        <v>72986526150.15918</v>
      </c>
      <c r="H170" s="93">
        <v>0.4131094554447643</v>
      </c>
    </row>
    <row r="171" spans="1:8" x14ac:dyDescent="0.25">
      <c r="A171">
        <v>169</v>
      </c>
      <c r="B171">
        <v>14.08</v>
      </c>
      <c r="C171" t="s">
        <v>553</v>
      </c>
      <c r="D171" s="75">
        <v>89747000000</v>
      </c>
      <c r="E171" s="75">
        <v>1409000000</v>
      </c>
      <c r="F171" s="99">
        <v>547398946.12619388</v>
      </c>
      <c r="G171" s="99">
        <v>74045455096.28537</v>
      </c>
      <c r="H171" s="93">
        <v>0.41252328822292322</v>
      </c>
    </row>
    <row r="172" spans="1:8" x14ac:dyDescent="0.25">
      <c r="A172">
        <v>170</v>
      </c>
      <c r="B172">
        <v>14.17</v>
      </c>
      <c r="C172" t="s">
        <v>553</v>
      </c>
      <c r="D172" s="75">
        <v>91176000000</v>
      </c>
      <c r="E172" s="75">
        <v>1429000000</v>
      </c>
      <c r="F172" s="99">
        <v>555340913.22214031</v>
      </c>
      <c r="G172" s="99">
        <v>75118036009.507507</v>
      </c>
      <c r="H172" s="93">
        <v>0.41193974296694041</v>
      </c>
    </row>
    <row r="173" spans="1:8" x14ac:dyDescent="0.25">
      <c r="A173">
        <v>171</v>
      </c>
      <c r="B173">
        <v>14.25</v>
      </c>
      <c r="C173" t="s">
        <v>553</v>
      </c>
      <c r="D173" s="75">
        <v>92625000000</v>
      </c>
      <c r="E173" s="75">
        <v>1449000000</v>
      </c>
      <c r="F173" s="99">
        <v>563385270.07130623</v>
      </c>
      <c r="G173" s="99">
        <v>76204171279.578812</v>
      </c>
      <c r="H173" s="93">
        <v>0.4113585494174295</v>
      </c>
    </row>
    <row r="174" spans="1:8" x14ac:dyDescent="0.25">
      <c r="A174">
        <v>172</v>
      </c>
      <c r="B174">
        <v>14.33</v>
      </c>
      <c r="C174" t="s">
        <v>553</v>
      </c>
      <c r="D174" s="75">
        <v>94094000000</v>
      </c>
      <c r="E174" s="75">
        <v>1469000000</v>
      </c>
      <c r="F174" s="99">
        <v>571531284.5968411</v>
      </c>
      <c r="G174" s="99">
        <v>77303762564.175659</v>
      </c>
      <c r="H174" s="93">
        <v>0.41077944695823138</v>
      </c>
    </row>
    <row r="175" spans="1:8" x14ac:dyDescent="0.25">
      <c r="A175">
        <v>173</v>
      </c>
      <c r="B175">
        <v>14.42</v>
      </c>
      <c r="C175" t="s">
        <v>553</v>
      </c>
      <c r="D175" s="75">
        <v>95583000000</v>
      </c>
      <c r="E175" s="75">
        <v>1489000000</v>
      </c>
      <c r="F175" s="99">
        <v>579778219.2313174</v>
      </c>
      <c r="G175" s="99">
        <v>78416710783.406982</v>
      </c>
      <c r="H175" s="93">
        <v>0.41020218440207462</v>
      </c>
    </row>
    <row r="176" spans="1:8" x14ac:dyDescent="0.25">
      <c r="A176">
        <v>174</v>
      </c>
      <c r="B176">
        <v>14.5</v>
      </c>
      <c r="C176" t="s">
        <v>553</v>
      </c>
      <c r="D176" s="75">
        <v>97092000000</v>
      </c>
      <c r="E176" s="75">
        <v>1509000000</v>
      </c>
      <c r="F176" s="99">
        <v>588125330.8755523</v>
      </c>
      <c r="G176" s="99">
        <v>79542916114.282532</v>
      </c>
      <c r="H176" s="93">
        <v>0.40962651976621423</v>
      </c>
    </row>
    <row r="177" spans="1:8" x14ac:dyDescent="0.25">
      <c r="A177">
        <v>175</v>
      </c>
      <c r="B177">
        <v>14.58</v>
      </c>
      <c r="C177" t="s">
        <v>553</v>
      </c>
      <c r="D177" s="75">
        <v>98621000000</v>
      </c>
      <c r="E177" s="75">
        <v>1529000000</v>
      </c>
      <c r="F177" s="99">
        <v>596571870.85711896</v>
      </c>
      <c r="G177" s="99">
        <v>80682277985.139648</v>
      </c>
      <c r="H177" s="93">
        <v>0.40905222004005048</v>
      </c>
    </row>
    <row r="178" spans="1:8" x14ac:dyDescent="0.25">
      <c r="A178">
        <v>176</v>
      </c>
      <c r="B178">
        <v>14.67</v>
      </c>
      <c r="C178" t="s">
        <v>553</v>
      </c>
      <c r="D178" s="75">
        <v>100170000000</v>
      </c>
      <c r="E178" s="75">
        <v>1549000000</v>
      </c>
      <c r="F178" s="99">
        <v>605117084.8885473</v>
      </c>
      <c r="G178" s="99">
        <v>81834695070.028198</v>
      </c>
      <c r="H178" s="93">
        <v>0.40847906094653191</v>
      </c>
    </row>
    <row r="179" spans="1:8" x14ac:dyDescent="0.25">
      <c r="A179">
        <v>177</v>
      </c>
      <c r="B179">
        <v>14.75</v>
      </c>
      <c r="C179" t="s">
        <v>553</v>
      </c>
      <c r="D179" s="75">
        <v>101739000000</v>
      </c>
      <c r="E179" s="75">
        <v>1569000000</v>
      </c>
      <c r="F179" s="99">
        <v>613760213.02521145</v>
      </c>
      <c r="G179" s="99">
        <v>83000065283.053406</v>
      </c>
      <c r="H179" s="93">
        <v>0.40790682669897188</v>
      </c>
    </row>
    <row r="180" spans="1:8" x14ac:dyDescent="0.25">
      <c r="A180">
        <v>178</v>
      </c>
      <c r="B180">
        <v>14.83</v>
      </c>
      <c r="C180" t="s">
        <v>553</v>
      </c>
      <c r="D180" s="75">
        <v>103328000000</v>
      </c>
      <c r="E180" s="75">
        <v>1589000000</v>
      </c>
      <c r="F180" s="99">
        <v>622500489.62290049</v>
      </c>
      <c r="G180" s="99">
        <v>84178285772.6763</v>
      </c>
      <c r="H180" s="93">
        <v>0.40733530975474358</v>
      </c>
    </row>
    <row r="181" spans="1:8" x14ac:dyDescent="0.25">
      <c r="A181">
        <v>179</v>
      </c>
      <c r="B181">
        <v>14.92</v>
      </c>
      <c r="C181" t="s">
        <v>553</v>
      </c>
      <c r="D181" s="75">
        <v>104937000000</v>
      </c>
      <c r="E181" s="75">
        <v>1609000000</v>
      </c>
      <c r="F181" s="99">
        <v>631337143.2950722</v>
      </c>
      <c r="G181" s="99">
        <v>85369252915.971375</v>
      </c>
      <c r="H181" s="93">
        <v>0.40676431056715628</v>
      </c>
    </row>
    <row r="182" spans="1:8" x14ac:dyDescent="0.25">
      <c r="A182">
        <v>180</v>
      </c>
      <c r="B182">
        <v>15</v>
      </c>
      <c r="C182" t="s">
        <v>553</v>
      </c>
      <c r="D182" s="75">
        <v>106566000000</v>
      </c>
      <c r="E182" s="75">
        <v>1629000000</v>
      </c>
      <c r="F182" s="99">
        <v>640269396.86978531</v>
      </c>
      <c r="G182" s="99">
        <v>86572862312.841156</v>
      </c>
      <c r="H182" s="93">
        <v>0.4061936373366794</v>
      </c>
    </row>
    <row r="183" spans="1:8" x14ac:dyDescent="0.25">
      <c r="A183">
        <v>181</v>
      </c>
      <c r="B183">
        <v>15.08</v>
      </c>
      <c r="C183" t="s">
        <v>553</v>
      </c>
      <c r="D183" s="75">
        <v>108215000000</v>
      </c>
      <c r="E183" s="75">
        <v>1649000000</v>
      </c>
      <c r="F183" s="99">
        <v>649296467.34630859</v>
      </c>
      <c r="G183" s="99">
        <v>87789008780.187469</v>
      </c>
      <c r="H183" s="93">
        <v>0.40562310576254429</v>
      </c>
    </row>
    <row r="184" spans="1:8" x14ac:dyDescent="0.25">
      <c r="A184">
        <v>182</v>
      </c>
      <c r="B184">
        <v>15.17</v>
      </c>
      <c r="C184" t="s">
        <v>553</v>
      </c>
      <c r="D184" s="75">
        <v>109884000000</v>
      </c>
      <c r="E184" s="75">
        <v>1669000000</v>
      </c>
      <c r="F184" s="99">
        <v>658417565.85140598</v>
      </c>
      <c r="G184" s="99">
        <v>89017586346.038879</v>
      </c>
      <c r="H184" s="93">
        <v>0.40505253879563402</v>
      </c>
    </row>
    <row r="185" spans="1:8" x14ac:dyDescent="0.25">
      <c r="A185">
        <v>183</v>
      </c>
      <c r="B185">
        <v>15.25</v>
      </c>
      <c r="C185" t="s">
        <v>553</v>
      </c>
      <c r="D185" s="75">
        <v>111573000000</v>
      </c>
      <c r="E185" s="75">
        <v>1689000000</v>
      </c>
      <c r="F185" s="99">
        <v>667631897.59529161</v>
      </c>
      <c r="G185" s="99">
        <v>90258488243.634171</v>
      </c>
      <c r="H185" s="93">
        <v>0.40448176639345618</v>
      </c>
    </row>
    <row r="186" spans="1:8" x14ac:dyDescent="0.25">
      <c r="A186">
        <v>184</v>
      </c>
      <c r="B186">
        <v>15.33</v>
      </c>
      <c r="C186" t="s">
        <v>553</v>
      </c>
      <c r="D186" s="75">
        <v>113282000000</v>
      </c>
      <c r="E186" s="75">
        <v>1709000000</v>
      </c>
      <c r="F186" s="99">
        <v>676938661.8272562</v>
      </c>
      <c r="G186" s="99">
        <v>91511606905.461426</v>
      </c>
      <c r="H186" s="93">
        <v>0.40391062527789678</v>
      </c>
    </row>
    <row r="187" spans="1:8" x14ac:dyDescent="0.25">
      <c r="A187">
        <v>185</v>
      </c>
      <c r="B187">
        <v>15.42</v>
      </c>
      <c r="C187" t="s">
        <v>553</v>
      </c>
      <c r="D187" s="75">
        <v>115011000000</v>
      </c>
      <c r="E187" s="75">
        <v>1729000000</v>
      </c>
      <c r="F187" s="99">
        <v>686337051.79096067</v>
      </c>
      <c r="G187" s="99">
        <v>92776833957.25238</v>
      </c>
      <c r="H187" s="93">
        <v>0.40333895869635239</v>
      </c>
    </row>
    <row r="188" spans="1:8" x14ac:dyDescent="0.25">
      <c r="A188">
        <v>186</v>
      </c>
      <c r="B188">
        <v>15.5</v>
      </c>
      <c r="C188" t="s">
        <v>553</v>
      </c>
      <c r="D188" s="75">
        <v>116760000000</v>
      </c>
      <c r="E188" s="75">
        <v>1749000000</v>
      </c>
      <c r="F188" s="99">
        <v>695826254.67939281</v>
      </c>
      <c r="G188" s="99">
        <v>94054060211.931778</v>
      </c>
      <c r="H188" s="93">
        <v>0.40276661618675819</v>
      </c>
    </row>
    <row r="189" spans="1:8" x14ac:dyDescent="0.25">
      <c r="A189">
        <v>187</v>
      </c>
      <c r="B189">
        <v>15.58</v>
      </c>
      <c r="C189" t="s">
        <v>553</v>
      </c>
      <c r="D189" s="75">
        <v>118529000000</v>
      </c>
      <c r="E189" s="75">
        <v>1769000000</v>
      </c>
      <c r="F189" s="99">
        <v>705405451.58948827</v>
      </c>
      <c r="G189" s="99">
        <v>95343175663.521271</v>
      </c>
      <c r="H189" s="93">
        <v>0.40219345334695</v>
      </c>
    </row>
    <row r="190" spans="1:8" x14ac:dyDescent="0.25">
      <c r="A190">
        <v>188</v>
      </c>
      <c r="B190">
        <v>15.67</v>
      </c>
      <c r="C190" t="s">
        <v>553</v>
      </c>
      <c r="D190" s="75">
        <v>120318000000</v>
      </c>
      <c r="E190" s="75">
        <v>1789000000</v>
      </c>
      <c r="F190" s="99">
        <v>715073817.47640955</v>
      </c>
      <c r="G190" s="99">
        <v>96644069480.997681</v>
      </c>
      <c r="H190" s="93">
        <v>0.4016193316087272</v>
      </c>
    </row>
    <row r="191" spans="1:8" x14ac:dyDescent="0.25">
      <c r="A191">
        <v>189</v>
      </c>
      <c r="B191">
        <v>15.75</v>
      </c>
      <c r="C191" t="s">
        <v>553</v>
      </c>
      <c r="D191" s="75">
        <v>122127000000</v>
      </c>
      <c r="E191" s="75">
        <v>1809000000</v>
      </c>
      <c r="F191" s="99">
        <v>724830521.10748255</v>
      </c>
      <c r="G191" s="99">
        <v>97956630002.105164</v>
      </c>
      <c r="H191" s="93">
        <v>0.40104411801692158</v>
      </c>
    </row>
    <row r="192" spans="1:8" x14ac:dyDescent="0.25">
      <c r="A192">
        <v>190</v>
      </c>
      <c r="B192">
        <v>15.83</v>
      </c>
      <c r="C192" t="s">
        <v>553</v>
      </c>
      <c r="D192" s="75">
        <v>123956000000</v>
      </c>
      <c r="E192" s="75">
        <v>1829000000</v>
      </c>
      <c r="F192" s="99">
        <v>734674725.01578867</v>
      </c>
      <c r="G192" s="99">
        <v>99280744727.120956</v>
      </c>
      <c r="H192" s="93">
        <v>0.40046768501371838</v>
      </c>
    </row>
    <row r="193" spans="1:8" x14ac:dyDescent="0.25">
      <c r="A193">
        <v>191</v>
      </c>
      <c r="B193">
        <v>15.92</v>
      </c>
      <c r="C193" t="s">
        <v>553</v>
      </c>
      <c r="D193" s="75">
        <v>125805000000</v>
      </c>
      <c r="E193" s="75">
        <v>1849000000</v>
      </c>
      <c r="F193" s="99">
        <v>744605585.45340717</v>
      </c>
      <c r="G193" s="99">
        <v>100616300312.5744</v>
      </c>
      <c r="H193" s="93">
        <v>0.39988991022842629</v>
      </c>
    </row>
    <row r="194" spans="1:8" x14ac:dyDescent="0.25">
      <c r="A194">
        <v>192</v>
      </c>
      <c r="B194">
        <v>16</v>
      </c>
      <c r="C194" t="s">
        <v>553</v>
      </c>
      <c r="D194" s="75">
        <v>127674000000</v>
      </c>
      <c r="E194" s="75">
        <v>1869000000</v>
      </c>
      <c r="F194" s="99">
        <v>754622252.34430766</v>
      </c>
      <c r="G194" s="99">
        <v>101963182564.9187</v>
      </c>
      <c r="H194" s="93">
        <v>0.39931067627284589</v>
      </c>
    </row>
    <row r="195" spans="1:8" x14ac:dyDescent="0.25">
      <c r="A195">
        <v>193</v>
      </c>
      <c r="B195">
        <v>16.079999999999998</v>
      </c>
      <c r="C195" t="s">
        <v>553</v>
      </c>
      <c r="D195" s="75">
        <v>129563000000</v>
      </c>
      <c r="E195" s="75">
        <v>1889000000</v>
      </c>
      <c r="F195" s="99">
        <v>764723869.23688996</v>
      </c>
      <c r="G195" s="99">
        <v>103321276434.15559</v>
      </c>
      <c r="H195" s="93">
        <v>0.39872987054234449</v>
      </c>
    </row>
    <row r="196" spans="1:8" x14ac:dyDescent="0.25">
      <c r="A196">
        <v>194</v>
      </c>
      <c r="B196">
        <v>16.170000000000002</v>
      </c>
      <c r="C196" t="s">
        <v>553</v>
      </c>
      <c r="D196" s="75">
        <v>131472000000</v>
      </c>
      <c r="E196" s="75">
        <v>1909000000</v>
      </c>
      <c r="F196" s="99">
        <v>774909573.2561667</v>
      </c>
      <c r="G196" s="99">
        <v>104690466007.4117</v>
      </c>
      <c r="H196" s="93">
        <v>0.39814738502271102</v>
      </c>
    </row>
    <row r="197" spans="1:8" x14ac:dyDescent="0.25">
      <c r="A197">
        <v>195</v>
      </c>
      <c r="B197">
        <v>16.25</v>
      </c>
      <c r="C197" t="s">
        <v>553</v>
      </c>
      <c r="D197" s="75">
        <v>133401000000</v>
      </c>
      <c r="E197" s="75">
        <v>1929000000</v>
      </c>
      <c r="F197" s="99">
        <v>785178495.05558789</v>
      </c>
      <c r="G197" s="99">
        <v>106070634502.4673</v>
      </c>
      <c r="H197" s="93">
        <v>0.39756311610283018</v>
      </c>
    </row>
    <row r="198" spans="1:8" x14ac:dyDescent="0.25">
      <c r="A198">
        <v>196</v>
      </c>
      <c r="B198">
        <v>16.329999999999998</v>
      </c>
      <c r="C198" t="s">
        <v>553</v>
      </c>
      <c r="D198" s="75">
        <v>135350000000</v>
      </c>
      <c r="E198" s="75">
        <v>1949000000</v>
      </c>
      <c r="F198" s="99">
        <v>795529758.76850486</v>
      </c>
      <c r="G198" s="99">
        <v>107461664261.23579</v>
      </c>
      <c r="H198" s="93">
        <v>0.39697696439318741</v>
      </c>
    </row>
    <row r="199" spans="1:8" x14ac:dyDescent="0.25">
      <c r="A199">
        <v>197</v>
      </c>
      <c r="B199">
        <v>16.420000000000002</v>
      </c>
      <c r="C199" t="s">
        <v>553</v>
      </c>
      <c r="D199" s="75">
        <v>137319000000</v>
      </c>
      <c r="E199" s="75">
        <v>1969000000</v>
      </c>
      <c r="F199" s="99">
        <v>805962481.95926869</v>
      </c>
      <c r="G199" s="99">
        <v>108863436743.1951</v>
      </c>
      <c r="H199" s="93">
        <v>0.39638883455019008</v>
      </c>
    </row>
    <row r="200" spans="1:8" x14ac:dyDescent="0.25">
      <c r="A200">
        <v>198</v>
      </c>
      <c r="B200">
        <v>16.5</v>
      </c>
      <c r="C200" t="s">
        <v>553</v>
      </c>
      <c r="D200" s="75">
        <v>139308000000</v>
      </c>
      <c r="E200" s="75">
        <v>1989000000</v>
      </c>
      <c r="F200" s="99">
        <v>816475775.57396317</v>
      </c>
      <c r="G200" s="99">
        <v>110275832518.7691</v>
      </c>
      <c r="H200" s="93">
        <v>0.39579863510627189</v>
      </c>
    </row>
    <row r="201" spans="1:8" x14ac:dyDescent="0.25">
      <c r="A201">
        <v>199</v>
      </c>
      <c r="B201">
        <v>16.579999999999998</v>
      </c>
      <c r="C201" t="s">
        <v>553</v>
      </c>
      <c r="D201" s="75">
        <v>141317000000</v>
      </c>
      <c r="E201" s="75">
        <v>2009000000</v>
      </c>
      <c r="F201" s="99">
        <v>827068743.89076793</v>
      </c>
      <c r="G201" s="99">
        <v>111698731262.65981</v>
      </c>
      <c r="H201" s="93">
        <v>0.39520627830572341</v>
      </c>
    </row>
    <row r="202" spans="1:8" x14ac:dyDescent="0.25">
      <c r="A202">
        <v>200</v>
      </c>
      <c r="B202">
        <v>16.670000000000002</v>
      </c>
      <c r="C202" t="s">
        <v>553</v>
      </c>
      <c r="D202" s="75">
        <v>143346000000</v>
      </c>
      <c r="E202" s="75">
        <v>2029000000</v>
      </c>
      <c r="F202" s="99">
        <v>837740484.46994865</v>
      </c>
      <c r="G202" s="99">
        <v>113132011747.12981</v>
      </c>
      <c r="H202" s="93">
        <v>0.39461167994617841</v>
      </c>
    </row>
    <row r="203" spans="1:8" x14ac:dyDescent="0.25">
      <c r="A203">
        <v>201</v>
      </c>
      <c r="B203">
        <v>16.75</v>
      </c>
      <c r="C203" t="s">
        <v>553</v>
      </c>
      <c r="D203" s="75">
        <v>145395000000</v>
      </c>
      <c r="E203" s="75">
        <v>2049000000</v>
      </c>
      <c r="F203" s="99">
        <v>848490088.10347331</v>
      </c>
      <c r="G203" s="99">
        <v>114575551835.2332</v>
      </c>
      <c r="H203" s="93">
        <v>0.39401475922567231</v>
      </c>
    </row>
    <row r="204" spans="1:8" x14ac:dyDescent="0.25">
      <c r="A204">
        <v>202</v>
      </c>
      <c r="B204">
        <v>16.829999999999998</v>
      </c>
      <c r="C204" t="s">
        <v>553</v>
      </c>
      <c r="D204" s="75">
        <v>147464000000</v>
      </c>
      <c r="E204" s="75">
        <v>2069000000</v>
      </c>
      <c r="F204" s="99">
        <v>859316638.76424932</v>
      </c>
      <c r="G204" s="99">
        <v>116029228473.9975</v>
      </c>
      <c r="H204" s="93">
        <v>0.39341543859517408</v>
      </c>
    </row>
    <row r="205" spans="1:8" x14ac:dyDescent="0.25">
      <c r="A205">
        <v>203</v>
      </c>
      <c r="B205">
        <v>16.920000000000002</v>
      </c>
      <c r="C205" t="s">
        <v>553</v>
      </c>
      <c r="D205" s="75">
        <v>149553000000</v>
      </c>
      <c r="E205" s="75">
        <v>2089000000</v>
      </c>
      <c r="F205" s="99">
        <v>870219213.55498123</v>
      </c>
      <c r="G205" s="99">
        <v>117492917687.55251</v>
      </c>
      <c r="H205" s="93">
        <v>0.39281364361648541</v>
      </c>
    </row>
    <row r="206" spans="1:8" x14ac:dyDescent="0.25">
      <c r="A206">
        <v>204</v>
      </c>
      <c r="B206">
        <v>17</v>
      </c>
      <c r="C206" t="s">
        <v>553</v>
      </c>
      <c r="D206" s="75">
        <v>151662000000</v>
      </c>
      <c r="E206" s="75">
        <v>2109000000</v>
      </c>
      <c r="F206" s="99">
        <v>881196882.65664351</v>
      </c>
      <c r="G206" s="99">
        <v>118966494570.20911</v>
      </c>
      <c r="H206" s="93">
        <v>0.39220930282539168</v>
      </c>
    </row>
    <row r="207" spans="1:8" x14ac:dyDescent="0.25">
      <c r="A207">
        <v>205</v>
      </c>
      <c r="B207">
        <v>17.079999999999998</v>
      </c>
      <c r="C207" t="s">
        <v>553</v>
      </c>
      <c r="D207" s="75">
        <v>153791000000</v>
      </c>
      <c r="E207" s="75">
        <v>2129000000</v>
      </c>
      <c r="F207" s="99">
        <v>892248709.27656841</v>
      </c>
      <c r="G207" s="99">
        <v>120449833279.4857</v>
      </c>
      <c r="H207" s="93">
        <v>0.39160234759994311</v>
      </c>
    </row>
    <row r="208" spans="1:8" x14ac:dyDescent="0.25">
      <c r="A208">
        <v>206</v>
      </c>
      <c r="B208">
        <v>17.170000000000002</v>
      </c>
      <c r="C208" t="s">
        <v>553</v>
      </c>
      <c r="D208" s="75">
        <v>155940000000</v>
      </c>
      <c r="E208" s="75">
        <v>2149000000</v>
      </c>
      <c r="F208" s="99">
        <v>903373749.59614265</v>
      </c>
      <c r="G208" s="99">
        <v>121942807029.0818</v>
      </c>
      <c r="H208" s="93">
        <v>0.39099271203373681</v>
      </c>
    </row>
    <row r="209" spans="1:8" x14ac:dyDescent="0.25">
      <c r="A209">
        <v>207</v>
      </c>
      <c r="B209">
        <v>17.25</v>
      </c>
      <c r="C209" t="s">
        <v>553</v>
      </c>
      <c r="D209" s="75">
        <v>158109000000</v>
      </c>
      <c r="E209" s="75">
        <v>2169000000</v>
      </c>
      <c r="F209" s="99">
        <v>914571052.71811366</v>
      </c>
      <c r="G209" s="99">
        <v>123445288081.7999</v>
      </c>
      <c r="H209" s="93">
        <v>0.39038033281407108</v>
      </c>
    </row>
    <row r="210" spans="1:8" x14ac:dyDescent="0.25">
      <c r="A210">
        <v>208</v>
      </c>
      <c r="B210">
        <v>17.329999999999998</v>
      </c>
      <c r="C210" t="s">
        <v>553</v>
      </c>
      <c r="D210" s="75">
        <v>160298000000</v>
      </c>
      <c r="E210" s="75">
        <v>2189000000</v>
      </c>
      <c r="F210" s="99">
        <v>925839660.61349952</v>
      </c>
      <c r="G210" s="99">
        <v>124957147742.41341</v>
      </c>
      <c r="H210" s="93">
        <v>0.38976514910483417</v>
      </c>
    </row>
    <row r="211" spans="1:8" x14ac:dyDescent="0.25">
      <c r="A211">
        <v>209</v>
      </c>
      <c r="B211">
        <v>17.420000000000002</v>
      </c>
      <c r="C211" t="s">
        <v>553</v>
      </c>
      <c r="D211" s="75">
        <v>162507000000</v>
      </c>
      <c r="E211" s="75">
        <v>2209000000</v>
      </c>
      <c r="F211" s="99">
        <v>937178608.06810069</v>
      </c>
      <c r="G211" s="99">
        <v>126478256350.48151</v>
      </c>
      <c r="H211" s="93">
        <v>0.3891471024339922</v>
      </c>
    </row>
    <row r="212" spans="1:8" x14ac:dyDescent="0.25">
      <c r="A212">
        <v>210</v>
      </c>
      <c r="B212">
        <v>17.5</v>
      </c>
      <c r="C212" t="s">
        <v>553</v>
      </c>
      <c r="D212" s="75">
        <v>164736000000</v>
      </c>
      <c r="E212" s="75">
        <v>2229000000</v>
      </c>
      <c r="F212" s="99">
        <v>948586922.62861145</v>
      </c>
      <c r="G212" s="99">
        <v>128008483273.1102</v>
      </c>
      <c r="H212" s="93">
        <v>0.38852613658553731</v>
      </c>
    </row>
    <row r="213" spans="1:8" x14ac:dyDescent="0.25">
      <c r="A213">
        <v>211</v>
      </c>
      <c r="B213">
        <v>17.579999999999998</v>
      </c>
      <c r="C213" t="s">
        <v>553</v>
      </c>
      <c r="D213" s="75">
        <v>166985000000</v>
      </c>
      <c r="E213" s="75">
        <v>2249000000</v>
      </c>
      <c r="F213" s="99">
        <v>960063624.54832613</v>
      </c>
      <c r="G213" s="99">
        <v>129547696897.65849</v>
      </c>
      <c r="H213" s="93">
        <v>0.38790219749575849</v>
      </c>
    </row>
    <row r="214" spans="1:8" x14ac:dyDescent="0.25">
      <c r="A214">
        <v>212</v>
      </c>
      <c r="B214">
        <v>17.670000000000002</v>
      </c>
      <c r="C214" t="s">
        <v>553</v>
      </c>
      <c r="D214" s="75">
        <v>169254000000</v>
      </c>
      <c r="E214" s="75">
        <v>2269000000</v>
      </c>
      <c r="F214" s="99">
        <v>971607726.73243856</v>
      </c>
      <c r="G214" s="99">
        <v>131095764624.3909</v>
      </c>
      <c r="H214" s="93">
        <v>0.38727523315369478</v>
      </c>
    </row>
    <row r="215" spans="1:8" x14ac:dyDescent="0.25">
      <c r="A215">
        <v>213</v>
      </c>
      <c r="B215">
        <v>17.75</v>
      </c>
      <c r="C215" t="s">
        <v>553</v>
      </c>
      <c r="D215" s="75">
        <v>171543000000</v>
      </c>
      <c r="E215" s="75">
        <v>2289000000</v>
      </c>
      <c r="F215" s="99">
        <v>983218234.68293178</v>
      </c>
      <c r="G215" s="99">
        <v>132652552859.0739</v>
      </c>
      <c r="H215" s="93">
        <v>0.3866451935056337</v>
      </c>
    </row>
    <row r="216" spans="1:8" x14ac:dyDescent="0.25">
      <c r="A216">
        <v>214</v>
      </c>
      <c r="B216">
        <v>17.829999999999998</v>
      </c>
      <c r="C216" t="s">
        <v>553</v>
      </c>
      <c r="D216" s="75">
        <v>173852000000</v>
      </c>
      <c r="E216" s="75">
        <v>2309000000</v>
      </c>
      <c r="F216" s="99">
        <v>994894146.44305384</v>
      </c>
      <c r="G216" s="99">
        <v>134217927005.51691</v>
      </c>
      <c r="H216" s="93">
        <v>0.38601203036351872</v>
      </c>
    </row>
    <row r="217" spans="1:8" x14ac:dyDescent="0.25">
      <c r="A217">
        <v>215</v>
      </c>
      <c r="B217">
        <v>17.920000000000002</v>
      </c>
      <c r="C217" t="s">
        <v>553</v>
      </c>
      <c r="D217" s="75">
        <v>176181000000</v>
      </c>
      <c r="E217" s="75">
        <v>2329000000</v>
      </c>
      <c r="F217" s="99">
        <v>1006634452.5413769</v>
      </c>
      <c r="G217" s="99">
        <v>135791751458.0583</v>
      </c>
      <c r="H217" s="93">
        <v>0.38537569731712917</v>
      </c>
    </row>
    <row r="218" spans="1:8" x14ac:dyDescent="0.25">
      <c r="A218">
        <v>216</v>
      </c>
      <c r="B218">
        <v>18</v>
      </c>
      <c r="C218" t="s">
        <v>553</v>
      </c>
      <c r="D218" s="75">
        <v>178530000000</v>
      </c>
      <c r="E218" s="75">
        <v>2349000000</v>
      </c>
      <c r="F218" s="99">
        <v>1018438135.935437</v>
      </c>
      <c r="G218" s="99">
        <v>137373889593.9937</v>
      </c>
      <c r="H218" s="93">
        <v>0.38473614964990122</v>
      </c>
    </row>
    <row r="219" spans="1:8" x14ac:dyDescent="0.25">
      <c r="A219">
        <v>217</v>
      </c>
      <c r="B219">
        <v>18.079999999999998</v>
      </c>
      <c r="C219" t="s">
        <v>553</v>
      </c>
      <c r="D219" s="75">
        <v>180899000000</v>
      </c>
      <c r="E219" s="75">
        <v>2369000000</v>
      </c>
      <c r="F219" s="99">
        <v>1030304171.954953</v>
      </c>
      <c r="G219" s="99">
        <v>138964203765.9487</v>
      </c>
      <c r="H219" s="93">
        <v>0.38409334425825647</v>
      </c>
    </row>
    <row r="220" spans="1:8" x14ac:dyDescent="0.25">
      <c r="A220">
        <v>218</v>
      </c>
      <c r="B220">
        <v>18.170000000000002</v>
      </c>
      <c r="C220" t="s">
        <v>553</v>
      </c>
      <c r="D220" s="75">
        <v>183288000000</v>
      </c>
      <c r="E220" s="75">
        <v>2389000000</v>
      </c>
      <c r="F220" s="99">
        <v>1042231528.244615</v>
      </c>
      <c r="G220" s="99">
        <v>140562555294.1933</v>
      </c>
      <c r="H220" s="93">
        <v>0.38344723957431281</v>
      </c>
    </row>
    <row r="221" spans="1:8" x14ac:dyDescent="0.25">
      <c r="A221">
        <v>219</v>
      </c>
      <c r="B221">
        <v>18.25</v>
      </c>
      <c r="C221" t="s">
        <v>553</v>
      </c>
      <c r="D221" s="75">
        <v>185697000000</v>
      </c>
      <c r="E221" s="75">
        <v>2409000000</v>
      </c>
      <c r="F221" s="99">
        <v>1054219164.70645</v>
      </c>
      <c r="G221" s="99">
        <v>142168804458.89969</v>
      </c>
      <c r="H221" s="93">
        <v>0.38279779549184889</v>
      </c>
    </row>
    <row r="222" spans="1:8" x14ac:dyDescent="0.25">
      <c r="A222">
        <v>220</v>
      </c>
      <c r="B222">
        <v>18.329999999999998</v>
      </c>
      <c r="C222" t="s">
        <v>553</v>
      </c>
      <c r="D222" s="75">
        <v>188126000000</v>
      </c>
      <c r="E222" s="75">
        <v>2429000000</v>
      </c>
      <c r="F222" s="99">
        <v>1066266033.441748</v>
      </c>
      <c r="G222" s="99">
        <v>143782810492.34149</v>
      </c>
      <c r="H222" s="93">
        <v>0.38214497329540181</v>
      </c>
    </row>
    <row r="223" spans="1:8" x14ac:dyDescent="0.25">
      <c r="A223">
        <v>221</v>
      </c>
      <c r="B223">
        <v>18.420000000000002</v>
      </c>
      <c r="C223" t="s">
        <v>553</v>
      </c>
      <c r="D223" s="75">
        <v>190575000000</v>
      </c>
      <c r="E223" s="75">
        <v>2449000000</v>
      </c>
      <c r="F223" s="99">
        <v>1078371078.6925609</v>
      </c>
      <c r="G223" s="99">
        <v>145404431571.03409</v>
      </c>
      <c r="H223" s="93">
        <v>0.38148873559237578</v>
      </c>
    </row>
    <row r="224" spans="1:8" x14ac:dyDescent="0.25">
      <c r="A224">
        <v>222</v>
      </c>
      <c r="B224">
        <v>18.5</v>
      </c>
      <c r="C224" t="s">
        <v>553</v>
      </c>
      <c r="D224" s="75">
        <v>193044000000</v>
      </c>
      <c r="E224" s="75">
        <v>2469000000</v>
      </c>
      <c r="F224" s="99">
        <v>1090533236.7827549</v>
      </c>
      <c r="G224" s="99">
        <v>147033524807.8168</v>
      </c>
      <c r="H224" s="93">
        <v>0.38082904624804909</v>
      </c>
    </row>
    <row r="225" spans="1:8" x14ac:dyDescent="0.25">
      <c r="A225">
        <v>223</v>
      </c>
      <c r="B225">
        <v>18.579999999999998</v>
      </c>
      <c r="C225" t="s">
        <v>553</v>
      </c>
      <c r="D225" s="75">
        <v>195533000000</v>
      </c>
      <c r="E225" s="75">
        <v>2489000000</v>
      </c>
      <c r="F225" s="99">
        <v>1102751436.0586259</v>
      </c>
      <c r="G225" s="99">
        <v>148669946243.8754</v>
      </c>
      <c r="H225" s="93">
        <v>0.38016587032336091</v>
      </c>
    </row>
    <row r="226" spans="1:8" x14ac:dyDescent="0.25">
      <c r="A226">
        <v>224</v>
      </c>
      <c r="B226">
        <v>18.670000000000002</v>
      </c>
      <c r="C226" t="s">
        <v>553</v>
      </c>
      <c r="D226" s="75">
        <v>198042000000</v>
      </c>
      <c r="E226" s="75">
        <v>2509000000</v>
      </c>
      <c r="F226" s="99">
        <v>1115024596.829066</v>
      </c>
      <c r="G226" s="99">
        <v>150313550840.7045</v>
      </c>
      <c r="H226" s="93">
        <v>0.37949917401537181</v>
      </c>
    </row>
    <row r="227" spans="1:8" x14ac:dyDescent="0.25">
      <c r="A227">
        <v>225</v>
      </c>
      <c r="B227">
        <v>18.75</v>
      </c>
      <c r="C227" t="s">
        <v>553</v>
      </c>
      <c r="D227" s="75">
        <v>200571000000</v>
      </c>
      <c r="E227" s="75">
        <v>2529000000</v>
      </c>
      <c r="F227" s="99">
        <v>1127351631.305284</v>
      </c>
      <c r="G227" s="99">
        <v>151964192472.0098</v>
      </c>
      <c r="H227" s="93">
        <v>0.37882892460029072</v>
      </c>
    </row>
    <row r="228" spans="1:8" x14ac:dyDescent="0.25">
      <c r="A228">
        <v>226</v>
      </c>
      <c r="B228">
        <v>18.829999999999998</v>
      </c>
      <c r="C228" t="s">
        <v>553</v>
      </c>
      <c r="D228" s="75">
        <v>203120000000</v>
      </c>
      <c r="E228" s="75">
        <v>2549000000</v>
      </c>
      <c r="F228" s="99">
        <v>1139731443.5400729</v>
      </c>
      <c r="G228" s="99">
        <v>153621723915.5499</v>
      </c>
      <c r="H228" s="93">
        <v>0.37815509037896278</v>
      </c>
    </row>
    <row r="229" spans="1:8" x14ac:dyDescent="0.25">
      <c r="A229">
        <v>227</v>
      </c>
      <c r="B229">
        <v>18.920000000000002</v>
      </c>
      <c r="C229" t="s">
        <v>553</v>
      </c>
      <c r="D229" s="75">
        <v>205689000000</v>
      </c>
      <c r="E229" s="75">
        <v>2569000000</v>
      </c>
      <c r="F229" s="99">
        <v>1152162929.3666241</v>
      </c>
      <c r="G229" s="99">
        <v>155285996844.9165</v>
      </c>
      <c r="H229" s="93">
        <v>0.37747764062472111</v>
      </c>
    </row>
    <row r="230" spans="1:8" x14ac:dyDescent="0.25">
      <c r="A230">
        <v>228</v>
      </c>
      <c r="B230">
        <v>19</v>
      </c>
      <c r="C230" t="s">
        <v>553</v>
      </c>
      <c r="D230" s="75">
        <v>208278000000</v>
      </c>
      <c r="E230" s="75">
        <v>2589000000</v>
      </c>
      <c r="F230" s="99">
        <v>1164644976.336874</v>
      </c>
      <c r="G230" s="99">
        <v>156956861821.25339</v>
      </c>
      <c r="H230" s="93">
        <v>0.37679654553350178</v>
      </c>
    </row>
    <row r="231" spans="1:8" x14ac:dyDescent="0.25">
      <c r="A231">
        <v>229</v>
      </c>
      <c r="B231">
        <v>19.079999999999998</v>
      </c>
      <c r="C231" t="s">
        <v>553</v>
      </c>
      <c r="D231" s="75">
        <v>210887000000</v>
      </c>
      <c r="E231" s="75">
        <v>2609000000</v>
      </c>
      <c r="F231" s="99">
        <v>1177176463.6594</v>
      </c>
      <c r="G231" s="99">
        <v>158634168284.91281</v>
      </c>
      <c r="H231" s="93">
        <v>0.37611177617613412</v>
      </c>
    </row>
    <row r="232" spans="1:8" x14ac:dyDescent="0.25">
      <c r="A232">
        <v>230</v>
      </c>
      <c r="B232">
        <v>19.170000000000002</v>
      </c>
      <c r="C232" t="s">
        <v>553</v>
      </c>
      <c r="D232" s="75">
        <v>213516000000</v>
      </c>
      <c r="E232" s="75">
        <v>2629000000</v>
      </c>
      <c r="F232" s="99">
        <v>1189756262.1368461</v>
      </c>
      <c r="G232" s="99">
        <v>160317764547.04959</v>
      </c>
      <c r="H232" s="93">
        <v>0.37542330445270988</v>
      </c>
    </row>
    <row r="233" spans="1:8" x14ac:dyDescent="0.25">
      <c r="A233">
        <v>231</v>
      </c>
      <c r="B233">
        <v>19.25</v>
      </c>
      <c r="C233" t="s">
        <v>553</v>
      </c>
      <c r="D233" s="75">
        <v>216165000000</v>
      </c>
      <c r="E233" s="75">
        <v>2649000000</v>
      </c>
      <c r="F233" s="99">
        <v>1202383234.1028719</v>
      </c>
      <c r="G233" s="99">
        <v>162007497781.1525</v>
      </c>
      <c r="H233" s="93">
        <v>0.37473110304894991</v>
      </c>
    </row>
    <row r="234" spans="1:8" x14ac:dyDescent="0.25">
      <c r="A234">
        <v>232</v>
      </c>
      <c r="B234">
        <v>19.329999999999998</v>
      </c>
      <c r="C234" t="s">
        <v>553</v>
      </c>
      <c r="D234" s="75">
        <v>218834000000</v>
      </c>
      <c r="E234" s="75">
        <v>2669000000</v>
      </c>
      <c r="F234" s="99">
        <v>1215056233.358644</v>
      </c>
      <c r="G234" s="99">
        <v>163703214014.51111</v>
      </c>
      <c r="H234" s="93">
        <v>0.37403514539447968</v>
      </c>
    </row>
    <row r="235" spans="1:8" x14ac:dyDescent="0.25">
      <c r="A235">
        <v>233</v>
      </c>
      <c r="B235">
        <v>19.420000000000002</v>
      </c>
      <c r="C235" t="s">
        <v>553</v>
      </c>
      <c r="D235" s="75">
        <v>221523000000</v>
      </c>
      <c r="E235" s="75">
        <v>2689000000</v>
      </c>
      <c r="F235" s="99">
        <v>1227774105.108834</v>
      </c>
      <c r="G235" s="99">
        <v>165404758119.62</v>
      </c>
      <c r="H235" s="93">
        <v>0.37333540562293749</v>
      </c>
    </row>
    <row r="236" spans="1:8" x14ac:dyDescent="0.25">
      <c r="A236">
        <v>234</v>
      </c>
      <c r="B236">
        <v>19.5</v>
      </c>
      <c r="C236" t="s">
        <v>553</v>
      </c>
      <c r="D236" s="75">
        <v>224232000000</v>
      </c>
      <c r="E236" s="75">
        <v>2709000000</v>
      </c>
      <c r="F236" s="99">
        <v>1240535685.89715</v>
      </c>
      <c r="G236" s="99">
        <v>167111973805.51709</v>
      </c>
      <c r="H236" s="93">
        <v>0.37263185853383352</v>
      </c>
    </row>
    <row r="237" spans="1:8" x14ac:dyDescent="0.25">
      <c r="A237">
        <v>235</v>
      </c>
      <c r="B237">
        <v>19.579999999999998</v>
      </c>
      <c r="C237" t="s">
        <v>553</v>
      </c>
      <c r="D237" s="75">
        <v>226961000000</v>
      </c>
      <c r="E237" s="75">
        <v>2729000000</v>
      </c>
      <c r="F237" s="99">
        <v>1253339803.541378</v>
      </c>
      <c r="G237" s="99">
        <v>168824703609.0585</v>
      </c>
      <c r="H237" s="93">
        <v>0.37192447955608782</v>
      </c>
    </row>
    <row r="238" spans="1:8" x14ac:dyDescent="0.25">
      <c r="A238">
        <v>236</v>
      </c>
      <c r="B238">
        <v>19.670000000000002</v>
      </c>
      <c r="C238" t="s">
        <v>553</v>
      </c>
      <c r="D238" s="75">
        <v>229710000000</v>
      </c>
      <c r="E238" s="75">
        <v>2749000000</v>
      </c>
      <c r="F238" s="99">
        <v>1266185277.067939</v>
      </c>
      <c r="G238" s="99">
        <v>170542788886.1264</v>
      </c>
      <c r="H238" s="93">
        <v>0.37121324471317407</v>
      </c>
    </row>
    <row r="239" spans="1:8" x14ac:dyDescent="0.25">
      <c r="A239">
        <v>237</v>
      </c>
      <c r="B239">
        <v>19.75</v>
      </c>
      <c r="C239" t="s">
        <v>553</v>
      </c>
      <c r="D239" s="75">
        <v>232479000000</v>
      </c>
      <c r="E239" s="75">
        <v>2769000000</v>
      </c>
      <c r="F239" s="99">
        <v>1279070916.6459479</v>
      </c>
      <c r="G239" s="99">
        <v>172266069802.7724</v>
      </c>
      <c r="H239" s="93">
        <v>0.3704981305898003</v>
      </c>
    </row>
    <row r="240" spans="1:8" x14ac:dyDescent="0.25">
      <c r="A240">
        <v>238</v>
      </c>
      <c r="B240">
        <v>19.829999999999998</v>
      </c>
      <c r="C240" t="s">
        <v>553</v>
      </c>
      <c r="D240" s="75">
        <v>235268000000</v>
      </c>
      <c r="E240" s="75">
        <v>2789000000</v>
      </c>
      <c r="F240" s="99">
        <v>1291995523.520793</v>
      </c>
      <c r="G240" s="99">
        <v>173994385326.29321</v>
      </c>
      <c r="H240" s="93">
        <v>0.36977911430006027</v>
      </c>
    </row>
    <row r="241" spans="1:8" x14ac:dyDescent="0.25">
      <c r="A241">
        <v>239</v>
      </c>
      <c r="B241">
        <v>19.920000000000002</v>
      </c>
      <c r="C241" t="s">
        <v>553</v>
      </c>
      <c r="D241" s="75">
        <v>238077000000</v>
      </c>
      <c r="E241" s="75">
        <v>2809000000</v>
      </c>
      <c r="F241" s="99">
        <v>1304957889.9471991</v>
      </c>
      <c r="G241" s="99">
        <v>175727573216.24039</v>
      </c>
      <c r="H241" s="93">
        <v>0.36905617345699149</v>
      </c>
    </row>
    <row r="242" spans="1:8" x14ac:dyDescent="0.25">
      <c r="A242">
        <v>240</v>
      </c>
      <c r="B242">
        <v>20</v>
      </c>
      <c r="C242" t="s">
        <v>553</v>
      </c>
      <c r="D242" s="75">
        <v>240906000000</v>
      </c>
      <c r="E242" s="75">
        <v>2829000000</v>
      </c>
      <c r="F242" s="99">
        <v>1317956799.121803</v>
      </c>
      <c r="G242" s="99">
        <v>177465470015.36221</v>
      </c>
      <c r="H242" s="93">
        <v>0.36832928614347948</v>
      </c>
    </row>
    <row r="243" spans="1:8" x14ac:dyDescent="0.25">
      <c r="A243">
        <v>241</v>
      </c>
      <c r="B243">
        <v>20.079999999999998</v>
      </c>
      <c r="C243" t="s">
        <v>554</v>
      </c>
      <c r="D243" s="75">
        <v>240906000000</v>
      </c>
      <c r="E243">
        <v>0</v>
      </c>
      <c r="F243" s="99">
        <v>1330991025.115216</v>
      </c>
      <c r="G243" s="99">
        <v>178796461040.47739</v>
      </c>
      <c r="H243" s="93">
        <v>0.37109175578955561</v>
      </c>
    </row>
    <row r="244" spans="1:8" x14ac:dyDescent="0.25">
      <c r="A244">
        <v>242</v>
      </c>
      <c r="B244">
        <v>20.170000000000002</v>
      </c>
      <c r="C244" t="s">
        <v>554</v>
      </c>
      <c r="D244" s="75">
        <v>240906000000</v>
      </c>
      <c r="E244">
        <v>0</v>
      </c>
      <c r="F244" s="99">
        <v>1340973457.80358</v>
      </c>
      <c r="G244" s="99">
        <v>180137434498.28091</v>
      </c>
      <c r="H244" s="93">
        <v>0.37387494395797732</v>
      </c>
    </row>
    <row r="245" spans="1:8" x14ac:dyDescent="0.25">
      <c r="A245">
        <v>243</v>
      </c>
      <c r="B245">
        <v>20.25</v>
      </c>
      <c r="C245" t="s">
        <v>554</v>
      </c>
      <c r="D245" s="75">
        <v>240906000000</v>
      </c>
      <c r="E245">
        <v>0</v>
      </c>
      <c r="F245" s="99">
        <v>1351030758.737107</v>
      </c>
      <c r="G245" s="99">
        <v>181488465257.0181</v>
      </c>
      <c r="H245" s="93">
        <v>0.37667900603766208</v>
      </c>
    </row>
    <row r="246" spans="1:8" x14ac:dyDescent="0.25">
      <c r="A246">
        <v>244</v>
      </c>
      <c r="B246">
        <v>20.329999999999998</v>
      </c>
      <c r="C246" t="s">
        <v>554</v>
      </c>
      <c r="D246" s="75">
        <v>240906000000</v>
      </c>
      <c r="E246">
        <v>0</v>
      </c>
      <c r="F246" s="99">
        <v>1361163489.427635</v>
      </c>
      <c r="G246" s="99">
        <v>182849628746.44571</v>
      </c>
      <c r="H246" s="93">
        <v>0.37950409858294459</v>
      </c>
    </row>
    <row r="247" spans="1:8" x14ac:dyDescent="0.25">
      <c r="A247">
        <v>245</v>
      </c>
      <c r="B247">
        <v>20.420000000000002</v>
      </c>
      <c r="C247" t="s">
        <v>554</v>
      </c>
      <c r="D247" s="75">
        <v>240906000000</v>
      </c>
      <c r="E247">
        <v>0</v>
      </c>
      <c r="F247" s="99">
        <v>1371372215.5983429</v>
      </c>
      <c r="G247" s="99">
        <v>184221000962.04401</v>
      </c>
      <c r="H247" s="93">
        <v>0.38235037932231669</v>
      </c>
    </row>
    <row r="248" spans="1:8" x14ac:dyDescent="0.25">
      <c r="A248">
        <v>246</v>
      </c>
      <c r="B248">
        <v>20.5</v>
      </c>
      <c r="C248" t="s">
        <v>554</v>
      </c>
      <c r="D248" s="75">
        <v>240906000000</v>
      </c>
      <c r="E248">
        <v>0</v>
      </c>
      <c r="F248" s="99">
        <v>1381657507.2153299</v>
      </c>
      <c r="G248" s="99">
        <v>185602658469.2594</v>
      </c>
      <c r="H248" s="93">
        <v>0.38521800716723398</v>
      </c>
    </row>
    <row r="249" spans="1:8" x14ac:dyDescent="0.25">
      <c r="A249">
        <v>247</v>
      </c>
      <c r="B249">
        <v>20.58</v>
      </c>
      <c r="C249" t="s">
        <v>554</v>
      </c>
      <c r="D249" s="75">
        <v>240906000000</v>
      </c>
      <c r="E249">
        <v>0</v>
      </c>
      <c r="F249" s="99">
        <v>1392019938.5194449</v>
      </c>
      <c r="G249" s="99">
        <v>186994678407.77881</v>
      </c>
      <c r="H249" s="93">
        <v>0.3881071422209883</v>
      </c>
    </row>
    <row r="250" spans="1:8" x14ac:dyDescent="0.25">
      <c r="A250">
        <v>248</v>
      </c>
      <c r="B250">
        <v>20.67</v>
      </c>
      <c r="C250" t="s">
        <v>554</v>
      </c>
      <c r="D250" s="75">
        <v>240906000000</v>
      </c>
      <c r="E250">
        <v>0</v>
      </c>
      <c r="F250" s="99">
        <v>1402460088.058341</v>
      </c>
      <c r="G250" s="99">
        <v>188397138495.83719</v>
      </c>
      <c r="H250" s="93">
        <v>0.3910179457876457</v>
      </c>
    </row>
    <row r="251" spans="1:8" x14ac:dyDescent="0.25">
      <c r="A251">
        <v>249</v>
      </c>
      <c r="B251">
        <v>20.75</v>
      </c>
      <c r="C251" t="s">
        <v>554</v>
      </c>
      <c r="D251" s="75">
        <v>240906000000</v>
      </c>
      <c r="E251">
        <v>0</v>
      </c>
      <c r="F251" s="99">
        <v>1412978538.7187791</v>
      </c>
      <c r="G251" s="99">
        <v>189810117034.55591</v>
      </c>
      <c r="H251" s="93">
        <v>0.39395058038105307</v>
      </c>
    </row>
    <row r="252" spans="1:8" x14ac:dyDescent="0.25">
      <c r="A252">
        <v>250</v>
      </c>
      <c r="B252">
        <v>20.83</v>
      </c>
      <c r="C252" t="s">
        <v>554</v>
      </c>
      <c r="D252" s="75">
        <v>240906000000</v>
      </c>
      <c r="E252">
        <v>0</v>
      </c>
      <c r="F252" s="99">
        <v>1423575877.7591701</v>
      </c>
      <c r="G252" s="99">
        <v>191233692912.31509</v>
      </c>
      <c r="H252" s="93">
        <v>0.39690520973391091</v>
      </c>
    </row>
    <row r="253" spans="1:8" x14ac:dyDescent="0.25">
      <c r="A253">
        <v>251</v>
      </c>
      <c r="B253">
        <v>20.92</v>
      </c>
      <c r="C253" t="s">
        <v>554</v>
      </c>
      <c r="D253" s="75">
        <v>240906000000</v>
      </c>
      <c r="E253">
        <v>0</v>
      </c>
      <c r="F253" s="99">
        <v>1434252696.8423631</v>
      </c>
      <c r="G253" s="99">
        <v>192667945609.1575</v>
      </c>
      <c r="H253" s="93">
        <v>0.39988199880691527</v>
      </c>
    </row>
    <row r="254" spans="1:8" x14ac:dyDescent="0.25">
      <c r="A254">
        <v>252</v>
      </c>
      <c r="B254">
        <v>21</v>
      </c>
      <c r="C254" t="s">
        <v>554</v>
      </c>
      <c r="D254" s="75">
        <v>240906000000</v>
      </c>
      <c r="E254">
        <v>0</v>
      </c>
      <c r="F254" s="99">
        <v>1445009592.068681</v>
      </c>
      <c r="G254" s="99">
        <v>194112955201.2262</v>
      </c>
      <c r="H254" s="93">
        <v>0.40288111379796721</v>
      </c>
    </row>
    <row r="255" spans="1:8" x14ac:dyDescent="0.25">
      <c r="A255">
        <v>253</v>
      </c>
      <c r="B255">
        <v>21.08</v>
      </c>
      <c r="C255" t="s">
        <v>554</v>
      </c>
      <c r="D255" s="75">
        <v>240906000000</v>
      </c>
      <c r="E255">
        <v>0</v>
      </c>
      <c r="F255" s="99">
        <v>1455847164.009196</v>
      </c>
      <c r="G255" s="99">
        <v>195568802365.23541</v>
      </c>
      <c r="H255" s="93">
        <v>0.4059027221514519</v>
      </c>
    </row>
    <row r="256" spans="1:8" x14ac:dyDescent="0.25">
      <c r="A256">
        <v>254</v>
      </c>
      <c r="B256">
        <v>21.17</v>
      </c>
      <c r="C256" t="s">
        <v>554</v>
      </c>
      <c r="D256" s="75">
        <v>240906000000</v>
      </c>
      <c r="E256">
        <v>0</v>
      </c>
      <c r="F256" s="99">
        <v>1466766017.739265</v>
      </c>
      <c r="G256" s="99">
        <v>197035568382.97461</v>
      </c>
      <c r="H256" s="93">
        <v>0.40894699256758782</v>
      </c>
    </row>
    <row r="257" spans="1:8" x14ac:dyDescent="0.25">
      <c r="A257">
        <v>255</v>
      </c>
      <c r="B257">
        <v>21.25</v>
      </c>
      <c r="C257" t="s">
        <v>554</v>
      </c>
      <c r="D257" s="75">
        <v>240906000000</v>
      </c>
      <c r="E257">
        <v>0</v>
      </c>
      <c r="F257" s="99">
        <v>1477766762.872309</v>
      </c>
      <c r="G257" s="99">
        <v>198513335145.84689</v>
      </c>
      <c r="H257" s="93">
        <v>0.41201409501184472</v>
      </c>
    </row>
    <row r="258" spans="1:8" x14ac:dyDescent="0.25">
      <c r="A258">
        <v>256</v>
      </c>
      <c r="B258">
        <v>21.33</v>
      </c>
      <c r="C258" t="s">
        <v>554</v>
      </c>
      <c r="D258" s="75">
        <v>240906000000</v>
      </c>
      <c r="E258">
        <v>0</v>
      </c>
      <c r="F258" s="99">
        <v>1488850013.593852</v>
      </c>
      <c r="G258" s="99">
        <v>200002185159.4408</v>
      </c>
      <c r="H258" s="93">
        <v>0.41510420072443349</v>
      </c>
    </row>
    <row r="259" spans="1:8" x14ac:dyDescent="0.25">
      <c r="A259">
        <v>257</v>
      </c>
      <c r="B259">
        <v>21.42</v>
      </c>
      <c r="C259" t="s">
        <v>554</v>
      </c>
      <c r="D259" s="75">
        <v>240906000000</v>
      </c>
      <c r="E259">
        <v>0</v>
      </c>
      <c r="F259" s="99">
        <v>1500016388.695806</v>
      </c>
      <c r="G259" s="99">
        <v>201502201548.1366</v>
      </c>
      <c r="H259" s="93">
        <v>0.41821748222986682</v>
      </c>
    </row>
    <row r="260" spans="1:8" x14ac:dyDescent="0.25">
      <c r="A260">
        <v>258</v>
      </c>
      <c r="B260">
        <v>21.5</v>
      </c>
      <c r="C260" t="s">
        <v>554</v>
      </c>
      <c r="D260" s="75">
        <v>240906000000</v>
      </c>
      <c r="E260">
        <v>0</v>
      </c>
      <c r="F260" s="99">
        <v>1511266511.6110239</v>
      </c>
      <c r="G260" s="99">
        <v>203013468059.74759</v>
      </c>
      <c r="H260" s="93">
        <v>0.42135411334659079</v>
      </c>
    </row>
    <row r="261" spans="1:8" x14ac:dyDescent="0.25">
      <c r="A261">
        <v>259</v>
      </c>
      <c r="B261">
        <v>21.58</v>
      </c>
      <c r="C261" t="s">
        <v>554</v>
      </c>
      <c r="D261" s="75">
        <v>240906000000</v>
      </c>
      <c r="E261">
        <v>0</v>
      </c>
      <c r="F261" s="99">
        <v>1522601010.448107</v>
      </c>
      <c r="G261" s="99">
        <v>204536069070.19571</v>
      </c>
      <c r="H261" s="93">
        <v>0.42451426919669022</v>
      </c>
    </row>
    <row r="262" spans="1:8" x14ac:dyDescent="0.25">
      <c r="A262">
        <v>260</v>
      </c>
      <c r="B262">
        <v>21.67</v>
      </c>
      <c r="C262" t="s">
        <v>554</v>
      </c>
      <c r="D262" s="75">
        <v>240906000000</v>
      </c>
      <c r="E262">
        <v>0</v>
      </c>
      <c r="F262" s="99">
        <v>1534020518.026468</v>
      </c>
      <c r="G262" s="99">
        <v>206070089588.2222</v>
      </c>
      <c r="H262" s="93">
        <v>0.42769812621566539</v>
      </c>
    </row>
    <row r="263" spans="1:8" x14ac:dyDescent="0.25">
      <c r="A263">
        <v>261</v>
      </c>
      <c r="B263">
        <v>21.75</v>
      </c>
      <c r="C263" t="s">
        <v>554</v>
      </c>
      <c r="D263" s="75">
        <v>240906000000</v>
      </c>
      <c r="E263">
        <v>0</v>
      </c>
      <c r="F263" s="99">
        <v>1545525671.9116659</v>
      </c>
      <c r="G263" s="99">
        <v>207615615260.13379</v>
      </c>
      <c r="H263" s="93">
        <v>0.43090586216228283</v>
      </c>
    </row>
    <row r="264" spans="1:8" x14ac:dyDescent="0.25">
      <c r="A264">
        <v>262</v>
      </c>
      <c r="B264">
        <v>21.83</v>
      </c>
      <c r="C264" t="s">
        <v>554</v>
      </c>
      <c r="D264" s="75">
        <v>240906000000</v>
      </c>
      <c r="E264">
        <v>0</v>
      </c>
      <c r="F264" s="99">
        <v>1557117114.451004</v>
      </c>
      <c r="G264" s="99">
        <v>209172732374.58481</v>
      </c>
      <c r="H264" s="93">
        <v>0.43413765612849992</v>
      </c>
    </row>
    <row r="265" spans="1:8" x14ac:dyDescent="0.25">
      <c r="A265">
        <v>263</v>
      </c>
      <c r="B265">
        <v>21.92</v>
      </c>
      <c r="C265" t="s">
        <v>554</v>
      </c>
      <c r="D265" s="75">
        <v>240906000000</v>
      </c>
      <c r="E265">
        <v>0</v>
      </c>
      <c r="F265" s="99">
        <v>1568795492.809386</v>
      </c>
      <c r="G265" s="99">
        <v>210741527867.3942</v>
      </c>
      <c r="H265" s="93">
        <v>0.4373936885494637</v>
      </c>
    </row>
    <row r="266" spans="1:8" x14ac:dyDescent="0.25">
      <c r="A266">
        <v>264</v>
      </c>
      <c r="B266">
        <v>22</v>
      </c>
      <c r="C266" t="s">
        <v>554</v>
      </c>
      <c r="D266" s="75">
        <v>240906000000</v>
      </c>
      <c r="E266">
        <v>0</v>
      </c>
      <c r="F266" s="99">
        <v>1580561459.005456</v>
      </c>
      <c r="G266" s="99">
        <v>212322089326.39969</v>
      </c>
      <c r="H266" s="93">
        <v>0.44067414121358472</v>
      </c>
    </row>
    <row r="267" spans="1:8" x14ac:dyDescent="0.25">
      <c r="A267">
        <v>265</v>
      </c>
      <c r="B267">
        <v>22.08</v>
      </c>
      <c r="C267" t="s">
        <v>554</v>
      </c>
      <c r="D267" s="75">
        <v>240906000000</v>
      </c>
      <c r="E267">
        <v>0</v>
      </c>
      <c r="F267" s="99">
        <v>1592415669.9479971</v>
      </c>
      <c r="G267" s="99">
        <v>213914504996.34769</v>
      </c>
      <c r="H267" s="93">
        <v>0.44397919727268648</v>
      </c>
    </row>
    <row r="268" spans="1:8" x14ac:dyDescent="0.25">
      <c r="A268">
        <v>266</v>
      </c>
      <c r="B268">
        <v>22.17</v>
      </c>
      <c r="C268" t="s">
        <v>554</v>
      </c>
      <c r="D268" s="75">
        <v>240906000000</v>
      </c>
      <c r="E268">
        <v>0</v>
      </c>
      <c r="F268" s="99">
        <v>1604358787.4726069</v>
      </c>
      <c r="G268" s="99">
        <v>215518863783.82031</v>
      </c>
      <c r="H268" s="93">
        <v>0.4473090412522317</v>
      </c>
    </row>
    <row r="269" spans="1:8" x14ac:dyDescent="0.25">
      <c r="A269">
        <v>267</v>
      </c>
      <c r="B269">
        <v>22.25</v>
      </c>
      <c r="C269" t="s">
        <v>554</v>
      </c>
      <c r="D269" s="75">
        <v>240906000000</v>
      </c>
      <c r="E269">
        <v>0</v>
      </c>
      <c r="F269" s="99">
        <v>1616391478.3786521</v>
      </c>
      <c r="G269" s="99">
        <v>217135255262.19891</v>
      </c>
      <c r="H269" s="93">
        <v>0.45066385906162337</v>
      </c>
    </row>
    <row r="270" spans="1:8" x14ac:dyDescent="0.25">
      <c r="A270">
        <v>268</v>
      </c>
      <c r="B270">
        <v>22.33</v>
      </c>
      <c r="C270" t="s">
        <v>554</v>
      </c>
      <c r="D270" s="75">
        <v>240906000000</v>
      </c>
      <c r="E270">
        <v>0</v>
      </c>
      <c r="F270" s="99">
        <v>1628514414.4664919</v>
      </c>
      <c r="G270" s="99">
        <v>218763769676.66541</v>
      </c>
      <c r="H270" s="93">
        <v>0.45404383800458559</v>
      </c>
    </row>
    <row r="271" spans="1:8" x14ac:dyDescent="0.25">
      <c r="A271">
        <v>269</v>
      </c>
      <c r="B271">
        <v>22.42</v>
      </c>
      <c r="C271" t="s">
        <v>554</v>
      </c>
      <c r="D271" s="75">
        <v>240906000000</v>
      </c>
      <c r="E271">
        <v>0</v>
      </c>
      <c r="F271" s="99">
        <v>1640728272.574991</v>
      </c>
      <c r="G271" s="99">
        <v>220404497949.24039</v>
      </c>
      <c r="H271" s="93">
        <v>0.45744916678962</v>
      </c>
    </row>
    <row r="272" spans="1:8" x14ac:dyDescent="0.25">
      <c r="A272">
        <v>270</v>
      </c>
      <c r="B272">
        <v>22.5</v>
      </c>
      <c r="C272" t="s">
        <v>554</v>
      </c>
      <c r="D272" s="75">
        <v>240906000000</v>
      </c>
      <c r="E272">
        <v>0</v>
      </c>
      <c r="F272" s="99">
        <v>1653033734.619303</v>
      </c>
      <c r="G272" s="99">
        <v>222057531683.85971</v>
      </c>
      <c r="H272" s="93">
        <v>0.46088003554054208</v>
      </c>
    </row>
    <row r="273" spans="1:8" x14ac:dyDescent="0.25">
      <c r="A273">
        <v>271</v>
      </c>
      <c r="B273">
        <v>22.58</v>
      </c>
      <c r="C273" t="s">
        <v>554</v>
      </c>
      <c r="D273" s="75">
        <v>240906000000</v>
      </c>
      <c r="E273">
        <v>0</v>
      </c>
      <c r="F273" s="99">
        <v>1665431487.628947</v>
      </c>
      <c r="G273" s="99">
        <v>223722963171.48859</v>
      </c>
      <c r="H273" s="93">
        <v>0.46433663580709622</v>
      </c>
    </row>
    <row r="274" spans="1:8" x14ac:dyDescent="0.25">
      <c r="A274">
        <v>272</v>
      </c>
      <c r="B274">
        <v>22.67</v>
      </c>
      <c r="C274" t="s">
        <v>554</v>
      </c>
      <c r="D274" s="75">
        <v>240906000000</v>
      </c>
      <c r="E274">
        <v>0</v>
      </c>
      <c r="F274" s="99">
        <v>1677922223.786165</v>
      </c>
      <c r="G274" s="99">
        <v>225400885395.27481</v>
      </c>
      <c r="H274" s="93">
        <v>0.46781916057564937</v>
      </c>
    </row>
    <row r="275" spans="1:8" x14ac:dyDescent="0.25">
      <c r="A275">
        <v>273</v>
      </c>
      <c r="B275">
        <v>22.75</v>
      </c>
      <c r="C275" t="s">
        <v>554</v>
      </c>
      <c r="D275" s="75">
        <v>240906000000</v>
      </c>
      <c r="E275">
        <v>0</v>
      </c>
      <c r="F275" s="99">
        <v>1690506640.464561</v>
      </c>
      <c r="G275" s="99">
        <v>227091392035.73929</v>
      </c>
      <c r="H275" s="93">
        <v>0.47132780427996679</v>
      </c>
    </row>
    <row r="276" spans="1:8" x14ac:dyDescent="0.25">
      <c r="A276">
        <v>274</v>
      </c>
      <c r="B276">
        <v>22.83</v>
      </c>
      <c r="C276" t="s">
        <v>554</v>
      </c>
      <c r="D276" s="75">
        <v>240906000000</v>
      </c>
      <c r="E276">
        <v>0</v>
      </c>
      <c r="F276" s="99">
        <v>1703185440.2680449</v>
      </c>
      <c r="G276" s="99">
        <v>228794577476.00739</v>
      </c>
      <c r="H276" s="93">
        <v>0.47486276281206652</v>
      </c>
    </row>
    <row r="277" spans="1:8" x14ac:dyDescent="0.25">
      <c r="A277">
        <v>275</v>
      </c>
      <c r="B277">
        <v>22.92</v>
      </c>
      <c r="C277" t="s">
        <v>554</v>
      </c>
      <c r="D277" s="75">
        <v>240906000000</v>
      </c>
      <c r="E277">
        <v>0</v>
      </c>
      <c r="F277" s="99">
        <v>1715959331.070055</v>
      </c>
      <c r="G277" s="99">
        <v>230510536807.07751</v>
      </c>
      <c r="H277" s="93">
        <v>0.47842423353315711</v>
      </c>
    </row>
    <row r="278" spans="1:8" x14ac:dyDescent="0.25">
      <c r="A278">
        <v>276</v>
      </c>
      <c r="B278">
        <v>23</v>
      </c>
      <c r="C278" t="s">
        <v>554</v>
      </c>
      <c r="D278" s="75">
        <v>240906000000</v>
      </c>
      <c r="E278">
        <v>0</v>
      </c>
      <c r="F278" s="99">
        <v>1728829026.053081</v>
      </c>
      <c r="G278" s="99">
        <v>232239365833.13049</v>
      </c>
      <c r="H278" s="93">
        <v>0.48201241528465572</v>
      </c>
    </row>
    <row r="279" spans="1:8" x14ac:dyDescent="0.25">
      <c r="A279">
        <v>277</v>
      </c>
      <c r="B279">
        <v>23.08</v>
      </c>
      <c r="C279" t="s">
        <v>554</v>
      </c>
      <c r="D279" s="75">
        <v>240906000000</v>
      </c>
      <c r="E279">
        <v>0</v>
      </c>
      <c r="F279" s="99">
        <v>1741795243.7484789</v>
      </c>
      <c r="G279" s="99">
        <v>233981161076.879</v>
      </c>
      <c r="H279" s="93">
        <v>0.48562750839929059</v>
      </c>
    </row>
    <row r="280" spans="1:8" x14ac:dyDescent="0.25">
      <c r="A280">
        <v>278</v>
      </c>
      <c r="B280">
        <v>23.17</v>
      </c>
      <c r="C280" t="s">
        <v>554</v>
      </c>
      <c r="D280" s="75">
        <v>240906000000</v>
      </c>
      <c r="E280">
        <v>0</v>
      </c>
      <c r="F280" s="99">
        <v>1754858708.076592</v>
      </c>
      <c r="G280" s="99">
        <v>235736019784.9556</v>
      </c>
      <c r="H280" s="93">
        <v>0.48926971471228531</v>
      </c>
    </row>
    <row r="281" spans="1:8" x14ac:dyDescent="0.25">
      <c r="A281">
        <v>279</v>
      </c>
      <c r="B281">
        <v>23.25</v>
      </c>
      <c r="C281" t="s">
        <v>554</v>
      </c>
      <c r="D281" s="75">
        <v>240906000000</v>
      </c>
      <c r="E281">
        <v>0</v>
      </c>
      <c r="F281" s="99">
        <v>1768020148.387167</v>
      </c>
      <c r="G281" s="99">
        <v>237504039933.3428</v>
      </c>
      <c r="H281" s="93">
        <v>0.49293923757262742</v>
      </c>
    </row>
    <row r="282" spans="1:8" x14ac:dyDescent="0.25">
      <c r="A282">
        <v>280</v>
      </c>
      <c r="B282">
        <v>23.33</v>
      </c>
      <c r="C282" t="s">
        <v>554</v>
      </c>
      <c r="D282" s="75">
        <v>240906000000</v>
      </c>
      <c r="E282">
        <v>0</v>
      </c>
      <c r="F282" s="99">
        <v>1781280299.500071</v>
      </c>
      <c r="G282" s="99">
        <v>239285320232.8428</v>
      </c>
      <c r="H282" s="93">
        <v>0.4966362818544221</v>
      </c>
    </row>
    <row r="283" spans="1:8" x14ac:dyDescent="0.25">
      <c r="A283">
        <v>281</v>
      </c>
      <c r="B283">
        <v>23.42</v>
      </c>
      <c r="C283" t="s">
        <v>554</v>
      </c>
      <c r="D283" s="75">
        <v>240906000000</v>
      </c>
      <c r="E283">
        <v>0</v>
      </c>
      <c r="F283" s="99">
        <v>1794639901.746321</v>
      </c>
      <c r="G283" s="99">
        <v>241079960134.58911</v>
      </c>
      <c r="H283" s="93">
        <v>0.5003610539683303</v>
      </c>
    </row>
    <row r="284" spans="1:8" x14ac:dyDescent="0.25">
      <c r="A284">
        <v>282</v>
      </c>
      <c r="B284">
        <v>23.5</v>
      </c>
      <c r="C284" t="s">
        <v>554</v>
      </c>
      <c r="D284" s="75">
        <v>240906000000</v>
      </c>
      <c r="E284">
        <v>0</v>
      </c>
      <c r="F284" s="99">
        <v>1808099701.009418</v>
      </c>
      <c r="G284" s="99">
        <v>242888059835.5986</v>
      </c>
      <c r="H284" s="93">
        <v>0.50411376187309276</v>
      </c>
    </row>
    <row r="285" spans="1:8" x14ac:dyDescent="0.25">
      <c r="A285">
        <v>283</v>
      </c>
      <c r="B285">
        <v>23.58</v>
      </c>
      <c r="C285" t="s">
        <v>554</v>
      </c>
      <c r="D285" s="75">
        <v>240906000000</v>
      </c>
      <c r="E285">
        <v>0</v>
      </c>
      <c r="F285" s="99">
        <v>1821660448.766989</v>
      </c>
      <c r="G285" s="99">
        <v>244709720284.3656</v>
      </c>
      <c r="H285" s="93">
        <v>0.50789461508714095</v>
      </c>
    </row>
    <row r="286" spans="1:8" x14ac:dyDescent="0.25">
      <c r="A286">
        <v>284</v>
      </c>
      <c r="B286">
        <v>23.67</v>
      </c>
      <c r="C286" t="s">
        <v>554</v>
      </c>
      <c r="D286" s="75">
        <v>240906000000</v>
      </c>
      <c r="E286">
        <v>0</v>
      </c>
      <c r="F286" s="99">
        <v>1835322902.1327419</v>
      </c>
      <c r="G286" s="99">
        <v>246545043186.49829</v>
      </c>
      <c r="H286" s="93">
        <v>0.51170382470029452</v>
      </c>
    </row>
    <row r="287" spans="1:8" x14ac:dyDescent="0.25">
      <c r="A287">
        <v>285</v>
      </c>
      <c r="B287">
        <v>23.75</v>
      </c>
      <c r="C287" t="s">
        <v>554</v>
      </c>
      <c r="D287" s="75">
        <v>240906000000</v>
      </c>
      <c r="E287">
        <v>0</v>
      </c>
      <c r="F287" s="99">
        <v>1849087823.898737</v>
      </c>
      <c r="G287" s="99">
        <v>248394131010.39709</v>
      </c>
      <c r="H287" s="93">
        <v>0.51554160338554678</v>
      </c>
    </row>
    <row r="288" spans="1:8" x14ac:dyDescent="0.25">
      <c r="A288">
        <v>286</v>
      </c>
      <c r="B288">
        <v>23.83</v>
      </c>
      <c r="C288" t="s">
        <v>554</v>
      </c>
      <c r="D288" s="75">
        <v>240906000000</v>
      </c>
      <c r="E288">
        <v>0</v>
      </c>
      <c r="F288" s="99">
        <v>1862955982.5779779</v>
      </c>
      <c r="G288" s="99">
        <v>250257086992.97501</v>
      </c>
      <c r="H288" s="93">
        <v>0.51940816541093837</v>
      </c>
    </row>
    <row r="289" spans="1:8" x14ac:dyDescent="0.25">
      <c r="A289">
        <v>287</v>
      </c>
      <c r="B289">
        <v>23.92</v>
      </c>
      <c r="C289" t="s">
        <v>554</v>
      </c>
      <c r="D289" s="75">
        <v>240906000000</v>
      </c>
      <c r="E289">
        <v>0</v>
      </c>
      <c r="F289" s="99">
        <v>1876928152.4473131</v>
      </c>
      <c r="G289" s="99">
        <v>252134015145.42239</v>
      </c>
      <c r="H289" s="93">
        <v>0.52330372665152047</v>
      </c>
    </row>
    <row r="290" spans="1:8" x14ac:dyDescent="0.25">
      <c r="A290">
        <v>288</v>
      </c>
      <c r="B290">
        <v>24</v>
      </c>
      <c r="C290" t="s">
        <v>554</v>
      </c>
      <c r="D290" s="75">
        <v>240906000000</v>
      </c>
      <c r="E290">
        <v>0</v>
      </c>
      <c r="F290" s="99">
        <v>1891005113.590668</v>
      </c>
      <c r="G290" s="99">
        <v>254025020259.013</v>
      </c>
      <c r="H290" s="93">
        <v>0.5272285046014068</v>
      </c>
    </row>
    <row r="291" spans="1:8" x14ac:dyDescent="0.25">
      <c r="A291">
        <v>289</v>
      </c>
      <c r="B291">
        <v>24.08</v>
      </c>
      <c r="C291" t="s">
        <v>554</v>
      </c>
      <c r="D291" s="75">
        <v>240906000000</v>
      </c>
      <c r="E291">
        <v>0</v>
      </c>
      <c r="F291" s="99">
        <v>1905187651.9425981</v>
      </c>
      <c r="G291" s="99">
        <v>255930207910.9556</v>
      </c>
      <c r="H291" s="93">
        <v>0.53118271838591735</v>
      </c>
    </row>
    <row r="292" spans="1:8" x14ac:dyDescent="0.25">
      <c r="A292">
        <v>290</v>
      </c>
      <c r="B292">
        <v>24.17</v>
      </c>
      <c r="C292" t="s">
        <v>554</v>
      </c>
      <c r="D292" s="75">
        <v>240906000000</v>
      </c>
      <c r="E292">
        <v>0</v>
      </c>
      <c r="F292" s="99">
        <v>1919476559.3321669</v>
      </c>
      <c r="G292" s="99">
        <v>257849684470.28781</v>
      </c>
      <c r="H292" s="93">
        <v>0.53516658877381174</v>
      </c>
    </row>
    <row r="293" spans="1:8" x14ac:dyDescent="0.25">
      <c r="A293">
        <v>291</v>
      </c>
      <c r="B293">
        <v>24.25</v>
      </c>
      <c r="C293" t="s">
        <v>554</v>
      </c>
      <c r="D293" s="75">
        <v>240906000000</v>
      </c>
      <c r="E293">
        <v>0</v>
      </c>
      <c r="F293" s="99">
        <v>1933872633.527158</v>
      </c>
      <c r="G293" s="99">
        <v>259783557103.81491</v>
      </c>
      <c r="H293" s="93">
        <v>0.5391803381896153</v>
      </c>
    </row>
    <row r="294" spans="1:8" x14ac:dyDescent="0.25">
      <c r="A294">
        <v>292</v>
      </c>
      <c r="B294">
        <v>24.33</v>
      </c>
      <c r="C294" t="s">
        <v>554</v>
      </c>
      <c r="D294" s="75">
        <v>240906000000</v>
      </c>
      <c r="E294">
        <v>0</v>
      </c>
      <c r="F294" s="99">
        <v>1948376678.2786119</v>
      </c>
      <c r="G294" s="99">
        <v>261731933782.0936</v>
      </c>
      <c r="H294" s="93">
        <v>0.54322419072603745</v>
      </c>
    </row>
    <row r="295" spans="1:8" x14ac:dyDescent="0.25">
      <c r="A295">
        <v>293</v>
      </c>
      <c r="B295">
        <v>24.42</v>
      </c>
      <c r="C295" t="s">
        <v>554</v>
      </c>
      <c r="D295" s="75">
        <v>240906000000</v>
      </c>
      <c r="E295">
        <v>0</v>
      </c>
      <c r="F295" s="99">
        <v>1962989503.3657019</v>
      </c>
      <c r="G295" s="99">
        <v>263694923285.45929</v>
      </c>
      <c r="H295" s="93">
        <v>0.54729837215648269</v>
      </c>
    </row>
    <row r="296" spans="1:8" x14ac:dyDescent="0.25">
      <c r="A296">
        <v>294</v>
      </c>
      <c r="B296">
        <v>24.5</v>
      </c>
      <c r="C296" t="s">
        <v>554</v>
      </c>
      <c r="D296" s="75">
        <v>240906000000</v>
      </c>
      <c r="E296">
        <v>0</v>
      </c>
      <c r="F296" s="99">
        <v>1977711924.640944</v>
      </c>
      <c r="G296" s="99">
        <v>265672635210.10019</v>
      </c>
      <c r="H296" s="93">
        <v>0.55140310994765629</v>
      </c>
    </row>
    <row r="297" spans="1:8" x14ac:dyDescent="0.25">
      <c r="A297">
        <v>295</v>
      </c>
      <c r="B297">
        <v>24.58</v>
      </c>
      <c r="C297" t="s">
        <v>554</v>
      </c>
      <c r="D297" s="75">
        <v>240906000000</v>
      </c>
      <c r="E297">
        <v>0</v>
      </c>
      <c r="F297" s="99">
        <v>1992544764.0757511</v>
      </c>
      <c r="G297" s="99">
        <v>267665179974.1759</v>
      </c>
      <c r="H297" s="93">
        <v>0.55553863327226372</v>
      </c>
    </row>
    <row r="298" spans="1:8" x14ac:dyDescent="0.25">
      <c r="A298">
        <v>296</v>
      </c>
      <c r="B298">
        <v>24.67</v>
      </c>
      <c r="C298" t="s">
        <v>554</v>
      </c>
      <c r="D298" s="75">
        <v>240906000000</v>
      </c>
      <c r="E298">
        <v>0</v>
      </c>
      <c r="F298" s="99">
        <v>2007488849.806319</v>
      </c>
      <c r="G298" s="99">
        <v>269672668823.98221</v>
      </c>
      <c r="H298" s="93">
        <v>0.55970517302180567</v>
      </c>
    </row>
    <row r="299" spans="1:8" x14ac:dyDescent="0.25">
      <c r="A299">
        <v>297</v>
      </c>
      <c r="B299">
        <v>24.75</v>
      </c>
      <c r="C299" t="s">
        <v>554</v>
      </c>
      <c r="D299" s="75">
        <v>240906000000</v>
      </c>
      <c r="E299">
        <v>0</v>
      </c>
      <c r="F299" s="99">
        <v>2022545016.179867</v>
      </c>
      <c r="G299" s="99">
        <v>271695213840.16211</v>
      </c>
      <c r="H299" s="93">
        <v>0.5639029618194692</v>
      </c>
    </row>
    <row r="300" spans="1:8" x14ac:dyDescent="0.25">
      <c r="A300">
        <v>298</v>
      </c>
      <c r="B300">
        <v>24.83</v>
      </c>
      <c r="C300" t="s">
        <v>554</v>
      </c>
      <c r="D300" s="75">
        <v>240906000000</v>
      </c>
      <c r="E300">
        <v>0</v>
      </c>
      <c r="F300" s="99">
        <v>2037714103.8012159</v>
      </c>
      <c r="G300" s="99">
        <v>273732927943.96329</v>
      </c>
      <c r="H300" s="93">
        <v>0.56813223403311519</v>
      </c>
    </row>
    <row r="301" spans="1:8" x14ac:dyDescent="0.25">
      <c r="A301">
        <v>299</v>
      </c>
      <c r="B301">
        <v>24.92</v>
      </c>
      <c r="C301" t="s">
        <v>554</v>
      </c>
      <c r="D301" s="75">
        <v>240906000000</v>
      </c>
      <c r="E301">
        <v>0</v>
      </c>
      <c r="F301" s="99">
        <v>2052996959.579725</v>
      </c>
      <c r="G301" s="99">
        <v>275785924903.54303</v>
      </c>
      <c r="H301" s="93">
        <v>0.5723932257883636</v>
      </c>
    </row>
    <row r="302" spans="1:8" x14ac:dyDescent="0.25">
      <c r="A302">
        <v>300</v>
      </c>
      <c r="B302">
        <v>25</v>
      </c>
      <c r="C302" t="s">
        <v>554</v>
      </c>
      <c r="D302" s="75">
        <v>240906000000</v>
      </c>
      <c r="E302">
        <v>0</v>
      </c>
      <c r="F302" s="99">
        <v>2068394436.7765729</v>
      </c>
      <c r="G302" s="99">
        <v>277854319340.31958</v>
      </c>
      <c r="H302" s="93">
        <v>0.57668617498177621</v>
      </c>
    </row>
    <row r="303" spans="1:8" x14ac:dyDescent="0.25">
      <c r="A303">
        <v>301</v>
      </c>
      <c r="B303">
        <v>25.08</v>
      </c>
      <c r="C303" t="s">
        <v>554</v>
      </c>
      <c r="D303" s="75">
        <v>240906000000</v>
      </c>
      <c r="E303">
        <v>0</v>
      </c>
      <c r="F303" s="99">
        <v>2083907395.052397</v>
      </c>
      <c r="G303" s="99">
        <v>279938226735.37189</v>
      </c>
      <c r="H303" s="93">
        <v>0.58101132129413946</v>
      </c>
    </row>
    <row r="304" spans="1:8" x14ac:dyDescent="0.25">
      <c r="A304">
        <v>302</v>
      </c>
      <c r="B304">
        <v>25.17</v>
      </c>
      <c r="C304" t="s">
        <v>554</v>
      </c>
      <c r="D304" s="75">
        <v>240906000000</v>
      </c>
      <c r="E304">
        <v>0</v>
      </c>
      <c r="F304" s="99">
        <v>2099536700.51529</v>
      </c>
      <c r="G304" s="99">
        <v>282037763435.88733</v>
      </c>
      <c r="H304" s="93">
        <v>0.58536890620384563</v>
      </c>
    </row>
    <row r="305" spans="1:8" x14ac:dyDescent="0.25">
      <c r="A305">
        <v>303</v>
      </c>
      <c r="B305">
        <v>25.25</v>
      </c>
      <c r="C305" t="s">
        <v>554</v>
      </c>
      <c r="D305" s="75">
        <v>240906000000</v>
      </c>
      <c r="E305">
        <v>0</v>
      </c>
      <c r="F305" s="99">
        <v>2115283225.769155</v>
      </c>
      <c r="G305" s="99">
        <v>284153046661.65637</v>
      </c>
      <c r="H305" s="93">
        <v>0.5897591730003745</v>
      </c>
    </row>
    <row r="306" spans="1:8" x14ac:dyDescent="0.25">
      <c r="A306">
        <v>304</v>
      </c>
      <c r="B306">
        <v>25.33</v>
      </c>
      <c r="C306" t="s">
        <v>554</v>
      </c>
      <c r="D306" s="75">
        <v>240906000000</v>
      </c>
      <c r="E306">
        <v>0</v>
      </c>
      <c r="F306" s="99">
        <v>2131147849.9624231</v>
      </c>
      <c r="G306" s="99">
        <v>286284194511.61877</v>
      </c>
      <c r="H306" s="93">
        <v>0.59418236679787728</v>
      </c>
    </row>
    <row r="307" spans="1:8" x14ac:dyDescent="0.25">
      <c r="A307">
        <v>305</v>
      </c>
      <c r="B307">
        <v>25.42</v>
      </c>
      <c r="C307" t="s">
        <v>554</v>
      </c>
      <c r="D307" s="75">
        <v>240906000000</v>
      </c>
      <c r="E307">
        <v>0</v>
      </c>
      <c r="F307" s="99">
        <v>2147131458.837141</v>
      </c>
      <c r="G307" s="99">
        <v>288431325970.45599</v>
      </c>
      <c r="H307" s="93">
        <v>0.59863873454886141</v>
      </c>
    </row>
    <row r="308" spans="1:8" x14ac:dyDescent="0.25">
      <c r="A308">
        <v>306</v>
      </c>
      <c r="B308">
        <v>25.5</v>
      </c>
      <c r="C308" t="s">
        <v>554</v>
      </c>
      <c r="D308" s="75">
        <v>240906000000</v>
      </c>
      <c r="E308">
        <v>0</v>
      </c>
      <c r="F308" s="99">
        <v>2163234944.77842</v>
      </c>
      <c r="G308" s="99">
        <v>290594560915.23438</v>
      </c>
      <c r="H308" s="93">
        <v>0.60312852505797787</v>
      </c>
    </row>
    <row r="309" spans="1:8" x14ac:dyDescent="0.25">
      <c r="A309">
        <v>307</v>
      </c>
      <c r="B309">
        <v>25.58</v>
      </c>
      <c r="C309" t="s">
        <v>554</v>
      </c>
      <c r="D309" s="75">
        <v>240906000000</v>
      </c>
      <c r="E309">
        <v>0</v>
      </c>
      <c r="F309" s="99">
        <v>2179459206.8642578</v>
      </c>
      <c r="G309" s="99">
        <v>292774020122.09869</v>
      </c>
      <c r="H309" s="93">
        <v>0.60765198899591266</v>
      </c>
    </row>
    <row r="310" spans="1:8" x14ac:dyDescent="0.25">
      <c r="A310">
        <v>308</v>
      </c>
      <c r="B310">
        <v>25.67</v>
      </c>
      <c r="C310" t="s">
        <v>554</v>
      </c>
      <c r="D310" s="75">
        <v>240906000000</v>
      </c>
      <c r="E310">
        <v>0</v>
      </c>
      <c r="F310" s="99">
        <v>2195805150.91574</v>
      </c>
      <c r="G310" s="99">
        <v>294969825273.0144</v>
      </c>
      <c r="H310" s="93">
        <v>0.61220937891338201</v>
      </c>
    </row>
    <row r="311" spans="1:8" x14ac:dyDescent="0.25">
      <c r="A311">
        <v>309</v>
      </c>
      <c r="B311">
        <v>25.75</v>
      </c>
      <c r="C311" t="s">
        <v>554</v>
      </c>
      <c r="D311" s="75">
        <v>240906000000</v>
      </c>
      <c r="E311">
        <v>0</v>
      </c>
      <c r="F311" s="99">
        <v>2212273689.5476079</v>
      </c>
      <c r="G311" s="99">
        <v>297182098962.56201</v>
      </c>
      <c r="H311" s="93">
        <v>0.61680094925523232</v>
      </c>
    </row>
    <row r="312" spans="1:8" x14ac:dyDescent="0.25">
      <c r="A312">
        <v>310</v>
      </c>
      <c r="B312">
        <v>25.83</v>
      </c>
      <c r="C312" t="s">
        <v>554</v>
      </c>
      <c r="D312" s="75">
        <v>240906000000</v>
      </c>
      <c r="E312">
        <v>0</v>
      </c>
      <c r="F312" s="99">
        <v>2228865742.2192149</v>
      </c>
      <c r="G312" s="99">
        <v>299410964704.78119</v>
      </c>
      <c r="H312" s="93">
        <v>0.62142695637464662</v>
      </c>
    </row>
    <row r="313" spans="1:8" x14ac:dyDescent="0.25">
      <c r="A313">
        <v>311</v>
      </c>
      <c r="B313">
        <v>25.92</v>
      </c>
      <c r="C313" t="s">
        <v>554</v>
      </c>
      <c r="D313" s="75">
        <v>240906000000</v>
      </c>
      <c r="E313">
        <v>0</v>
      </c>
      <c r="F313" s="99">
        <v>2245582235.2858591</v>
      </c>
      <c r="G313" s="99">
        <v>301656546940.06708</v>
      </c>
      <c r="H313" s="93">
        <v>0.62608765854745652</v>
      </c>
    </row>
    <row r="314" spans="1:8" x14ac:dyDescent="0.25">
      <c r="A314">
        <v>312</v>
      </c>
      <c r="B314">
        <v>26</v>
      </c>
      <c r="C314" t="s">
        <v>554</v>
      </c>
      <c r="D314" s="75">
        <v>240906000000</v>
      </c>
      <c r="E314">
        <v>0</v>
      </c>
      <c r="F314" s="99">
        <v>2262424102.0505028</v>
      </c>
      <c r="G314" s="99">
        <v>303918971042.11761</v>
      </c>
      <c r="H314" s="93">
        <v>0.63078331598656245</v>
      </c>
    </row>
    <row r="315" spans="1:8" x14ac:dyDescent="0.25">
      <c r="A315">
        <v>313</v>
      </c>
      <c r="B315">
        <v>26.08</v>
      </c>
      <c r="C315" t="s">
        <v>554</v>
      </c>
      <c r="D315" s="75">
        <v>240906000000</v>
      </c>
      <c r="E315">
        <v>0</v>
      </c>
      <c r="F315" s="99">
        <v>2279392282.8158822</v>
      </c>
      <c r="G315" s="99">
        <v>306198363324.93347</v>
      </c>
      <c r="H315" s="93">
        <v>0.63551419085646155</v>
      </c>
    </row>
    <row r="316" spans="1:8" x14ac:dyDescent="0.25">
      <c r="A316">
        <v>314</v>
      </c>
      <c r="B316">
        <v>26.17</v>
      </c>
      <c r="C316" t="s">
        <v>554</v>
      </c>
      <c r="D316" s="75">
        <v>240906000000</v>
      </c>
      <c r="E316">
        <v>0</v>
      </c>
      <c r="F316" s="99">
        <v>2296487724.9370012</v>
      </c>
      <c r="G316" s="99">
        <v>308494851049.87048</v>
      </c>
      <c r="H316" s="93">
        <v>0.64028054728788508</v>
      </c>
    </row>
    <row r="317" spans="1:8" x14ac:dyDescent="0.25">
      <c r="A317">
        <v>315</v>
      </c>
      <c r="B317">
        <v>26.25</v>
      </c>
      <c r="C317" t="s">
        <v>554</v>
      </c>
      <c r="D317" s="75">
        <v>240906000000</v>
      </c>
      <c r="E317">
        <v>0</v>
      </c>
      <c r="F317" s="99">
        <v>2313711382.8740292</v>
      </c>
      <c r="G317" s="99">
        <v>310808562432.74451</v>
      </c>
      <c r="H317" s="93">
        <v>0.64508265139254417</v>
      </c>
    </row>
    <row r="318" spans="1:8" x14ac:dyDescent="0.25">
      <c r="A318">
        <v>316</v>
      </c>
      <c r="B318">
        <v>26.33</v>
      </c>
      <c r="C318" t="s">
        <v>554</v>
      </c>
      <c r="D318" s="75">
        <v>240906000000</v>
      </c>
      <c r="E318">
        <v>0</v>
      </c>
      <c r="F318" s="99">
        <v>2331064218.245584</v>
      </c>
      <c r="G318" s="99">
        <v>313139626650.99011</v>
      </c>
      <c r="H318" s="93">
        <v>0.64992077127798831</v>
      </c>
    </row>
    <row r="319" spans="1:8" x14ac:dyDescent="0.25">
      <c r="A319">
        <v>317</v>
      </c>
      <c r="B319">
        <v>26.42</v>
      </c>
      <c r="C319" t="s">
        <v>554</v>
      </c>
      <c r="D319" s="75">
        <v>240906000000</v>
      </c>
      <c r="E319">
        <v>0</v>
      </c>
      <c r="F319" s="99">
        <v>2348547199.8824258</v>
      </c>
      <c r="G319" s="99">
        <v>315488173850.87262</v>
      </c>
      <c r="H319" s="93">
        <v>0.65479517706257329</v>
      </c>
    </row>
    <row r="320" spans="1:8" x14ac:dyDescent="0.25">
      <c r="A320">
        <v>318</v>
      </c>
      <c r="B320">
        <v>26.5</v>
      </c>
      <c r="C320" t="s">
        <v>554</v>
      </c>
      <c r="D320" s="75">
        <v>240906000000</v>
      </c>
      <c r="E320">
        <v>0</v>
      </c>
      <c r="F320" s="99">
        <v>2366161303.8815441</v>
      </c>
      <c r="G320" s="99">
        <v>317854335154.75409</v>
      </c>
      <c r="H320" s="93">
        <v>0.65970614089054258</v>
      </c>
    </row>
    <row r="321" spans="1:8" x14ac:dyDescent="0.25">
      <c r="A321">
        <v>319</v>
      </c>
      <c r="B321">
        <v>26.58</v>
      </c>
      <c r="C321" t="s">
        <v>554</v>
      </c>
      <c r="D321" s="75">
        <v>240906000000</v>
      </c>
      <c r="E321">
        <v>0</v>
      </c>
      <c r="F321" s="99">
        <v>2383907513.660655</v>
      </c>
      <c r="G321" s="99">
        <v>320238242668.41467</v>
      </c>
      <c r="H321" s="93">
        <v>0.66465393694722164</v>
      </c>
    </row>
    <row r="322" spans="1:8" x14ac:dyDescent="0.25">
      <c r="A322">
        <v>320</v>
      </c>
      <c r="B322">
        <v>26.67</v>
      </c>
      <c r="C322" t="s">
        <v>554</v>
      </c>
      <c r="D322" s="75">
        <v>240906000000</v>
      </c>
      <c r="E322">
        <v>0</v>
      </c>
      <c r="F322" s="99">
        <v>2401786820.0131111</v>
      </c>
      <c r="G322" s="99">
        <v>322640029488.42792</v>
      </c>
      <c r="H322" s="93">
        <v>0.66963884147432584</v>
      </c>
    </row>
    <row r="323" spans="1:8" x14ac:dyDescent="0.25">
      <c r="A323">
        <v>321</v>
      </c>
      <c r="B323">
        <v>26.75</v>
      </c>
      <c r="C323" t="s">
        <v>554</v>
      </c>
      <c r="D323" s="75">
        <v>240906000000</v>
      </c>
      <c r="E323">
        <v>0</v>
      </c>
      <c r="F323" s="99">
        <v>2419800221.163209</v>
      </c>
      <c r="G323" s="99">
        <v>325059829709.59113</v>
      </c>
      <c r="H323" s="93">
        <v>0.6746611327853832</v>
      </c>
    </row>
    <row r="324" spans="1:8" x14ac:dyDescent="0.25">
      <c r="A324">
        <v>322</v>
      </c>
      <c r="B324">
        <v>26.83</v>
      </c>
      <c r="C324" t="s">
        <v>554</v>
      </c>
      <c r="D324" s="75">
        <v>240906000000</v>
      </c>
      <c r="E324">
        <v>0</v>
      </c>
      <c r="F324" s="99">
        <v>2437948722.8219328</v>
      </c>
      <c r="G324" s="99">
        <v>327497778432.41302</v>
      </c>
      <c r="H324" s="93">
        <v>0.67972109128127367</v>
      </c>
    </row>
    <row r="325" spans="1:8" x14ac:dyDescent="0.25">
      <c r="A325">
        <v>323</v>
      </c>
      <c r="B325">
        <v>26.92</v>
      </c>
      <c r="C325" t="s">
        <v>554</v>
      </c>
      <c r="D325" s="75">
        <v>240906000000</v>
      </c>
      <c r="E325">
        <v>0</v>
      </c>
      <c r="F325" s="99">
        <v>2456233338.2430978</v>
      </c>
      <c r="G325" s="99">
        <v>329954011770.65613</v>
      </c>
      <c r="H325" s="93">
        <v>0.6848189994658832</v>
      </c>
    </row>
    <row r="326" spans="1:8" x14ac:dyDescent="0.25">
      <c r="A326">
        <v>324</v>
      </c>
      <c r="B326">
        <v>27</v>
      </c>
      <c r="C326" t="s">
        <v>554</v>
      </c>
      <c r="D326" s="75">
        <v>240906000000</v>
      </c>
      <c r="E326">
        <v>0</v>
      </c>
      <c r="F326" s="99">
        <v>2474655088.2799211</v>
      </c>
      <c r="G326" s="99">
        <v>332428666858.93597</v>
      </c>
      <c r="H326" s="93">
        <v>0.68995514196187735</v>
      </c>
    </row>
    <row r="327" spans="1:8" x14ac:dyDescent="0.25">
      <c r="A327">
        <v>325</v>
      </c>
      <c r="B327">
        <v>27.08</v>
      </c>
      <c r="C327" t="s">
        <v>554</v>
      </c>
      <c r="D327" s="75">
        <v>240906000000</v>
      </c>
      <c r="E327">
        <v>0</v>
      </c>
      <c r="F327" s="99">
        <v>2493215001.4420199</v>
      </c>
      <c r="G327" s="99">
        <v>334921881860.37811</v>
      </c>
      <c r="H327" s="93">
        <v>0.69512980552659143</v>
      </c>
    </row>
    <row r="328" spans="1:8" x14ac:dyDescent="0.25">
      <c r="A328">
        <v>326</v>
      </c>
      <c r="B328">
        <v>27.17</v>
      </c>
      <c r="C328" t="s">
        <v>554</v>
      </c>
      <c r="D328" s="75">
        <v>240906000000</v>
      </c>
      <c r="E328">
        <v>0</v>
      </c>
      <c r="F328" s="99">
        <v>2511914113.9528351</v>
      </c>
      <c r="G328" s="99">
        <v>337433795974.33087</v>
      </c>
      <c r="H328" s="93">
        <v>0.70034327906804084</v>
      </c>
    </row>
    <row r="329" spans="1:8" x14ac:dyDescent="0.25">
      <c r="A329">
        <v>327</v>
      </c>
      <c r="B329">
        <v>27.25</v>
      </c>
      <c r="C329" t="s">
        <v>554</v>
      </c>
      <c r="D329" s="75">
        <v>240906000000</v>
      </c>
      <c r="E329">
        <v>0</v>
      </c>
      <c r="F329" s="99">
        <v>2530753469.8074808</v>
      </c>
      <c r="G329" s="99">
        <v>339964549444.13843</v>
      </c>
      <c r="H329" s="93">
        <v>0.70559585366105115</v>
      </c>
    </row>
    <row r="330" spans="1:8" x14ac:dyDescent="0.25">
      <c r="A330">
        <v>328</v>
      </c>
      <c r="B330">
        <v>27.33</v>
      </c>
      <c r="C330" t="s">
        <v>554</v>
      </c>
      <c r="D330" s="75">
        <v>240906000000</v>
      </c>
      <c r="E330">
        <v>0</v>
      </c>
      <c r="F330" s="99">
        <v>2549734120.831038</v>
      </c>
      <c r="G330" s="99">
        <v>342514283564.96942</v>
      </c>
      <c r="H330" s="93">
        <v>0.71088782256350902</v>
      </c>
    </row>
    <row r="331" spans="1:8" x14ac:dyDescent="0.25">
      <c r="A331">
        <v>329</v>
      </c>
      <c r="B331">
        <v>27.42</v>
      </c>
      <c r="C331" t="s">
        <v>554</v>
      </c>
      <c r="D331" s="75">
        <v>240906000000</v>
      </c>
      <c r="E331">
        <v>0</v>
      </c>
      <c r="F331" s="99">
        <v>2568857126.7372699</v>
      </c>
      <c r="G331" s="99">
        <v>345083140691.70673</v>
      </c>
      <c r="H331" s="93">
        <v>0.71621948123273527</v>
      </c>
    </row>
    <row r="332" spans="1:8" x14ac:dyDescent="0.25">
      <c r="A332">
        <v>330</v>
      </c>
      <c r="B332">
        <v>27.5</v>
      </c>
      <c r="C332" t="s">
        <v>554</v>
      </c>
      <c r="D332" s="75">
        <v>240906000000</v>
      </c>
      <c r="E332">
        <v>0</v>
      </c>
      <c r="F332" s="99">
        <v>2588123555.1877999</v>
      </c>
      <c r="G332" s="99">
        <v>347671264246.89447</v>
      </c>
      <c r="H332" s="93">
        <v>0.72159112734198083</v>
      </c>
    </row>
    <row r="333" spans="1:8" x14ac:dyDescent="0.25">
      <c r="A333">
        <v>331</v>
      </c>
      <c r="B333">
        <v>27.58</v>
      </c>
      <c r="C333" t="s">
        <v>554</v>
      </c>
      <c r="D333" s="75">
        <v>240906000000</v>
      </c>
      <c r="E333">
        <v>0</v>
      </c>
      <c r="F333" s="99">
        <v>2607534481.8517079</v>
      </c>
      <c r="G333" s="99">
        <v>350278798728.74622</v>
      </c>
      <c r="H333" s="93">
        <v>0.72700306079704569</v>
      </c>
    </row>
    <row r="334" spans="1:8" x14ac:dyDescent="0.25">
      <c r="A334">
        <v>332</v>
      </c>
      <c r="B334">
        <v>27.67</v>
      </c>
      <c r="C334" t="s">
        <v>554</v>
      </c>
      <c r="D334" s="75">
        <v>240906000000</v>
      </c>
      <c r="E334">
        <v>0</v>
      </c>
      <c r="F334" s="99">
        <v>2627090990.4655962</v>
      </c>
      <c r="G334" s="99">
        <v>352905889719.21167</v>
      </c>
      <c r="H334" s="93">
        <v>0.73245558375302344</v>
      </c>
    </row>
    <row r="335" spans="1:8" x14ac:dyDescent="0.25">
      <c r="A335">
        <v>333</v>
      </c>
      <c r="B335">
        <v>27.75</v>
      </c>
      <c r="C335" t="s">
        <v>554</v>
      </c>
      <c r="D335" s="75">
        <v>240906000000</v>
      </c>
      <c r="E335">
        <v>0</v>
      </c>
      <c r="F335" s="99">
        <v>2646794172.8940878</v>
      </c>
      <c r="G335" s="99">
        <v>355552683892.10577</v>
      </c>
      <c r="H335" s="93">
        <v>0.73794900063117119</v>
      </c>
    </row>
    <row r="336" spans="1:8" x14ac:dyDescent="0.25">
      <c r="A336">
        <v>334</v>
      </c>
      <c r="B336">
        <v>27.83</v>
      </c>
      <c r="C336" t="s">
        <v>554</v>
      </c>
      <c r="D336" s="75">
        <v>240906000000</v>
      </c>
      <c r="E336">
        <v>0</v>
      </c>
      <c r="F336" s="99">
        <v>2666645129.190794</v>
      </c>
      <c r="G336" s="99">
        <v>358219329021.29657</v>
      </c>
      <c r="H336" s="93">
        <v>0.74348361813590491</v>
      </c>
    </row>
    <row r="337" spans="1:8" x14ac:dyDescent="0.25">
      <c r="A337">
        <v>335</v>
      </c>
      <c r="B337">
        <v>27.92</v>
      </c>
      <c r="C337" t="s">
        <v>554</v>
      </c>
      <c r="D337" s="75">
        <v>240906000000</v>
      </c>
      <c r="E337">
        <v>0</v>
      </c>
      <c r="F337" s="99">
        <v>2686644967.6597252</v>
      </c>
      <c r="G337" s="99">
        <v>360905973988.95642</v>
      </c>
      <c r="H337" s="93">
        <v>0.7490597452719242</v>
      </c>
    </row>
    <row r="338" spans="1:8" x14ac:dyDescent="0.25">
      <c r="A338">
        <v>336</v>
      </c>
      <c r="B338">
        <v>28</v>
      </c>
      <c r="C338" t="s">
        <v>554</v>
      </c>
      <c r="D338" s="75">
        <v>240906000000</v>
      </c>
      <c r="E338">
        <v>0</v>
      </c>
      <c r="F338" s="99">
        <v>2706794804.917172</v>
      </c>
      <c r="G338" s="99">
        <v>363612768793.87347</v>
      </c>
      <c r="H338" s="93">
        <v>0.75467769336146362</v>
      </c>
    </row>
    <row r="347" spans="1:8" x14ac:dyDescent="0.25">
      <c r="D347" s="100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Raise Financial Model</vt:lpstr>
      <vt:lpstr>Wind-Down Summary</vt:lpstr>
      <vt:lpstr>Phase 2 - Accumulation</vt:lpstr>
      <vt:lpstr>Phase 3 - Wind-Down</vt:lpstr>
      <vt:lpstr>L35 Gate — Year Summary</vt:lpstr>
      <vt:lpstr>L35 Gate — Monthly Detail</vt:lpstr>
      <vt:lpstr>L Strategy Comparison</vt:lpstr>
      <vt:lpstr>Interest Rate Scenarios</vt:lpstr>
      <vt:lpstr>9% Scenario —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g</cp:lastModifiedBy>
  <dcterms:created xsi:type="dcterms:W3CDTF">2026-03-26T19:19:56Z</dcterms:created>
  <dcterms:modified xsi:type="dcterms:W3CDTF">2026-04-03T16:25:48Z</dcterms:modified>
</cp:coreProperties>
</file>