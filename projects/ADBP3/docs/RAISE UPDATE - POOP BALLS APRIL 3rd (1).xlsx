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4_n\Downloads\"/>
    </mc:Choice>
  </mc:AlternateContent>
  <xr:revisionPtr revIDLastSave="0" documentId="13_ncr:1_{CD9A4960-B355-4454-83B3-F50DCCA9747B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Discount Network — Model" sheetId="1" r:id="rId1"/>
    <sheet name="Scena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3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5" i="1" l="1"/>
  <c r="K273" i="1"/>
  <c r="E273" i="1"/>
  <c r="D273" i="1"/>
  <c r="K272" i="1"/>
  <c r="E272" i="1"/>
  <c r="D272" i="1"/>
  <c r="K271" i="1"/>
  <c r="E271" i="1"/>
  <c r="D271" i="1"/>
  <c r="K270" i="1"/>
  <c r="E270" i="1"/>
  <c r="D270" i="1"/>
  <c r="K269" i="1"/>
  <c r="E269" i="1"/>
  <c r="D269" i="1"/>
  <c r="K268" i="1"/>
  <c r="E268" i="1"/>
  <c r="D268" i="1"/>
  <c r="K267" i="1"/>
  <c r="E267" i="1"/>
  <c r="D267" i="1"/>
  <c r="K266" i="1"/>
  <c r="E266" i="1"/>
  <c r="D266" i="1"/>
  <c r="K265" i="1"/>
  <c r="E265" i="1"/>
  <c r="D265" i="1"/>
  <c r="K264" i="1"/>
  <c r="E264" i="1"/>
  <c r="D264" i="1"/>
  <c r="K263" i="1"/>
  <c r="E263" i="1"/>
  <c r="D263" i="1"/>
  <c r="K262" i="1"/>
  <c r="E262" i="1"/>
  <c r="D262" i="1"/>
  <c r="K261" i="1"/>
  <c r="E261" i="1"/>
  <c r="D261" i="1"/>
  <c r="K260" i="1"/>
  <c r="E260" i="1"/>
  <c r="D260" i="1"/>
  <c r="K259" i="1"/>
  <c r="E259" i="1"/>
  <c r="D259" i="1"/>
  <c r="K258" i="1"/>
  <c r="E258" i="1"/>
  <c r="D258" i="1"/>
  <c r="K257" i="1"/>
  <c r="E257" i="1"/>
  <c r="D257" i="1"/>
  <c r="K256" i="1"/>
  <c r="E256" i="1"/>
  <c r="D256" i="1"/>
  <c r="K255" i="1"/>
  <c r="E255" i="1"/>
  <c r="D255" i="1"/>
  <c r="K254" i="1"/>
  <c r="E254" i="1"/>
  <c r="D254" i="1"/>
  <c r="K253" i="1"/>
  <c r="E253" i="1"/>
  <c r="D253" i="1"/>
  <c r="K252" i="1"/>
  <c r="E252" i="1"/>
  <c r="D252" i="1"/>
  <c r="K251" i="1"/>
  <c r="E251" i="1"/>
  <c r="D251" i="1"/>
  <c r="K250" i="1"/>
  <c r="E250" i="1"/>
  <c r="D250" i="1"/>
  <c r="K249" i="1"/>
  <c r="E249" i="1"/>
  <c r="D249" i="1"/>
  <c r="K248" i="1"/>
  <c r="E248" i="1"/>
  <c r="D248" i="1"/>
  <c r="K247" i="1"/>
  <c r="E247" i="1"/>
  <c r="D247" i="1"/>
  <c r="K246" i="1"/>
  <c r="E246" i="1"/>
  <c r="D246" i="1"/>
  <c r="K245" i="1"/>
  <c r="E245" i="1"/>
  <c r="D245" i="1"/>
  <c r="K244" i="1"/>
  <c r="E244" i="1"/>
  <c r="D244" i="1"/>
  <c r="K243" i="1"/>
  <c r="E243" i="1"/>
  <c r="D243" i="1"/>
  <c r="K242" i="1"/>
  <c r="E242" i="1"/>
  <c r="D242" i="1"/>
  <c r="K241" i="1"/>
  <c r="E241" i="1"/>
  <c r="D241" i="1"/>
  <c r="K240" i="1"/>
  <c r="E240" i="1"/>
  <c r="D240" i="1"/>
  <c r="K239" i="1"/>
  <c r="E239" i="1"/>
  <c r="D239" i="1"/>
  <c r="K238" i="1"/>
  <c r="E238" i="1"/>
  <c r="D238" i="1"/>
  <c r="K237" i="1"/>
  <c r="E237" i="1"/>
  <c r="D237" i="1"/>
  <c r="K236" i="1"/>
  <c r="E236" i="1"/>
  <c r="D236" i="1"/>
  <c r="K235" i="1"/>
  <c r="E235" i="1"/>
  <c r="D235" i="1"/>
  <c r="K234" i="1"/>
  <c r="E234" i="1"/>
  <c r="D234" i="1"/>
  <c r="K233" i="1"/>
  <c r="E233" i="1"/>
  <c r="D233" i="1"/>
  <c r="K232" i="1"/>
  <c r="E232" i="1"/>
  <c r="D232" i="1"/>
  <c r="K231" i="1"/>
  <c r="E231" i="1"/>
  <c r="D231" i="1"/>
  <c r="K230" i="1"/>
  <c r="E230" i="1"/>
  <c r="D230" i="1"/>
  <c r="K229" i="1"/>
  <c r="E229" i="1"/>
  <c r="D229" i="1"/>
  <c r="K228" i="1"/>
  <c r="E228" i="1"/>
  <c r="D228" i="1"/>
  <c r="K227" i="1"/>
  <c r="E227" i="1"/>
  <c r="D227" i="1"/>
  <c r="K226" i="1"/>
  <c r="E226" i="1"/>
  <c r="D226" i="1"/>
  <c r="K225" i="1"/>
  <c r="E225" i="1"/>
  <c r="D225" i="1"/>
  <c r="K224" i="1"/>
  <c r="E224" i="1"/>
  <c r="D224" i="1"/>
  <c r="K223" i="1"/>
  <c r="E223" i="1"/>
  <c r="D223" i="1"/>
  <c r="K222" i="1"/>
  <c r="E222" i="1"/>
  <c r="D222" i="1"/>
  <c r="K221" i="1"/>
  <c r="E221" i="1"/>
  <c r="D221" i="1"/>
  <c r="K220" i="1"/>
  <c r="E220" i="1"/>
  <c r="D220" i="1"/>
  <c r="K219" i="1"/>
  <c r="E219" i="1"/>
  <c r="D219" i="1"/>
  <c r="K218" i="1"/>
  <c r="E218" i="1"/>
  <c r="D218" i="1"/>
  <c r="K217" i="1"/>
  <c r="E217" i="1"/>
  <c r="D217" i="1"/>
  <c r="K216" i="1"/>
  <c r="E216" i="1"/>
  <c r="D216" i="1"/>
  <c r="K215" i="1"/>
  <c r="E215" i="1"/>
  <c r="D215" i="1"/>
  <c r="K214" i="1"/>
  <c r="E214" i="1"/>
  <c r="D214" i="1"/>
  <c r="K213" i="1"/>
  <c r="E213" i="1"/>
  <c r="D213" i="1"/>
  <c r="K212" i="1"/>
  <c r="E212" i="1"/>
  <c r="D212" i="1"/>
  <c r="K211" i="1"/>
  <c r="E211" i="1"/>
  <c r="D211" i="1"/>
  <c r="K210" i="1"/>
  <c r="E210" i="1"/>
  <c r="D210" i="1"/>
  <c r="K209" i="1"/>
  <c r="E209" i="1"/>
  <c r="D209" i="1"/>
  <c r="K208" i="1"/>
  <c r="E208" i="1"/>
  <c r="D208" i="1"/>
  <c r="K207" i="1"/>
  <c r="E207" i="1"/>
  <c r="D207" i="1"/>
  <c r="K206" i="1"/>
  <c r="E206" i="1"/>
  <c r="D206" i="1"/>
  <c r="K205" i="1"/>
  <c r="E205" i="1"/>
  <c r="D205" i="1"/>
  <c r="K204" i="1"/>
  <c r="E204" i="1"/>
  <c r="D204" i="1"/>
  <c r="K203" i="1"/>
  <c r="E203" i="1"/>
  <c r="D203" i="1"/>
  <c r="K202" i="1"/>
  <c r="E202" i="1"/>
  <c r="D202" i="1"/>
  <c r="K201" i="1"/>
  <c r="E201" i="1"/>
  <c r="D201" i="1"/>
  <c r="K200" i="1"/>
  <c r="E200" i="1"/>
  <c r="D200" i="1"/>
  <c r="K199" i="1"/>
  <c r="E199" i="1"/>
  <c r="D199" i="1"/>
  <c r="K198" i="1"/>
  <c r="E198" i="1"/>
  <c r="D198" i="1"/>
  <c r="K197" i="1"/>
  <c r="E197" i="1"/>
  <c r="D197" i="1"/>
  <c r="K196" i="1"/>
  <c r="E196" i="1"/>
  <c r="D196" i="1"/>
  <c r="K195" i="1"/>
  <c r="E195" i="1"/>
  <c r="D195" i="1"/>
  <c r="K194" i="1"/>
  <c r="E194" i="1"/>
  <c r="D194" i="1"/>
  <c r="K193" i="1"/>
  <c r="E193" i="1"/>
  <c r="D193" i="1"/>
  <c r="K192" i="1"/>
  <c r="E192" i="1"/>
  <c r="D192" i="1"/>
  <c r="K191" i="1"/>
  <c r="E191" i="1"/>
  <c r="D191" i="1"/>
  <c r="K190" i="1"/>
  <c r="E190" i="1"/>
  <c r="D190" i="1"/>
  <c r="K189" i="1"/>
  <c r="E189" i="1"/>
  <c r="D189" i="1"/>
  <c r="K188" i="1"/>
  <c r="E188" i="1"/>
  <c r="D188" i="1"/>
  <c r="K187" i="1"/>
  <c r="E187" i="1"/>
  <c r="D187" i="1"/>
  <c r="K186" i="1"/>
  <c r="E186" i="1"/>
  <c r="D186" i="1"/>
  <c r="K185" i="1"/>
  <c r="E185" i="1"/>
  <c r="D185" i="1"/>
  <c r="K184" i="1"/>
  <c r="E184" i="1"/>
  <c r="D184" i="1"/>
  <c r="K183" i="1"/>
  <c r="E183" i="1"/>
  <c r="D183" i="1"/>
  <c r="K182" i="1"/>
  <c r="E182" i="1"/>
  <c r="D182" i="1"/>
  <c r="K181" i="1"/>
  <c r="E181" i="1"/>
  <c r="D181" i="1"/>
  <c r="K180" i="1"/>
  <c r="E180" i="1"/>
  <c r="D180" i="1"/>
  <c r="K179" i="1"/>
  <c r="E179" i="1"/>
  <c r="D179" i="1"/>
  <c r="K178" i="1"/>
  <c r="E178" i="1"/>
  <c r="D178" i="1"/>
  <c r="K177" i="1"/>
  <c r="E177" i="1"/>
  <c r="D177" i="1"/>
  <c r="K176" i="1"/>
  <c r="E176" i="1"/>
  <c r="D176" i="1"/>
  <c r="K175" i="1"/>
  <c r="E175" i="1"/>
  <c r="D175" i="1"/>
  <c r="K174" i="1"/>
  <c r="E174" i="1"/>
  <c r="D174" i="1"/>
  <c r="K173" i="1"/>
  <c r="E173" i="1"/>
  <c r="D173" i="1"/>
  <c r="K172" i="1"/>
  <c r="E172" i="1"/>
  <c r="D172" i="1"/>
  <c r="K171" i="1"/>
  <c r="E171" i="1"/>
  <c r="D171" i="1"/>
  <c r="K170" i="1"/>
  <c r="E170" i="1"/>
  <c r="D170" i="1"/>
  <c r="K169" i="1"/>
  <c r="E169" i="1"/>
  <c r="D169" i="1"/>
  <c r="K168" i="1"/>
  <c r="E168" i="1"/>
  <c r="D168" i="1"/>
  <c r="K167" i="1"/>
  <c r="E167" i="1"/>
  <c r="D167" i="1"/>
  <c r="K166" i="1"/>
  <c r="E166" i="1"/>
  <c r="D166" i="1"/>
  <c r="K165" i="1"/>
  <c r="E165" i="1"/>
  <c r="D165" i="1"/>
  <c r="K164" i="1"/>
  <c r="E164" i="1"/>
  <c r="D164" i="1"/>
  <c r="K163" i="1"/>
  <c r="E163" i="1"/>
  <c r="D163" i="1"/>
  <c r="K162" i="1"/>
  <c r="E162" i="1"/>
  <c r="D162" i="1"/>
  <c r="K161" i="1"/>
  <c r="E161" i="1"/>
  <c r="D161" i="1"/>
  <c r="K160" i="1"/>
  <c r="E160" i="1"/>
  <c r="D160" i="1"/>
  <c r="K159" i="1"/>
  <c r="E159" i="1"/>
  <c r="D159" i="1"/>
  <c r="K158" i="1"/>
  <c r="E158" i="1"/>
  <c r="D158" i="1"/>
  <c r="K157" i="1"/>
  <c r="E157" i="1"/>
  <c r="D157" i="1"/>
  <c r="K156" i="1"/>
  <c r="E156" i="1"/>
  <c r="D156" i="1"/>
  <c r="K155" i="1"/>
  <c r="E155" i="1"/>
  <c r="D155" i="1"/>
  <c r="K154" i="1"/>
  <c r="E154" i="1"/>
  <c r="D154" i="1"/>
  <c r="K153" i="1"/>
  <c r="E153" i="1"/>
  <c r="D153" i="1"/>
  <c r="K152" i="1"/>
  <c r="E152" i="1"/>
  <c r="D152" i="1"/>
  <c r="K151" i="1"/>
  <c r="E151" i="1"/>
  <c r="D151" i="1"/>
  <c r="K150" i="1"/>
  <c r="E150" i="1"/>
  <c r="D150" i="1"/>
  <c r="K149" i="1"/>
  <c r="E149" i="1"/>
  <c r="D149" i="1"/>
  <c r="K148" i="1"/>
  <c r="E148" i="1"/>
  <c r="D148" i="1"/>
  <c r="K147" i="1"/>
  <c r="E147" i="1"/>
  <c r="D147" i="1"/>
  <c r="K146" i="1"/>
  <c r="E146" i="1"/>
  <c r="D146" i="1"/>
  <c r="K145" i="1"/>
  <c r="E145" i="1"/>
  <c r="D145" i="1"/>
  <c r="K144" i="1"/>
  <c r="E144" i="1"/>
  <c r="D144" i="1"/>
  <c r="K143" i="1"/>
  <c r="E143" i="1"/>
  <c r="D143" i="1"/>
  <c r="K142" i="1"/>
  <c r="E142" i="1"/>
  <c r="D142" i="1"/>
  <c r="K141" i="1"/>
  <c r="E141" i="1"/>
  <c r="D141" i="1"/>
  <c r="K140" i="1"/>
  <c r="E140" i="1"/>
  <c r="D140" i="1"/>
  <c r="K139" i="1"/>
  <c r="E139" i="1"/>
  <c r="D139" i="1"/>
  <c r="K138" i="1"/>
  <c r="E138" i="1"/>
  <c r="D138" i="1"/>
  <c r="K137" i="1"/>
  <c r="E137" i="1"/>
  <c r="D137" i="1"/>
  <c r="K136" i="1"/>
  <c r="E136" i="1"/>
  <c r="D136" i="1"/>
  <c r="K135" i="1"/>
  <c r="E135" i="1"/>
  <c r="D135" i="1"/>
  <c r="K134" i="1"/>
  <c r="E134" i="1"/>
  <c r="D134" i="1"/>
  <c r="K133" i="1"/>
  <c r="E133" i="1"/>
  <c r="D133" i="1"/>
  <c r="K132" i="1"/>
  <c r="E132" i="1"/>
  <c r="D132" i="1"/>
  <c r="K131" i="1"/>
  <c r="E131" i="1"/>
  <c r="D131" i="1"/>
  <c r="K130" i="1"/>
  <c r="E130" i="1"/>
  <c r="D130" i="1"/>
  <c r="K129" i="1"/>
  <c r="E129" i="1"/>
  <c r="D129" i="1"/>
  <c r="K128" i="1"/>
  <c r="E128" i="1"/>
  <c r="D128" i="1"/>
  <c r="K127" i="1"/>
  <c r="E127" i="1"/>
  <c r="D127" i="1"/>
  <c r="K126" i="1"/>
  <c r="E126" i="1"/>
  <c r="D126" i="1"/>
  <c r="K125" i="1"/>
  <c r="E125" i="1"/>
  <c r="D125" i="1"/>
  <c r="K124" i="1"/>
  <c r="E124" i="1"/>
  <c r="D124" i="1"/>
  <c r="K123" i="1"/>
  <c r="E123" i="1"/>
  <c r="D123" i="1"/>
  <c r="K122" i="1"/>
  <c r="E122" i="1"/>
  <c r="D122" i="1"/>
  <c r="K121" i="1"/>
  <c r="E121" i="1"/>
  <c r="D121" i="1"/>
  <c r="K120" i="1"/>
  <c r="E120" i="1"/>
  <c r="D120" i="1"/>
  <c r="K119" i="1"/>
  <c r="E119" i="1"/>
  <c r="D119" i="1"/>
  <c r="K118" i="1"/>
  <c r="E118" i="1"/>
  <c r="D118" i="1"/>
  <c r="K117" i="1"/>
  <c r="E117" i="1"/>
  <c r="D117" i="1"/>
  <c r="K116" i="1"/>
  <c r="E116" i="1"/>
  <c r="D116" i="1"/>
  <c r="K115" i="1"/>
  <c r="E115" i="1"/>
  <c r="D115" i="1"/>
  <c r="K114" i="1"/>
  <c r="E114" i="1"/>
  <c r="D114" i="1"/>
  <c r="K113" i="1"/>
  <c r="E113" i="1"/>
  <c r="D113" i="1"/>
  <c r="K112" i="1"/>
  <c r="E112" i="1"/>
  <c r="D112" i="1"/>
  <c r="K111" i="1"/>
  <c r="E111" i="1"/>
  <c r="D111" i="1"/>
  <c r="K110" i="1"/>
  <c r="E110" i="1"/>
  <c r="D110" i="1"/>
  <c r="K109" i="1"/>
  <c r="E109" i="1"/>
  <c r="D109" i="1"/>
  <c r="K108" i="1"/>
  <c r="E108" i="1"/>
  <c r="D108" i="1"/>
  <c r="K107" i="1"/>
  <c r="E107" i="1"/>
  <c r="D107" i="1"/>
  <c r="K106" i="1"/>
  <c r="E106" i="1"/>
  <c r="D106" i="1"/>
  <c r="K105" i="1"/>
  <c r="E105" i="1"/>
  <c r="D105" i="1"/>
  <c r="K104" i="1"/>
  <c r="E104" i="1"/>
  <c r="D104" i="1"/>
  <c r="K103" i="1"/>
  <c r="E103" i="1"/>
  <c r="D103" i="1"/>
  <c r="K102" i="1"/>
  <c r="E102" i="1"/>
  <c r="D102" i="1"/>
  <c r="K101" i="1"/>
  <c r="E101" i="1"/>
  <c r="D101" i="1"/>
  <c r="K100" i="1"/>
  <c r="E100" i="1"/>
  <c r="D100" i="1"/>
  <c r="K99" i="1"/>
  <c r="E99" i="1"/>
  <c r="D99" i="1"/>
  <c r="K98" i="1"/>
  <c r="E98" i="1"/>
  <c r="D98" i="1"/>
  <c r="K97" i="1"/>
  <c r="E97" i="1"/>
  <c r="D97" i="1"/>
  <c r="K96" i="1"/>
  <c r="E96" i="1"/>
  <c r="D96" i="1"/>
  <c r="K95" i="1"/>
  <c r="E95" i="1"/>
  <c r="D95" i="1"/>
  <c r="K94" i="1"/>
  <c r="E94" i="1"/>
  <c r="D94" i="1"/>
  <c r="K93" i="1"/>
  <c r="E93" i="1"/>
  <c r="D93" i="1"/>
  <c r="K92" i="1"/>
  <c r="E92" i="1"/>
  <c r="D92" i="1"/>
  <c r="K91" i="1"/>
  <c r="E91" i="1"/>
  <c r="D91" i="1"/>
  <c r="K90" i="1"/>
  <c r="E90" i="1"/>
  <c r="D90" i="1"/>
  <c r="K89" i="1"/>
  <c r="E89" i="1"/>
  <c r="D89" i="1"/>
  <c r="K88" i="1"/>
  <c r="E88" i="1"/>
  <c r="D88" i="1"/>
  <c r="K87" i="1"/>
  <c r="E87" i="1"/>
  <c r="D87" i="1"/>
  <c r="K86" i="1"/>
  <c r="E86" i="1"/>
  <c r="D86" i="1"/>
  <c r="K85" i="1"/>
  <c r="E85" i="1"/>
  <c r="D85" i="1"/>
  <c r="K84" i="1"/>
  <c r="E84" i="1"/>
  <c r="D84" i="1"/>
  <c r="K83" i="1"/>
  <c r="E83" i="1"/>
  <c r="D83" i="1"/>
  <c r="K82" i="1"/>
  <c r="E82" i="1"/>
  <c r="D82" i="1"/>
  <c r="K81" i="1"/>
  <c r="E81" i="1"/>
  <c r="D81" i="1"/>
  <c r="K80" i="1"/>
  <c r="E80" i="1"/>
  <c r="D80" i="1"/>
  <c r="K79" i="1"/>
  <c r="E79" i="1"/>
  <c r="D79" i="1"/>
  <c r="K78" i="1"/>
  <c r="E78" i="1"/>
  <c r="D78" i="1"/>
  <c r="K77" i="1"/>
  <c r="E77" i="1"/>
  <c r="D77" i="1"/>
  <c r="K76" i="1"/>
  <c r="E76" i="1"/>
  <c r="D76" i="1"/>
  <c r="K75" i="1"/>
  <c r="E75" i="1"/>
  <c r="D75" i="1"/>
  <c r="K74" i="1"/>
  <c r="E74" i="1"/>
  <c r="D74" i="1"/>
  <c r="K73" i="1"/>
  <c r="E73" i="1"/>
  <c r="D73" i="1"/>
  <c r="K72" i="1"/>
  <c r="E72" i="1"/>
  <c r="D72" i="1"/>
  <c r="K71" i="1"/>
  <c r="E71" i="1"/>
  <c r="D71" i="1"/>
  <c r="K70" i="1"/>
  <c r="E70" i="1"/>
  <c r="D70" i="1"/>
  <c r="K69" i="1"/>
  <c r="E69" i="1"/>
  <c r="D69" i="1"/>
  <c r="K68" i="1"/>
  <c r="E68" i="1"/>
  <c r="D68" i="1"/>
  <c r="K67" i="1"/>
  <c r="E67" i="1"/>
  <c r="D67" i="1"/>
  <c r="K66" i="1"/>
  <c r="E66" i="1"/>
  <c r="D66" i="1"/>
  <c r="K65" i="1"/>
  <c r="E65" i="1"/>
  <c r="D65" i="1"/>
  <c r="K64" i="1"/>
  <c r="E64" i="1"/>
  <c r="D64" i="1"/>
  <c r="K63" i="1"/>
  <c r="E63" i="1"/>
  <c r="D63" i="1"/>
  <c r="K62" i="1"/>
  <c r="E62" i="1"/>
  <c r="D62" i="1"/>
  <c r="K61" i="1"/>
  <c r="E61" i="1"/>
  <c r="D61" i="1"/>
  <c r="K60" i="1"/>
  <c r="E60" i="1"/>
  <c r="D60" i="1"/>
  <c r="K59" i="1"/>
  <c r="E59" i="1"/>
  <c r="D59" i="1"/>
  <c r="K58" i="1"/>
  <c r="E58" i="1"/>
  <c r="D58" i="1"/>
  <c r="K57" i="1"/>
  <c r="E57" i="1"/>
  <c r="D57" i="1"/>
  <c r="K56" i="1"/>
  <c r="E56" i="1"/>
  <c r="D56" i="1"/>
  <c r="K55" i="1"/>
  <c r="E55" i="1"/>
  <c r="D55" i="1"/>
  <c r="K54" i="1"/>
  <c r="E54" i="1"/>
  <c r="D54" i="1"/>
  <c r="K53" i="1"/>
  <c r="E53" i="1"/>
  <c r="D53" i="1"/>
  <c r="K52" i="1"/>
  <c r="E52" i="1"/>
  <c r="D52" i="1"/>
  <c r="K51" i="1"/>
  <c r="E51" i="1"/>
  <c r="D51" i="1"/>
  <c r="K50" i="1"/>
  <c r="E50" i="1"/>
  <c r="D50" i="1"/>
  <c r="K49" i="1"/>
  <c r="E49" i="1"/>
  <c r="D49" i="1"/>
  <c r="K48" i="1"/>
  <c r="E48" i="1"/>
  <c r="D48" i="1"/>
  <c r="K47" i="1"/>
  <c r="E47" i="1"/>
  <c r="D47" i="1"/>
  <c r="K46" i="1"/>
  <c r="E46" i="1"/>
  <c r="D46" i="1"/>
  <c r="K45" i="1"/>
  <c r="E45" i="1"/>
  <c r="D45" i="1"/>
  <c r="K44" i="1"/>
  <c r="E44" i="1"/>
  <c r="D44" i="1"/>
  <c r="K43" i="1"/>
  <c r="E43" i="1"/>
  <c r="D43" i="1"/>
  <c r="K42" i="1"/>
  <c r="E42" i="1"/>
  <c r="D42" i="1"/>
  <c r="K41" i="1"/>
  <c r="E41" i="1"/>
  <c r="D41" i="1"/>
  <c r="K40" i="1"/>
  <c r="E40" i="1"/>
  <c r="D40" i="1"/>
  <c r="K39" i="1"/>
  <c r="E39" i="1"/>
  <c r="D39" i="1"/>
  <c r="K38" i="1"/>
  <c r="E38" i="1"/>
  <c r="D38" i="1"/>
  <c r="K37" i="1"/>
  <c r="E37" i="1"/>
  <c r="D37" i="1"/>
  <c r="K36" i="1"/>
  <c r="E36" i="1"/>
  <c r="D36" i="1"/>
  <c r="K35" i="1"/>
  <c r="E35" i="1"/>
  <c r="D35" i="1"/>
  <c r="K34" i="1"/>
  <c r="L34" i="1" s="1"/>
  <c r="J34" i="1"/>
  <c r="E34" i="1"/>
  <c r="D34" i="1"/>
  <c r="B34" i="1"/>
  <c r="C34" i="1" s="1"/>
  <c r="G34" i="1" l="1"/>
  <c r="F34" i="1"/>
  <c r="B35" i="1"/>
  <c r="C35" i="1" s="1"/>
  <c r="L35" i="1"/>
  <c r="B36" i="1" l="1"/>
  <c r="C36" i="1" s="1"/>
  <c r="L36" i="1"/>
  <c r="G35" i="1"/>
  <c r="F35" i="1"/>
  <c r="M35" i="1" s="1"/>
  <c r="N35" i="1" s="1"/>
  <c r="M34" i="1"/>
  <c r="N34" i="1" s="1"/>
  <c r="O34" i="1"/>
  <c r="O35" i="1" s="1"/>
  <c r="I34" i="1"/>
  <c r="Q34" i="1" s="1"/>
  <c r="H34" i="1"/>
  <c r="P34" i="1" s="1"/>
  <c r="G36" i="1" l="1"/>
  <c r="F36" i="1"/>
  <c r="M36" i="1" s="1"/>
  <c r="N36" i="1" s="1"/>
  <c r="J35" i="1"/>
  <c r="I35" i="1"/>
  <c r="H35" i="1"/>
  <c r="P35" i="1" s="1"/>
  <c r="B37" i="1"/>
  <c r="C37" i="1" s="1"/>
  <c r="L37" i="1"/>
  <c r="O36" i="1" l="1"/>
  <c r="Q35" i="1"/>
  <c r="G37" i="1"/>
  <c r="F37" i="1"/>
  <c r="M37" i="1" s="1"/>
  <c r="N37" i="1" s="1"/>
  <c r="J36" i="1"/>
  <c r="O37" i="1"/>
  <c r="B38" i="1"/>
  <c r="C38" i="1" s="1"/>
  <c r="L38" i="1"/>
  <c r="I36" i="1"/>
  <c r="Q36" i="1" s="1"/>
  <c r="H36" i="1"/>
  <c r="P36" i="1" s="1"/>
  <c r="G38" i="1" l="1"/>
  <c r="F38" i="1"/>
  <c r="M38" i="1" s="1"/>
  <c r="N38" i="1" s="1"/>
  <c r="O38" i="1"/>
  <c r="J37" i="1"/>
  <c r="B39" i="1"/>
  <c r="C39" i="1" s="1"/>
  <c r="L39" i="1"/>
  <c r="I37" i="1"/>
  <c r="Q37" i="1" s="1"/>
  <c r="H37" i="1"/>
  <c r="P37" i="1" s="1"/>
  <c r="G39" i="1" l="1"/>
  <c r="F39" i="1"/>
  <c r="M39" i="1" s="1"/>
  <c r="N39" i="1" s="1"/>
  <c r="O39" i="1"/>
  <c r="J38" i="1"/>
  <c r="B40" i="1"/>
  <c r="C40" i="1" s="1"/>
  <c r="L40" i="1"/>
  <c r="I38" i="1"/>
  <c r="H38" i="1"/>
  <c r="P38" i="1" s="1"/>
  <c r="Q38" i="1" l="1"/>
  <c r="J39" i="1"/>
  <c r="G40" i="1"/>
  <c r="F40" i="1"/>
  <c r="M40" i="1" s="1"/>
  <c r="N40" i="1" s="1"/>
  <c r="O40" i="1"/>
  <c r="B41" i="1"/>
  <c r="C41" i="1" s="1"/>
  <c r="L41" i="1"/>
  <c r="I39" i="1"/>
  <c r="H39" i="1"/>
  <c r="P39" i="1" s="1"/>
  <c r="Q39" i="1" l="1"/>
  <c r="J40" i="1" s="1"/>
  <c r="G41" i="1"/>
  <c r="F41" i="1"/>
  <c r="M41" i="1" s="1"/>
  <c r="N41" i="1" s="1"/>
  <c r="O41" i="1"/>
  <c r="I40" i="1"/>
  <c r="H40" i="1"/>
  <c r="P40" i="1" s="1"/>
  <c r="B42" i="1"/>
  <c r="C42" i="1" s="1"/>
  <c r="L42" i="1"/>
  <c r="Q40" i="1" l="1"/>
  <c r="J41" i="1" s="1"/>
  <c r="G42" i="1"/>
  <c r="F42" i="1"/>
  <c r="M42" i="1" s="1"/>
  <c r="N42" i="1" s="1"/>
  <c r="B43" i="1"/>
  <c r="C43" i="1" s="1"/>
  <c r="L43" i="1"/>
  <c r="I41" i="1"/>
  <c r="H41" i="1"/>
  <c r="P41" i="1" s="1"/>
  <c r="O42" i="1" l="1"/>
  <c r="Q41" i="1"/>
  <c r="G43" i="1"/>
  <c r="F43" i="1"/>
  <c r="M43" i="1" s="1"/>
  <c r="N43" i="1" s="1"/>
  <c r="J42" i="1"/>
  <c r="B44" i="1"/>
  <c r="C44" i="1" s="1"/>
  <c r="L44" i="1"/>
  <c r="I42" i="1"/>
  <c r="H42" i="1"/>
  <c r="P42" i="1" s="1"/>
  <c r="O43" i="1" l="1"/>
  <c r="Q42" i="1"/>
  <c r="J43" i="1" s="1"/>
  <c r="G44" i="1"/>
  <c r="F44" i="1"/>
  <c r="M44" i="1" s="1"/>
  <c r="N44" i="1" s="1"/>
  <c r="L45" i="1"/>
  <c r="B45" i="1"/>
  <c r="C45" i="1" s="1"/>
  <c r="F45" i="1" s="1"/>
  <c r="I43" i="1"/>
  <c r="H43" i="1"/>
  <c r="P43" i="1" s="1"/>
  <c r="Q43" i="1" l="1"/>
  <c r="J44" i="1"/>
  <c r="G45" i="1"/>
  <c r="M45" i="1"/>
  <c r="N45" i="1" s="1"/>
  <c r="L46" i="1"/>
  <c r="B46" i="1"/>
  <c r="C46" i="1" s="1"/>
  <c r="O44" i="1"/>
  <c r="O45" i="1" s="1"/>
  <c r="I44" i="1"/>
  <c r="Q44" i="1" s="1"/>
  <c r="H44" i="1"/>
  <c r="P44" i="1" s="1"/>
  <c r="F46" i="1" l="1"/>
  <c r="M46" i="1" s="1"/>
  <c r="N46" i="1" s="1"/>
  <c r="G46" i="1"/>
  <c r="J45" i="1"/>
  <c r="L47" i="1"/>
  <c r="B47" i="1"/>
  <c r="C47" i="1" s="1"/>
  <c r="I45" i="1"/>
  <c r="H45" i="1"/>
  <c r="P45" i="1" s="1"/>
  <c r="O46" i="1"/>
  <c r="Q45" i="1" l="1"/>
  <c r="G47" i="1"/>
  <c r="F47" i="1"/>
  <c r="M47" i="1" s="1"/>
  <c r="N47" i="1" s="1"/>
  <c r="J46" i="1"/>
  <c r="L48" i="1"/>
  <c r="B48" i="1"/>
  <c r="C48" i="1" s="1"/>
  <c r="O47" i="1"/>
  <c r="I46" i="1"/>
  <c r="H46" i="1"/>
  <c r="P46" i="1" s="1"/>
  <c r="Q46" i="1" l="1"/>
  <c r="J47" i="1" s="1"/>
  <c r="G48" i="1"/>
  <c r="F48" i="1"/>
  <c r="M48" i="1" s="1"/>
  <c r="N48" i="1" s="1"/>
  <c r="I47" i="1"/>
  <c r="H47" i="1"/>
  <c r="P47" i="1" s="1"/>
  <c r="L49" i="1"/>
  <c r="B49" i="1"/>
  <c r="C49" i="1" s="1"/>
  <c r="O48" i="1" l="1"/>
  <c r="Q47" i="1"/>
  <c r="J48" i="1" s="1"/>
  <c r="G49" i="1"/>
  <c r="F49" i="1"/>
  <c r="M49" i="1" s="1"/>
  <c r="N49" i="1" s="1"/>
  <c r="L50" i="1"/>
  <c r="B50" i="1"/>
  <c r="C50" i="1" s="1"/>
  <c r="I48" i="1"/>
  <c r="H48" i="1"/>
  <c r="P48" i="1" s="1"/>
  <c r="Q48" i="1" l="1"/>
  <c r="O49" i="1"/>
  <c r="F50" i="1"/>
  <c r="M50" i="1" s="1"/>
  <c r="N50" i="1" s="1"/>
  <c r="G50" i="1"/>
  <c r="J49" i="1"/>
  <c r="L51" i="1"/>
  <c r="B51" i="1"/>
  <c r="C51" i="1" s="1"/>
  <c r="I49" i="1"/>
  <c r="Q49" i="1" s="1"/>
  <c r="H49" i="1"/>
  <c r="P49" i="1" s="1"/>
  <c r="O50" i="1"/>
  <c r="J50" i="1" l="1"/>
  <c r="F51" i="1"/>
  <c r="M51" i="1" s="1"/>
  <c r="N51" i="1" s="1"/>
  <c r="G51" i="1"/>
  <c r="L52" i="1"/>
  <c r="B52" i="1"/>
  <c r="C52" i="1" s="1"/>
  <c r="O51" i="1"/>
  <c r="I50" i="1"/>
  <c r="H50" i="1"/>
  <c r="P50" i="1" s="1"/>
  <c r="Q50" i="1" l="1"/>
  <c r="F52" i="1"/>
  <c r="M52" i="1" s="1"/>
  <c r="N52" i="1" s="1"/>
  <c r="G52" i="1"/>
  <c r="J51" i="1"/>
  <c r="L53" i="1"/>
  <c r="B53" i="1"/>
  <c r="C53" i="1" s="1"/>
  <c r="I51" i="1"/>
  <c r="H51" i="1"/>
  <c r="P51" i="1" s="1"/>
  <c r="O52" i="1"/>
  <c r="Q51" i="1" l="1"/>
  <c r="G53" i="1"/>
  <c r="F53" i="1"/>
  <c r="M53" i="1" s="1"/>
  <c r="N53" i="1" s="1"/>
  <c r="J52" i="1"/>
  <c r="L54" i="1"/>
  <c r="B54" i="1"/>
  <c r="C54" i="1" s="1"/>
  <c r="I52" i="1"/>
  <c r="Q52" i="1" s="1"/>
  <c r="H52" i="1"/>
  <c r="P52" i="1" s="1"/>
  <c r="F54" i="1" l="1"/>
  <c r="M54" i="1" s="1"/>
  <c r="N54" i="1" s="1"/>
  <c r="G54" i="1"/>
  <c r="J53" i="1"/>
  <c r="O53" i="1"/>
  <c r="O54" i="1" s="1"/>
  <c r="L55" i="1"/>
  <c r="B55" i="1"/>
  <c r="C55" i="1" s="1"/>
  <c r="I53" i="1"/>
  <c r="Q53" i="1" s="1"/>
  <c r="H53" i="1"/>
  <c r="P53" i="1" s="1"/>
  <c r="G55" i="1" l="1"/>
  <c r="F55" i="1"/>
  <c r="M55" i="1" s="1"/>
  <c r="N55" i="1" s="1"/>
  <c r="J54" i="1"/>
  <c r="L56" i="1"/>
  <c r="B56" i="1"/>
  <c r="C56" i="1" s="1"/>
  <c r="I54" i="1"/>
  <c r="Q54" i="1" s="1"/>
  <c r="H54" i="1"/>
  <c r="P54" i="1" s="1"/>
  <c r="G56" i="1" l="1"/>
  <c r="F56" i="1"/>
  <c r="M56" i="1" s="1"/>
  <c r="N56" i="1" s="1"/>
  <c r="J55" i="1"/>
  <c r="L57" i="1"/>
  <c r="B57" i="1"/>
  <c r="C57" i="1" s="1"/>
  <c r="O55" i="1"/>
  <c r="I55" i="1"/>
  <c r="H55" i="1"/>
  <c r="P55" i="1" s="1"/>
  <c r="Q55" i="1" l="1"/>
  <c r="G57" i="1"/>
  <c r="F57" i="1"/>
  <c r="M57" i="1" s="1"/>
  <c r="N57" i="1" s="1"/>
  <c r="J56" i="1"/>
  <c r="L58" i="1"/>
  <c r="B58" i="1"/>
  <c r="C58" i="1" s="1"/>
  <c r="O56" i="1"/>
  <c r="I56" i="1"/>
  <c r="Q56" i="1" s="1"/>
  <c r="H56" i="1"/>
  <c r="P56" i="1" s="1"/>
  <c r="F58" i="1" l="1"/>
  <c r="M58" i="1" s="1"/>
  <c r="N58" i="1" s="1"/>
  <c r="G58" i="1"/>
  <c r="L59" i="1"/>
  <c r="B59" i="1"/>
  <c r="C59" i="1" s="1"/>
  <c r="J57" i="1"/>
  <c r="O57" i="1"/>
  <c r="O58" i="1" s="1"/>
  <c r="I57" i="1"/>
  <c r="H57" i="1"/>
  <c r="P57" i="1" s="1"/>
  <c r="Q57" i="1" l="1"/>
  <c r="F59" i="1"/>
  <c r="M59" i="1" s="1"/>
  <c r="N59" i="1" s="1"/>
  <c r="G59" i="1"/>
  <c r="J58" i="1"/>
  <c r="L60" i="1"/>
  <c r="B60" i="1"/>
  <c r="C60" i="1" s="1"/>
  <c r="I58" i="1"/>
  <c r="H58" i="1"/>
  <c r="P58" i="1" s="1"/>
  <c r="O59" i="1"/>
  <c r="Q58" i="1" l="1"/>
  <c r="G60" i="1"/>
  <c r="F60" i="1"/>
  <c r="M60" i="1" s="1"/>
  <c r="N60" i="1" s="1"/>
  <c r="J59" i="1"/>
  <c r="L61" i="1"/>
  <c r="B61" i="1"/>
  <c r="C61" i="1" s="1"/>
  <c r="I59" i="1"/>
  <c r="Q59" i="1" s="1"/>
  <c r="H59" i="1"/>
  <c r="P59" i="1" s="1"/>
  <c r="O60" i="1"/>
  <c r="J60" i="1" l="1"/>
  <c r="G61" i="1"/>
  <c r="F61" i="1"/>
  <c r="M61" i="1" s="1"/>
  <c r="N61" i="1" s="1"/>
  <c r="L62" i="1"/>
  <c r="B62" i="1"/>
  <c r="C62" i="1" s="1"/>
  <c r="O61" i="1"/>
  <c r="I60" i="1"/>
  <c r="Q60" i="1" s="1"/>
  <c r="H60" i="1"/>
  <c r="P60" i="1" s="1"/>
  <c r="F62" i="1" l="1"/>
  <c r="M62" i="1" s="1"/>
  <c r="N62" i="1" s="1"/>
  <c r="G62" i="1"/>
  <c r="J61" i="1"/>
  <c r="L63" i="1"/>
  <c r="B63" i="1"/>
  <c r="C63" i="1" s="1"/>
  <c r="I61" i="1"/>
  <c r="Q61" i="1" s="1"/>
  <c r="H61" i="1"/>
  <c r="P61" i="1" s="1"/>
  <c r="O62" i="1"/>
  <c r="J62" i="1" l="1"/>
  <c r="G63" i="1"/>
  <c r="F63" i="1"/>
  <c r="M63" i="1" s="1"/>
  <c r="N63" i="1" s="1"/>
  <c r="I62" i="1"/>
  <c r="Q62" i="1" s="1"/>
  <c r="H62" i="1"/>
  <c r="P62" i="1" s="1"/>
  <c r="O63" i="1"/>
  <c r="L64" i="1"/>
  <c r="B64" i="1"/>
  <c r="C64" i="1" s="1"/>
  <c r="G64" i="1" l="1"/>
  <c r="F64" i="1"/>
  <c r="M64" i="1" s="1"/>
  <c r="N64" i="1" s="1"/>
  <c r="J63" i="1"/>
  <c r="I63" i="1"/>
  <c r="H63" i="1"/>
  <c r="P63" i="1" s="1"/>
  <c r="L65" i="1"/>
  <c r="B65" i="1"/>
  <c r="C65" i="1" s="1"/>
  <c r="Q63" i="1" l="1"/>
  <c r="O64" i="1"/>
  <c r="J64" i="1"/>
  <c r="G65" i="1"/>
  <c r="F65" i="1"/>
  <c r="M65" i="1" s="1"/>
  <c r="N65" i="1" s="1"/>
  <c r="L66" i="1"/>
  <c r="B66" i="1"/>
  <c r="C66" i="1" s="1"/>
  <c r="I64" i="1"/>
  <c r="Q64" i="1" s="1"/>
  <c r="H64" i="1"/>
  <c r="P64" i="1" s="1"/>
  <c r="J65" i="1" l="1"/>
  <c r="F66" i="1"/>
  <c r="M66" i="1" s="1"/>
  <c r="N66" i="1" s="1"/>
  <c r="G66" i="1"/>
  <c r="L67" i="1"/>
  <c r="B67" i="1"/>
  <c r="C67" i="1" s="1"/>
  <c r="O65" i="1"/>
  <c r="I65" i="1"/>
  <c r="Q65" i="1" s="1"/>
  <c r="H65" i="1"/>
  <c r="P65" i="1" s="1"/>
  <c r="F67" i="1" l="1"/>
  <c r="M67" i="1" s="1"/>
  <c r="N67" i="1" s="1"/>
  <c r="G67" i="1"/>
  <c r="J66" i="1"/>
  <c r="L68" i="1"/>
  <c r="B68" i="1"/>
  <c r="C68" i="1" s="1"/>
  <c r="I66" i="1"/>
  <c r="H66" i="1"/>
  <c r="P66" i="1" s="1"/>
  <c r="O66" i="1"/>
  <c r="O67" i="1" s="1"/>
  <c r="Q66" i="1" l="1"/>
  <c r="F68" i="1"/>
  <c r="M68" i="1" s="1"/>
  <c r="N68" i="1" s="1"/>
  <c r="G68" i="1"/>
  <c r="L69" i="1"/>
  <c r="B69" i="1"/>
  <c r="C69" i="1" s="1"/>
  <c r="J67" i="1"/>
  <c r="I67" i="1"/>
  <c r="H67" i="1"/>
  <c r="P67" i="1" s="1"/>
  <c r="Q67" i="1" l="1"/>
  <c r="G69" i="1"/>
  <c r="F69" i="1"/>
  <c r="M69" i="1" s="1"/>
  <c r="N69" i="1" s="1"/>
  <c r="J68" i="1"/>
  <c r="I68" i="1"/>
  <c r="H68" i="1"/>
  <c r="P68" i="1" s="1"/>
  <c r="L70" i="1"/>
  <c r="B70" i="1"/>
  <c r="C70" i="1" s="1"/>
  <c r="O68" i="1"/>
  <c r="O69" i="1" s="1"/>
  <c r="Q68" i="1" l="1"/>
  <c r="F70" i="1"/>
  <c r="M70" i="1" s="1"/>
  <c r="N70" i="1" s="1"/>
  <c r="G70" i="1"/>
  <c r="J69" i="1"/>
  <c r="O70" i="1"/>
  <c r="L71" i="1"/>
  <c r="B71" i="1"/>
  <c r="C71" i="1" s="1"/>
  <c r="I69" i="1"/>
  <c r="Q69" i="1" s="1"/>
  <c r="H69" i="1"/>
  <c r="P69" i="1" s="1"/>
  <c r="G71" i="1" l="1"/>
  <c r="F71" i="1"/>
  <c r="M71" i="1" s="1"/>
  <c r="N71" i="1" s="1"/>
  <c r="O71" i="1"/>
  <c r="J70" i="1"/>
  <c r="I70" i="1"/>
  <c r="Q70" i="1" s="1"/>
  <c r="H70" i="1"/>
  <c r="P70" i="1" s="1"/>
  <c r="L72" i="1"/>
  <c r="B72" i="1"/>
  <c r="C72" i="1" s="1"/>
  <c r="J71" i="1" l="1"/>
  <c r="G72" i="1"/>
  <c r="F72" i="1"/>
  <c r="M72" i="1" s="1"/>
  <c r="N72" i="1" s="1"/>
  <c r="O72" i="1"/>
  <c r="L73" i="1"/>
  <c r="B73" i="1"/>
  <c r="C73" i="1" s="1"/>
  <c r="I71" i="1"/>
  <c r="Q71" i="1" s="1"/>
  <c r="H71" i="1"/>
  <c r="P71" i="1" s="1"/>
  <c r="G73" i="1" l="1"/>
  <c r="F73" i="1"/>
  <c r="M73" i="1" s="1"/>
  <c r="N73" i="1" s="1"/>
  <c r="J72" i="1"/>
  <c r="O73" i="1"/>
  <c r="I72" i="1"/>
  <c r="H72" i="1"/>
  <c r="P72" i="1" s="1"/>
  <c r="L74" i="1"/>
  <c r="B74" i="1"/>
  <c r="C74" i="1" s="1"/>
  <c r="Q72" i="1" l="1"/>
  <c r="J73" i="1"/>
  <c r="F74" i="1"/>
  <c r="M74" i="1" s="1"/>
  <c r="N74" i="1" s="1"/>
  <c r="G74" i="1"/>
  <c r="O74" i="1"/>
  <c r="L75" i="1"/>
  <c r="B75" i="1"/>
  <c r="C75" i="1" s="1"/>
  <c r="I73" i="1"/>
  <c r="Q73" i="1" s="1"/>
  <c r="H73" i="1"/>
  <c r="P73" i="1" s="1"/>
  <c r="J74" i="1" l="1"/>
  <c r="F75" i="1"/>
  <c r="M75" i="1" s="1"/>
  <c r="N75" i="1" s="1"/>
  <c r="G75" i="1"/>
  <c r="O75" i="1"/>
  <c r="L76" i="1"/>
  <c r="B76" i="1"/>
  <c r="C76" i="1" s="1"/>
  <c r="I74" i="1"/>
  <c r="Q74" i="1" s="1"/>
  <c r="H74" i="1"/>
  <c r="P74" i="1" s="1"/>
  <c r="J75" i="1" l="1"/>
  <c r="G76" i="1"/>
  <c r="F76" i="1"/>
  <c r="M76" i="1" s="1"/>
  <c r="N76" i="1" s="1"/>
  <c r="L77" i="1"/>
  <c r="B77" i="1"/>
  <c r="C77" i="1" s="1"/>
  <c r="I75" i="1"/>
  <c r="Q75" i="1" s="1"/>
  <c r="H75" i="1"/>
  <c r="P75" i="1" s="1"/>
  <c r="J76" i="1" l="1"/>
  <c r="G77" i="1"/>
  <c r="F77" i="1"/>
  <c r="M77" i="1" s="1"/>
  <c r="N77" i="1" s="1"/>
  <c r="I76" i="1"/>
  <c r="Q76" i="1" s="1"/>
  <c r="H76" i="1"/>
  <c r="P76" i="1" s="1"/>
  <c r="L78" i="1"/>
  <c r="B78" i="1"/>
  <c r="C78" i="1" s="1"/>
  <c r="O76" i="1"/>
  <c r="F78" i="1" l="1"/>
  <c r="M78" i="1" s="1"/>
  <c r="N78" i="1" s="1"/>
  <c r="G78" i="1"/>
  <c r="J77" i="1"/>
  <c r="I77" i="1"/>
  <c r="H77" i="1"/>
  <c r="P77" i="1" s="1"/>
  <c r="O77" i="1"/>
  <c r="O78" i="1" s="1"/>
  <c r="L79" i="1"/>
  <c r="B79" i="1"/>
  <c r="C79" i="1" s="1"/>
  <c r="Q77" i="1" l="1"/>
  <c r="G79" i="1"/>
  <c r="F79" i="1"/>
  <c r="M79" i="1" s="1"/>
  <c r="N79" i="1" s="1"/>
  <c r="J78" i="1"/>
  <c r="I78" i="1"/>
  <c r="H78" i="1"/>
  <c r="P78" i="1" s="1"/>
  <c r="L80" i="1"/>
  <c r="B80" i="1"/>
  <c r="C80" i="1" s="1"/>
  <c r="O79" i="1"/>
  <c r="Q78" i="1" l="1"/>
  <c r="G80" i="1"/>
  <c r="F80" i="1"/>
  <c r="M80" i="1" s="1"/>
  <c r="N80" i="1" s="1"/>
  <c r="J79" i="1"/>
  <c r="O80" i="1"/>
  <c r="L81" i="1"/>
  <c r="B81" i="1"/>
  <c r="C81" i="1" s="1"/>
  <c r="I79" i="1"/>
  <c r="H79" i="1"/>
  <c r="P79" i="1" s="1"/>
  <c r="Q79" i="1" l="1"/>
  <c r="G81" i="1"/>
  <c r="F81" i="1"/>
  <c r="M81" i="1" s="1"/>
  <c r="N81" i="1" s="1"/>
  <c r="J80" i="1"/>
  <c r="L82" i="1"/>
  <c r="B82" i="1"/>
  <c r="C82" i="1" s="1"/>
  <c r="I80" i="1"/>
  <c r="Q80" i="1" s="1"/>
  <c r="H80" i="1"/>
  <c r="P80" i="1" s="1"/>
  <c r="F82" i="1" l="1"/>
  <c r="M82" i="1" s="1"/>
  <c r="N82" i="1" s="1"/>
  <c r="G82" i="1"/>
  <c r="L83" i="1"/>
  <c r="B83" i="1"/>
  <c r="C83" i="1" s="1"/>
  <c r="J81" i="1"/>
  <c r="O81" i="1"/>
  <c r="I81" i="1"/>
  <c r="H81" i="1"/>
  <c r="P81" i="1" s="1"/>
  <c r="Q81" i="1" l="1"/>
  <c r="J82" i="1"/>
  <c r="F83" i="1"/>
  <c r="M83" i="1" s="1"/>
  <c r="N83" i="1" s="1"/>
  <c r="G83" i="1"/>
  <c r="L84" i="1"/>
  <c r="B84" i="1"/>
  <c r="C84" i="1" s="1"/>
  <c r="I82" i="1"/>
  <c r="Q82" i="1" s="1"/>
  <c r="H82" i="1"/>
  <c r="P82" i="1" s="1"/>
  <c r="O82" i="1"/>
  <c r="J83" i="1" l="1"/>
  <c r="G84" i="1"/>
  <c r="F84" i="1"/>
  <c r="M84" i="1" s="1"/>
  <c r="N84" i="1" s="1"/>
  <c r="L85" i="1"/>
  <c r="B85" i="1"/>
  <c r="C85" i="1" s="1"/>
  <c r="I83" i="1"/>
  <c r="Q83" i="1" s="1"/>
  <c r="H83" i="1"/>
  <c r="P83" i="1" s="1"/>
  <c r="O83" i="1"/>
  <c r="J84" i="1" l="1"/>
  <c r="G85" i="1"/>
  <c r="F85" i="1"/>
  <c r="M85" i="1" s="1"/>
  <c r="N85" i="1" s="1"/>
  <c r="L86" i="1"/>
  <c r="B86" i="1"/>
  <c r="C86" i="1" s="1"/>
  <c r="O84" i="1"/>
  <c r="I84" i="1"/>
  <c r="Q84" i="1" s="1"/>
  <c r="H84" i="1"/>
  <c r="P84" i="1" s="1"/>
  <c r="J85" i="1" l="1"/>
  <c r="F86" i="1"/>
  <c r="M86" i="1" s="1"/>
  <c r="N86" i="1" s="1"/>
  <c r="G86" i="1"/>
  <c r="I85" i="1"/>
  <c r="Q85" i="1" s="1"/>
  <c r="H85" i="1"/>
  <c r="P85" i="1" s="1"/>
  <c r="L87" i="1"/>
  <c r="B87" i="1"/>
  <c r="C87" i="1" s="1"/>
  <c r="O85" i="1"/>
  <c r="G87" i="1" l="1"/>
  <c r="F87" i="1"/>
  <c r="M87" i="1" s="1"/>
  <c r="N87" i="1" s="1"/>
  <c r="J86" i="1"/>
  <c r="I86" i="1"/>
  <c r="H86" i="1"/>
  <c r="P86" i="1" s="1"/>
  <c r="O86" i="1"/>
  <c r="L88" i="1"/>
  <c r="B88" i="1"/>
  <c r="C88" i="1" s="1"/>
  <c r="Q86" i="1" l="1"/>
  <c r="G88" i="1"/>
  <c r="F88" i="1"/>
  <c r="M88" i="1" s="1"/>
  <c r="N88" i="1" s="1"/>
  <c r="J87" i="1"/>
  <c r="L89" i="1"/>
  <c r="B89" i="1"/>
  <c r="C89" i="1" s="1"/>
  <c r="O87" i="1"/>
  <c r="I87" i="1"/>
  <c r="H87" i="1"/>
  <c r="P87" i="1" s="1"/>
  <c r="Q87" i="1" l="1"/>
  <c r="G89" i="1"/>
  <c r="F89" i="1"/>
  <c r="M89" i="1" s="1"/>
  <c r="N89" i="1" s="1"/>
  <c r="J88" i="1"/>
  <c r="L90" i="1"/>
  <c r="B90" i="1"/>
  <c r="C90" i="1" s="1"/>
  <c r="I88" i="1"/>
  <c r="Q88" i="1" s="1"/>
  <c r="H88" i="1"/>
  <c r="P88" i="1" s="1"/>
  <c r="O88" i="1"/>
  <c r="G90" i="1" l="1"/>
  <c r="F90" i="1"/>
  <c r="M90" i="1" s="1"/>
  <c r="N90" i="1" s="1"/>
  <c r="L91" i="1"/>
  <c r="B91" i="1"/>
  <c r="C91" i="1" s="1"/>
  <c r="J89" i="1"/>
  <c r="O89" i="1"/>
  <c r="I89" i="1"/>
  <c r="H89" i="1"/>
  <c r="P89" i="1" s="1"/>
  <c r="Q89" i="1" l="1"/>
  <c r="J90" i="1"/>
  <c r="F91" i="1"/>
  <c r="M91" i="1" s="1"/>
  <c r="N91" i="1" s="1"/>
  <c r="G91" i="1"/>
  <c r="L92" i="1"/>
  <c r="B92" i="1"/>
  <c r="C92" i="1" s="1"/>
  <c r="I90" i="1"/>
  <c r="Q90" i="1" s="1"/>
  <c r="H90" i="1"/>
  <c r="P90" i="1" s="1"/>
  <c r="O90" i="1"/>
  <c r="J91" i="1" l="1"/>
  <c r="F92" i="1"/>
  <c r="M92" i="1" s="1"/>
  <c r="N92" i="1" s="1"/>
  <c r="G92" i="1"/>
  <c r="L93" i="1"/>
  <c r="B93" i="1"/>
  <c r="C93" i="1" s="1"/>
  <c r="I91" i="1"/>
  <c r="Q91" i="1" s="1"/>
  <c r="H91" i="1"/>
  <c r="P91" i="1" s="1"/>
  <c r="O91" i="1"/>
  <c r="J92" i="1" l="1"/>
  <c r="G93" i="1"/>
  <c r="F93" i="1"/>
  <c r="M93" i="1" s="1"/>
  <c r="N93" i="1" s="1"/>
  <c r="L94" i="1"/>
  <c r="B94" i="1"/>
  <c r="C94" i="1" s="1"/>
  <c r="I92" i="1"/>
  <c r="Q92" i="1" s="1"/>
  <c r="H92" i="1"/>
  <c r="P92" i="1" s="1"/>
  <c r="O92" i="1"/>
  <c r="J93" i="1" l="1"/>
  <c r="G94" i="1"/>
  <c r="F94" i="1"/>
  <c r="M94" i="1" s="1"/>
  <c r="N94" i="1" s="1"/>
  <c r="I93" i="1"/>
  <c r="Q93" i="1" s="1"/>
  <c r="H93" i="1"/>
  <c r="P93" i="1" s="1"/>
  <c r="O93" i="1"/>
  <c r="L95" i="1"/>
  <c r="B95" i="1"/>
  <c r="C95" i="1" s="1"/>
  <c r="F95" i="1" l="1"/>
  <c r="M95" i="1" s="1"/>
  <c r="N95" i="1" s="1"/>
  <c r="G95" i="1"/>
  <c r="J94" i="1"/>
  <c r="I94" i="1"/>
  <c r="Q94" i="1" s="1"/>
  <c r="H94" i="1"/>
  <c r="P94" i="1" s="1"/>
  <c r="L96" i="1"/>
  <c r="B96" i="1"/>
  <c r="C96" i="1" s="1"/>
  <c r="O94" i="1"/>
  <c r="O95" i="1" s="1"/>
  <c r="G96" i="1" l="1"/>
  <c r="F96" i="1"/>
  <c r="M96" i="1" s="1"/>
  <c r="N96" i="1" s="1"/>
  <c r="J95" i="1"/>
  <c r="I95" i="1"/>
  <c r="H95" i="1"/>
  <c r="P95" i="1" s="1"/>
  <c r="L97" i="1"/>
  <c r="B97" i="1"/>
  <c r="C97" i="1" s="1"/>
  <c r="O96" i="1" l="1"/>
  <c r="Q95" i="1"/>
  <c r="J96" i="1"/>
  <c r="G97" i="1"/>
  <c r="F97" i="1"/>
  <c r="M97" i="1" s="1"/>
  <c r="N97" i="1" s="1"/>
  <c r="O97" i="1"/>
  <c r="L98" i="1"/>
  <c r="B98" i="1"/>
  <c r="C98" i="1" s="1"/>
  <c r="I96" i="1"/>
  <c r="Q96" i="1" s="1"/>
  <c r="H96" i="1"/>
  <c r="P96" i="1" s="1"/>
  <c r="J97" i="1" l="1"/>
  <c r="L99" i="1"/>
  <c r="B99" i="1"/>
  <c r="C99" i="1" s="1"/>
  <c r="G98" i="1"/>
  <c r="F98" i="1"/>
  <c r="M98" i="1" s="1"/>
  <c r="N98" i="1" s="1"/>
  <c r="I97" i="1"/>
  <c r="Q97" i="1" s="1"/>
  <c r="H97" i="1"/>
  <c r="P97" i="1" s="1"/>
  <c r="O98" i="1" l="1"/>
  <c r="F99" i="1"/>
  <c r="M99" i="1" s="1"/>
  <c r="N99" i="1" s="1"/>
  <c r="G99" i="1"/>
  <c r="J98" i="1"/>
  <c r="I98" i="1"/>
  <c r="H98" i="1"/>
  <c r="P98" i="1" s="1"/>
  <c r="L100" i="1"/>
  <c r="B100" i="1"/>
  <c r="C100" i="1" s="1"/>
  <c r="O99" i="1"/>
  <c r="Q98" i="1" l="1"/>
  <c r="F100" i="1"/>
  <c r="M100" i="1" s="1"/>
  <c r="N100" i="1" s="1"/>
  <c r="G100" i="1"/>
  <c r="J99" i="1"/>
  <c r="O100" i="1"/>
  <c r="I99" i="1"/>
  <c r="H99" i="1"/>
  <c r="P99" i="1" s="1"/>
  <c r="L101" i="1"/>
  <c r="B101" i="1"/>
  <c r="C101" i="1" s="1"/>
  <c r="Q99" i="1" l="1"/>
  <c r="J100" i="1"/>
  <c r="G101" i="1"/>
  <c r="F101" i="1"/>
  <c r="M101" i="1" s="1"/>
  <c r="N101" i="1" s="1"/>
  <c r="L102" i="1"/>
  <c r="B102" i="1"/>
  <c r="C102" i="1" s="1"/>
  <c r="I100" i="1"/>
  <c r="Q100" i="1" s="1"/>
  <c r="H100" i="1"/>
  <c r="P100" i="1" s="1"/>
  <c r="J101" i="1" l="1"/>
  <c r="F102" i="1"/>
  <c r="M102" i="1" s="1"/>
  <c r="N102" i="1" s="1"/>
  <c r="G102" i="1"/>
  <c r="I101" i="1"/>
  <c r="Q101" i="1" s="1"/>
  <c r="H101" i="1"/>
  <c r="P101" i="1" s="1"/>
  <c r="L103" i="1"/>
  <c r="B103" i="1"/>
  <c r="C103" i="1" s="1"/>
  <c r="O101" i="1"/>
  <c r="F103" i="1" l="1"/>
  <c r="M103" i="1" s="1"/>
  <c r="N103" i="1" s="1"/>
  <c r="G103" i="1"/>
  <c r="J102" i="1"/>
  <c r="I102" i="1"/>
  <c r="H102" i="1"/>
  <c r="P102" i="1" s="1"/>
  <c r="L104" i="1"/>
  <c r="B104" i="1"/>
  <c r="C104" i="1" s="1"/>
  <c r="O102" i="1"/>
  <c r="O103" i="1" s="1"/>
  <c r="Q102" i="1" l="1"/>
  <c r="G104" i="1"/>
  <c r="F104" i="1"/>
  <c r="M104" i="1" s="1"/>
  <c r="N104" i="1" s="1"/>
  <c r="J103" i="1"/>
  <c r="O104" i="1"/>
  <c r="I103" i="1"/>
  <c r="H103" i="1"/>
  <c r="P103" i="1" s="1"/>
  <c r="L105" i="1"/>
  <c r="B105" i="1"/>
  <c r="C105" i="1" s="1"/>
  <c r="Q103" i="1" l="1"/>
  <c r="J104" i="1" s="1"/>
  <c r="G105" i="1"/>
  <c r="F105" i="1"/>
  <c r="M105" i="1" s="1"/>
  <c r="N105" i="1" s="1"/>
  <c r="L106" i="1"/>
  <c r="B106" i="1"/>
  <c r="C106" i="1" s="1"/>
  <c r="I104" i="1"/>
  <c r="H104" i="1"/>
  <c r="P104" i="1" s="1"/>
  <c r="Q104" i="1" l="1"/>
  <c r="O105" i="1"/>
  <c r="G106" i="1"/>
  <c r="F106" i="1"/>
  <c r="M106" i="1" s="1"/>
  <c r="N106" i="1" s="1"/>
  <c r="J105" i="1"/>
  <c r="L107" i="1"/>
  <c r="B107" i="1"/>
  <c r="C107" i="1" s="1"/>
  <c r="I105" i="1"/>
  <c r="Q105" i="1" s="1"/>
  <c r="H105" i="1"/>
  <c r="P105" i="1" s="1"/>
  <c r="F107" i="1" l="1"/>
  <c r="M107" i="1" s="1"/>
  <c r="N107" i="1" s="1"/>
  <c r="G107" i="1"/>
  <c r="L108" i="1"/>
  <c r="B108" i="1"/>
  <c r="C108" i="1" s="1"/>
  <c r="J106" i="1"/>
  <c r="O106" i="1"/>
  <c r="O107" i="1" s="1"/>
  <c r="I106" i="1"/>
  <c r="H106" i="1"/>
  <c r="P106" i="1" s="1"/>
  <c r="Q106" i="1" l="1"/>
  <c r="J107" i="1"/>
  <c r="F108" i="1"/>
  <c r="M108" i="1" s="1"/>
  <c r="N108" i="1" s="1"/>
  <c r="G108" i="1"/>
  <c r="L109" i="1"/>
  <c r="B109" i="1"/>
  <c r="C109" i="1" s="1"/>
  <c r="I107" i="1"/>
  <c r="Q107" i="1" s="1"/>
  <c r="H107" i="1"/>
  <c r="P107" i="1" s="1"/>
  <c r="J108" i="1" l="1"/>
  <c r="G109" i="1"/>
  <c r="F109" i="1"/>
  <c r="M109" i="1" s="1"/>
  <c r="N109" i="1" s="1"/>
  <c r="L110" i="1"/>
  <c r="B110" i="1"/>
  <c r="C110" i="1" s="1"/>
  <c r="I108" i="1"/>
  <c r="Q108" i="1" s="1"/>
  <c r="H108" i="1"/>
  <c r="P108" i="1" s="1"/>
  <c r="O108" i="1"/>
  <c r="J109" i="1" l="1"/>
  <c r="G110" i="1"/>
  <c r="F110" i="1"/>
  <c r="M110" i="1" s="1"/>
  <c r="N110" i="1" s="1"/>
  <c r="L111" i="1"/>
  <c r="B111" i="1"/>
  <c r="C111" i="1" s="1"/>
  <c r="O109" i="1"/>
  <c r="I109" i="1"/>
  <c r="Q109" i="1" s="1"/>
  <c r="H109" i="1"/>
  <c r="P109" i="1" s="1"/>
  <c r="J110" i="1" l="1"/>
  <c r="F111" i="1"/>
  <c r="M111" i="1" s="1"/>
  <c r="N111" i="1" s="1"/>
  <c r="G111" i="1"/>
  <c r="L112" i="1"/>
  <c r="B112" i="1"/>
  <c r="C112" i="1" s="1"/>
  <c r="I110" i="1"/>
  <c r="Q110" i="1" s="1"/>
  <c r="H110" i="1"/>
  <c r="P110" i="1" s="1"/>
  <c r="O110" i="1"/>
  <c r="G112" i="1" l="1"/>
  <c r="F112" i="1"/>
  <c r="M112" i="1" s="1"/>
  <c r="N112" i="1" s="1"/>
  <c r="J111" i="1"/>
  <c r="I111" i="1"/>
  <c r="H111" i="1"/>
  <c r="P111" i="1" s="1"/>
  <c r="L113" i="1"/>
  <c r="B113" i="1"/>
  <c r="C113" i="1" s="1"/>
  <c r="O111" i="1"/>
  <c r="O112" i="1" s="1"/>
  <c r="Q111" i="1" l="1"/>
  <c r="G113" i="1"/>
  <c r="F113" i="1"/>
  <c r="M113" i="1" s="1"/>
  <c r="N113" i="1" s="1"/>
  <c r="J112" i="1"/>
  <c r="L114" i="1"/>
  <c r="B114" i="1"/>
  <c r="C114" i="1" s="1"/>
  <c r="I112" i="1"/>
  <c r="Q112" i="1" s="1"/>
  <c r="H112" i="1"/>
  <c r="P112" i="1" s="1"/>
  <c r="O113" i="1" l="1"/>
  <c r="G114" i="1"/>
  <c r="F114" i="1"/>
  <c r="M114" i="1" s="1"/>
  <c r="N114" i="1" s="1"/>
  <c r="L115" i="1"/>
  <c r="B115" i="1"/>
  <c r="C115" i="1" s="1"/>
  <c r="J113" i="1"/>
  <c r="I113" i="1"/>
  <c r="H113" i="1"/>
  <c r="P113" i="1" s="1"/>
  <c r="Q113" i="1" l="1"/>
  <c r="O114" i="1"/>
  <c r="F115" i="1"/>
  <c r="M115" i="1" s="1"/>
  <c r="N115" i="1" s="1"/>
  <c r="G115" i="1"/>
  <c r="J114" i="1"/>
  <c r="O115" i="1"/>
  <c r="L116" i="1"/>
  <c r="B116" i="1"/>
  <c r="C116" i="1" s="1"/>
  <c r="I114" i="1"/>
  <c r="Q114" i="1" s="1"/>
  <c r="H114" i="1"/>
  <c r="P114" i="1" s="1"/>
  <c r="J115" i="1" l="1"/>
  <c r="F116" i="1"/>
  <c r="M116" i="1" s="1"/>
  <c r="N116" i="1" s="1"/>
  <c r="G116" i="1"/>
  <c r="I115" i="1"/>
  <c r="Q115" i="1" s="1"/>
  <c r="H115" i="1"/>
  <c r="P115" i="1" s="1"/>
  <c r="L117" i="1"/>
  <c r="B117" i="1"/>
  <c r="C117" i="1" s="1"/>
  <c r="O116" i="1" l="1"/>
  <c r="J116" i="1"/>
  <c r="G117" i="1"/>
  <c r="F117" i="1"/>
  <c r="M117" i="1" s="1"/>
  <c r="N117" i="1" s="1"/>
  <c r="I116" i="1"/>
  <c r="Q116" i="1" s="1"/>
  <c r="H116" i="1"/>
  <c r="P116" i="1" s="1"/>
  <c r="O117" i="1"/>
  <c r="L118" i="1"/>
  <c r="B118" i="1"/>
  <c r="C118" i="1" s="1"/>
  <c r="G118" i="1" l="1"/>
  <c r="F118" i="1"/>
  <c r="M118" i="1" s="1"/>
  <c r="N118" i="1" s="1"/>
  <c r="J117" i="1"/>
  <c r="O118" i="1"/>
  <c r="I117" i="1"/>
  <c r="H117" i="1"/>
  <c r="P117" i="1" s="1"/>
  <c r="L119" i="1"/>
  <c r="B119" i="1"/>
  <c r="C119" i="1" s="1"/>
  <c r="Q117" i="1" l="1"/>
  <c r="F119" i="1"/>
  <c r="M119" i="1" s="1"/>
  <c r="N119" i="1" s="1"/>
  <c r="G119" i="1"/>
  <c r="J118" i="1"/>
  <c r="O119" i="1"/>
  <c r="L120" i="1"/>
  <c r="B120" i="1"/>
  <c r="C120" i="1" s="1"/>
  <c r="I118" i="1"/>
  <c r="H118" i="1"/>
  <c r="P118" i="1" s="1"/>
  <c r="Q118" i="1" l="1"/>
  <c r="G120" i="1"/>
  <c r="F120" i="1"/>
  <c r="M120" i="1" s="1"/>
  <c r="N120" i="1" s="1"/>
  <c r="L121" i="1"/>
  <c r="B121" i="1"/>
  <c r="C121" i="1" s="1"/>
  <c r="J119" i="1"/>
  <c r="I119" i="1"/>
  <c r="H119" i="1"/>
  <c r="P119" i="1" s="1"/>
  <c r="Q119" i="1" l="1"/>
  <c r="O120" i="1"/>
  <c r="G121" i="1"/>
  <c r="F121" i="1"/>
  <c r="M121" i="1" s="1"/>
  <c r="N121" i="1" s="1"/>
  <c r="J120" i="1"/>
  <c r="O121" i="1"/>
  <c r="L122" i="1"/>
  <c r="B122" i="1"/>
  <c r="C122" i="1" s="1"/>
  <c r="I120" i="1"/>
  <c r="H120" i="1"/>
  <c r="P120" i="1" s="1"/>
  <c r="Q120" i="1" l="1"/>
  <c r="J121" i="1"/>
  <c r="G122" i="1"/>
  <c r="F122" i="1"/>
  <c r="M122" i="1" s="1"/>
  <c r="N122" i="1" s="1"/>
  <c r="L123" i="1"/>
  <c r="B123" i="1"/>
  <c r="C123" i="1" s="1"/>
  <c r="I121" i="1"/>
  <c r="Q121" i="1" s="1"/>
  <c r="H121" i="1"/>
  <c r="P121" i="1" s="1"/>
  <c r="O122" i="1" l="1"/>
  <c r="F123" i="1"/>
  <c r="M123" i="1" s="1"/>
  <c r="N123" i="1" s="1"/>
  <c r="G123" i="1"/>
  <c r="L124" i="1"/>
  <c r="B124" i="1"/>
  <c r="C124" i="1" s="1"/>
  <c r="I122" i="1"/>
  <c r="H122" i="1"/>
  <c r="P122" i="1" s="1"/>
  <c r="J122" i="1"/>
  <c r="Q122" i="1" l="1"/>
  <c r="F124" i="1"/>
  <c r="M124" i="1" s="1"/>
  <c r="N124" i="1" s="1"/>
  <c r="G124" i="1"/>
  <c r="J123" i="1"/>
  <c r="O123" i="1"/>
  <c r="O124" i="1" s="1"/>
  <c r="L125" i="1"/>
  <c r="B125" i="1"/>
  <c r="C125" i="1" s="1"/>
  <c r="I123" i="1"/>
  <c r="H123" i="1"/>
  <c r="P123" i="1" s="1"/>
  <c r="Q123" i="1" l="1"/>
  <c r="G125" i="1"/>
  <c r="F125" i="1"/>
  <c r="M125" i="1" s="1"/>
  <c r="N125" i="1" s="1"/>
  <c r="J124" i="1"/>
  <c r="L126" i="1"/>
  <c r="B126" i="1"/>
  <c r="C126" i="1" s="1"/>
  <c r="I124" i="1"/>
  <c r="H124" i="1"/>
  <c r="P124" i="1" s="1"/>
  <c r="Q124" i="1" l="1"/>
  <c r="G126" i="1"/>
  <c r="F126" i="1"/>
  <c r="M126" i="1" s="1"/>
  <c r="N126" i="1" s="1"/>
  <c r="J125" i="1"/>
  <c r="L127" i="1"/>
  <c r="B127" i="1"/>
  <c r="C127" i="1" s="1"/>
  <c r="I125" i="1"/>
  <c r="Q125" i="1" s="1"/>
  <c r="H125" i="1"/>
  <c r="P125" i="1" s="1"/>
  <c r="O125" i="1"/>
  <c r="J126" i="1" l="1"/>
  <c r="F127" i="1"/>
  <c r="M127" i="1" s="1"/>
  <c r="N127" i="1" s="1"/>
  <c r="G127" i="1"/>
  <c r="L128" i="1"/>
  <c r="B128" i="1"/>
  <c r="C128" i="1" s="1"/>
  <c r="O126" i="1"/>
  <c r="O127" i="1" s="1"/>
  <c r="I126" i="1"/>
  <c r="Q126" i="1" s="1"/>
  <c r="H126" i="1"/>
  <c r="P126" i="1" s="1"/>
  <c r="G128" i="1" l="1"/>
  <c r="F128" i="1"/>
  <c r="M128" i="1" s="1"/>
  <c r="N128" i="1" s="1"/>
  <c r="J127" i="1"/>
  <c r="O128" i="1"/>
  <c r="L129" i="1"/>
  <c r="B129" i="1"/>
  <c r="C129" i="1" s="1"/>
  <c r="I127" i="1"/>
  <c r="H127" i="1"/>
  <c r="P127" i="1" s="1"/>
  <c r="Q127" i="1" l="1"/>
  <c r="J128" i="1"/>
  <c r="G129" i="1"/>
  <c r="F129" i="1"/>
  <c r="M129" i="1" s="1"/>
  <c r="N129" i="1" s="1"/>
  <c r="L130" i="1"/>
  <c r="B130" i="1"/>
  <c r="C130" i="1" s="1"/>
  <c r="I128" i="1"/>
  <c r="Q128" i="1" s="1"/>
  <c r="H128" i="1"/>
  <c r="P128" i="1" s="1"/>
  <c r="J129" i="1" l="1"/>
  <c r="G130" i="1"/>
  <c r="F130" i="1"/>
  <c r="M130" i="1" s="1"/>
  <c r="N130" i="1" s="1"/>
  <c r="I129" i="1"/>
  <c r="Q129" i="1" s="1"/>
  <c r="H129" i="1"/>
  <c r="P129" i="1"/>
  <c r="L131" i="1"/>
  <c r="B131" i="1"/>
  <c r="C131" i="1" s="1"/>
  <c r="O129" i="1"/>
  <c r="F131" i="1" l="1"/>
  <c r="M131" i="1" s="1"/>
  <c r="N131" i="1" s="1"/>
  <c r="G131" i="1"/>
  <c r="J130" i="1"/>
  <c r="O130" i="1"/>
  <c r="O131" i="1" s="1"/>
  <c r="I130" i="1"/>
  <c r="H130" i="1"/>
  <c r="P130" i="1" s="1"/>
  <c r="L132" i="1"/>
  <c r="B132" i="1"/>
  <c r="C132" i="1" s="1"/>
  <c r="Q130" i="1" l="1"/>
  <c r="F132" i="1"/>
  <c r="M132" i="1" s="1"/>
  <c r="N132" i="1" s="1"/>
  <c r="G132" i="1"/>
  <c r="J131" i="1"/>
  <c r="O132" i="1"/>
  <c r="I131" i="1"/>
  <c r="Q131" i="1" s="1"/>
  <c r="H131" i="1"/>
  <c r="P131" i="1" s="1"/>
  <c r="L133" i="1"/>
  <c r="B133" i="1"/>
  <c r="C133" i="1" s="1"/>
  <c r="G133" i="1" l="1"/>
  <c r="F133" i="1"/>
  <c r="M133" i="1" s="1"/>
  <c r="N133" i="1" s="1"/>
  <c r="J132" i="1"/>
  <c r="I132" i="1"/>
  <c r="H132" i="1"/>
  <c r="P132" i="1" s="1"/>
  <c r="L134" i="1"/>
  <c r="B134" i="1"/>
  <c r="C134" i="1" s="1"/>
  <c r="Q132" i="1" l="1"/>
  <c r="O133" i="1"/>
  <c r="J133" i="1"/>
  <c r="F134" i="1"/>
  <c r="M134" i="1" s="1"/>
  <c r="N134" i="1" s="1"/>
  <c r="G134" i="1"/>
  <c r="L135" i="1"/>
  <c r="B135" i="1"/>
  <c r="C135" i="1" s="1"/>
  <c r="I133" i="1"/>
  <c r="Q133" i="1" s="1"/>
  <c r="H133" i="1"/>
  <c r="P133" i="1" s="1"/>
  <c r="F135" i="1" l="1"/>
  <c r="M135" i="1" s="1"/>
  <c r="N135" i="1" s="1"/>
  <c r="G135" i="1"/>
  <c r="J134" i="1"/>
  <c r="L136" i="1"/>
  <c r="B136" i="1"/>
  <c r="C136" i="1" s="1"/>
  <c r="I134" i="1"/>
  <c r="Q134" i="1" s="1"/>
  <c r="H134" i="1"/>
  <c r="P134" i="1" s="1"/>
  <c r="O134" i="1"/>
  <c r="O135" i="1" s="1"/>
  <c r="G136" i="1" l="1"/>
  <c r="F136" i="1"/>
  <c r="M136" i="1" s="1"/>
  <c r="N136" i="1" s="1"/>
  <c r="L137" i="1"/>
  <c r="B137" i="1"/>
  <c r="C137" i="1" s="1"/>
  <c r="J135" i="1"/>
  <c r="I135" i="1"/>
  <c r="H135" i="1"/>
  <c r="P135" i="1" s="1"/>
  <c r="O136" i="1"/>
  <c r="Q135" i="1" l="1"/>
  <c r="J136" i="1"/>
  <c r="G137" i="1"/>
  <c r="F137" i="1"/>
  <c r="M137" i="1" s="1"/>
  <c r="N137" i="1" s="1"/>
  <c r="L138" i="1"/>
  <c r="B138" i="1"/>
  <c r="C138" i="1" s="1"/>
  <c r="I136" i="1"/>
  <c r="Q136" i="1" s="1"/>
  <c r="H136" i="1"/>
  <c r="P136" i="1" s="1"/>
  <c r="O137" i="1" l="1"/>
  <c r="G138" i="1"/>
  <c r="F138" i="1"/>
  <c r="M138" i="1" s="1"/>
  <c r="N138" i="1" s="1"/>
  <c r="I137" i="1"/>
  <c r="H137" i="1"/>
  <c r="P137" i="1" s="1"/>
  <c r="L139" i="1"/>
  <c r="B139" i="1"/>
  <c r="C139" i="1" s="1"/>
  <c r="J137" i="1"/>
  <c r="Q137" i="1" l="1"/>
  <c r="F139" i="1"/>
  <c r="M139" i="1" s="1"/>
  <c r="N139" i="1" s="1"/>
  <c r="G139" i="1"/>
  <c r="J138" i="1"/>
  <c r="L140" i="1"/>
  <c r="B140" i="1"/>
  <c r="C140" i="1" s="1"/>
  <c r="O138" i="1"/>
  <c r="O139" i="1" s="1"/>
  <c r="I138" i="1"/>
  <c r="H138" i="1"/>
  <c r="P138" i="1" s="1"/>
  <c r="Q138" i="1" l="1"/>
  <c r="J139" i="1"/>
  <c r="F140" i="1"/>
  <c r="M140" i="1" s="1"/>
  <c r="N140" i="1" s="1"/>
  <c r="G140" i="1"/>
  <c r="O140" i="1"/>
  <c r="L141" i="1"/>
  <c r="B141" i="1"/>
  <c r="C141" i="1" s="1"/>
  <c r="I139" i="1"/>
  <c r="Q139" i="1" s="1"/>
  <c r="H139" i="1"/>
  <c r="P139" i="1" s="1"/>
  <c r="G141" i="1" l="1"/>
  <c r="F141" i="1"/>
  <c r="M141" i="1" s="1"/>
  <c r="N141" i="1" s="1"/>
  <c r="J140" i="1"/>
  <c r="L142" i="1"/>
  <c r="B142" i="1"/>
  <c r="C142" i="1" s="1"/>
  <c r="O141" i="1"/>
  <c r="I140" i="1"/>
  <c r="Q140" i="1" s="1"/>
  <c r="H140" i="1"/>
  <c r="P140" i="1" s="1"/>
  <c r="F142" i="1" l="1"/>
  <c r="M142" i="1" s="1"/>
  <c r="N142" i="1" s="1"/>
  <c r="G142" i="1"/>
  <c r="O142" i="1"/>
  <c r="I141" i="1"/>
  <c r="H141" i="1"/>
  <c r="P141" i="1" s="1"/>
  <c r="L143" i="1"/>
  <c r="B143" i="1"/>
  <c r="C143" i="1" s="1"/>
  <c r="J141" i="1"/>
  <c r="Q141" i="1" l="1"/>
  <c r="J142" i="1"/>
  <c r="F143" i="1"/>
  <c r="M143" i="1" s="1"/>
  <c r="N143" i="1" s="1"/>
  <c r="G143" i="1"/>
  <c r="L144" i="1"/>
  <c r="B144" i="1"/>
  <c r="C144" i="1" s="1"/>
  <c r="O143" i="1"/>
  <c r="I142" i="1"/>
  <c r="Q142" i="1" s="1"/>
  <c r="H142" i="1"/>
  <c r="P142" i="1" s="1"/>
  <c r="G144" i="1" l="1"/>
  <c r="F144" i="1"/>
  <c r="M144" i="1" s="1"/>
  <c r="N144" i="1" s="1"/>
  <c r="J143" i="1"/>
  <c r="L145" i="1"/>
  <c r="B145" i="1"/>
  <c r="C145" i="1" s="1"/>
  <c r="I143" i="1"/>
  <c r="Q143" i="1" s="1"/>
  <c r="H143" i="1"/>
  <c r="P143" i="1" s="1"/>
  <c r="J144" i="1" l="1"/>
  <c r="G145" i="1"/>
  <c r="F145" i="1"/>
  <c r="M145" i="1" s="1"/>
  <c r="N145" i="1" s="1"/>
  <c r="L146" i="1"/>
  <c r="B146" i="1"/>
  <c r="C146" i="1" s="1"/>
  <c r="O144" i="1"/>
  <c r="I144" i="1"/>
  <c r="Q144" i="1" s="1"/>
  <c r="H144" i="1"/>
  <c r="P144" i="1" s="1"/>
  <c r="J145" i="1" l="1"/>
  <c r="G146" i="1"/>
  <c r="F146" i="1"/>
  <c r="M146" i="1" s="1"/>
  <c r="N146" i="1" s="1"/>
  <c r="I145" i="1"/>
  <c r="Q145" i="1" s="1"/>
  <c r="H145" i="1"/>
  <c r="P145" i="1" s="1"/>
  <c r="L147" i="1"/>
  <c r="B147" i="1"/>
  <c r="C147" i="1" s="1"/>
  <c r="O145" i="1"/>
  <c r="O146" i="1" s="1"/>
  <c r="F147" i="1" l="1"/>
  <c r="M147" i="1" s="1"/>
  <c r="N147" i="1" s="1"/>
  <c r="G147" i="1"/>
  <c r="J146" i="1"/>
  <c r="I146" i="1"/>
  <c r="H146" i="1"/>
  <c r="P146" i="1" s="1"/>
  <c r="O147" i="1"/>
  <c r="L148" i="1"/>
  <c r="B148" i="1"/>
  <c r="C148" i="1" s="1"/>
  <c r="Q146" i="1" l="1"/>
  <c r="F148" i="1"/>
  <c r="M148" i="1" s="1"/>
  <c r="N148" i="1" s="1"/>
  <c r="G148" i="1"/>
  <c r="J147" i="1"/>
  <c r="I147" i="1"/>
  <c r="H147" i="1"/>
  <c r="P147" i="1" s="1"/>
  <c r="L149" i="1"/>
  <c r="B149" i="1"/>
  <c r="C149" i="1" s="1"/>
  <c r="Q147" i="1" l="1"/>
  <c r="G149" i="1"/>
  <c r="F149" i="1"/>
  <c r="M149" i="1" s="1"/>
  <c r="N149" i="1" s="1"/>
  <c r="J148" i="1"/>
  <c r="O148" i="1"/>
  <c r="L150" i="1"/>
  <c r="B150" i="1"/>
  <c r="C150" i="1" s="1"/>
  <c r="I148" i="1"/>
  <c r="H148" i="1"/>
  <c r="P148" i="1" s="1"/>
  <c r="O149" i="1" l="1"/>
  <c r="Q148" i="1"/>
  <c r="F150" i="1"/>
  <c r="M150" i="1" s="1"/>
  <c r="N150" i="1" s="1"/>
  <c r="G150" i="1"/>
  <c r="J149" i="1"/>
  <c r="L151" i="1"/>
  <c r="B151" i="1"/>
  <c r="C151" i="1" s="1"/>
  <c r="O150" i="1"/>
  <c r="I149" i="1"/>
  <c r="H149" i="1"/>
  <c r="P149" i="1" s="1"/>
  <c r="Q149" i="1" l="1"/>
  <c r="F151" i="1"/>
  <c r="M151" i="1" s="1"/>
  <c r="N151" i="1" s="1"/>
  <c r="G151" i="1"/>
  <c r="J150" i="1"/>
  <c r="I150" i="1"/>
  <c r="Q150" i="1" s="1"/>
  <c r="H150" i="1"/>
  <c r="P150" i="1" s="1"/>
  <c r="B152" i="1"/>
  <c r="C152" i="1" s="1"/>
  <c r="L152" i="1"/>
  <c r="O151" i="1"/>
  <c r="G152" i="1" l="1"/>
  <c r="F152" i="1"/>
  <c r="M152" i="1" s="1"/>
  <c r="N152" i="1" s="1"/>
  <c r="J151" i="1"/>
  <c r="I151" i="1"/>
  <c r="H151" i="1"/>
  <c r="P151" i="1" s="1"/>
  <c r="B153" i="1"/>
  <c r="C153" i="1" s="1"/>
  <c r="L153" i="1"/>
  <c r="O152" i="1" l="1"/>
  <c r="Q151" i="1"/>
  <c r="G153" i="1"/>
  <c r="F153" i="1"/>
  <c r="M153" i="1" s="1"/>
  <c r="N153" i="1" s="1"/>
  <c r="J152" i="1"/>
  <c r="O153" i="1"/>
  <c r="L154" i="1"/>
  <c r="B154" i="1"/>
  <c r="C154" i="1" s="1"/>
  <c r="I152" i="1"/>
  <c r="H152" i="1"/>
  <c r="P152" i="1" s="1"/>
  <c r="Q152" i="1" l="1"/>
  <c r="G154" i="1"/>
  <c r="F154" i="1"/>
  <c r="M154" i="1" s="1"/>
  <c r="N154" i="1" s="1"/>
  <c r="J153" i="1"/>
  <c r="L155" i="1"/>
  <c r="B155" i="1"/>
  <c r="C155" i="1" s="1"/>
  <c r="I153" i="1"/>
  <c r="H153" i="1"/>
  <c r="P153" i="1" s="1"/>
  <c r="Q153" i="1" l="1"/>
  <c r="F155" i="1"/>
  <c r="M155" i="1" s="1"/>
  <c r="N155" i="1" s="1"/>
  <c r="G155" i="1"/>
  <c r="J154" i="1"/>
  <c r="L156" i="1"/>
  <c r="B156" i="1"/>
  <c r="C156" i="1" s="1"/>
  <c r="I154" i="1"/>
  <c r="H154" i="1"/>
  <c r="P154" i="1" s="1"/>
  <c r="O154" i="1"/>
  <c r="O155" i="1" s="1"/>
  <c r="Q154" i="1" l="1"/>
  <c r="F156" i="1"/>
  <c r="M156" i="1" s="1"/>
  <c r="N156" i="1" s="1"/>
  <c r="G156" i="1"/>
  <c r="J155" i="1"/>
  <c r="L157" i="1"/>
  <c r="B157" i="1"/>
  <c r="C157" i="1" s="1"/>
  <c r="I155" i="1"/>
  <c r="H155" i="1"/>
  <c r="P155" i="1" s="1"/>
  <c r="Q155" i="1" l="1"/>
  <c r="G157" i="1"/>
  <c r="F157" i="1"/>
  <c r="M157" i="1" s="1"/>
  <c r="N157" i="1" s="1"/>
  <c r="J156" i="1"/>
  <c r="I156" i="1"/>
  <c r="H156" i="1"/>
  <c r="P156" i="1" s="1"/>
  <c r="L158" i="1"/>
  <c r="B158" i="1"/>
  <c r="C158" i="1" s="1"/>
  <c r="O156" i="1"/>
  <c r="O157" i="1" s="1"/>
  <c r="Q156" i="1" l="1"/>
  <c r="F158" i="1"/>
  <c r="M158" i="1" s="1"/>
  <c r="N158" i="1" s="1"/>
  <c r="G158" i="1"/>
  <c r="J157" i="1"/>
  <c r="L159" i="1"/>
  <c r="B159" i="1"/>
  <c r="C159" i="1" s="1"/>
  <c r="O158" i="1"/>
  <c r="I157" i="1"/>
  <c r="Q157" i="1" s="1"/>
  <c r="H157" i="1"/>
  <c r="P157" i="1" s="1"/>
  <c r="F159" i="1" l="1"/>
  <c r="M159" i="1" s="1"/>
  <c r="N159" i="1" s="1"/>
  <c r="G159" i="1"/>
  <c r="L160" i="1"/>
  <c r="B160" i="1"/>
  <c r="C160" i="1" s="1"/>
  <c r="I158" i="1"/>
  <c r="H158" i="1"/>
  <c r="P158" i="1" s="1"/>
  <c r="J158" i="1"/>
  <c r="O159" i="1"/>
  <c r="Q158" i="1" l="1"/>
  <c r="J159" i="1"/>
  <c r="G160" i="1"/>
  <c r="F160" i="1"/>
  <c r="M160" i="1" s="1"/>
  <c r="N160" i="1" s="1"/>
  <c r="L161" i="1"/>
  <c r="B161" i="1"/>
  <c r="C161" i="1" s="1"/>
  <c r="I159" i="1"/>
  <c r="Q159" i="1" s="1"/>
  <c r="H159" i="1"/>
  <c r="P159" i="1" s="1"/>
  <c r="J160" i="1" l="1"/>
  <c r="G161" i="1"/>
  <c r="F161" i="1"/>
  <c r="M161" i="1" s="1"/>
  <c r="N161" i="1" s="1"/>
  <c r="I160" i="1"/>
  <c r="Q160" i="1" s="1"/>
  <c r="H160" i="1"/>
  <c r="P160" i="1" s="1"/>
  <c r="L162" i="1"/>
  <c r="B162" i="1"/>
  <c r="C162" i="1" s="1"/>
  <c r="O160" i="1"/>
  <c r="G162" i="1" l="1"/>
  <c r="F162" i="1"/>
  <c r="M162" i="1" s="1"/>
  <c r="N162" i="1" s="1"/>
  <c r="J161" i="1"/>
  <c r="I161" i="1"/>
  <c r="H161" i="1"/>
  <c r="P161" i="1" s="1"/>
  <c r="O161" i="1"/>
  <c r="L163" i="1"/>
  <c r="B163" i="1"/>
  <c r="C163" i="1" s="1"/>
  <c r="Q161" i="1" l="1"/>
  <c r="F163" i="1"/>
  <c r="M163" i="1" s="1"/>
  <c r="N163" i="1" s="1"/>
  <c r="G163" i="1"/>
  <c r="J162" i="1"/>
  <c r="L164" i="1"/>
  <c r="B164" i="1"/>
  <c r="C164" i="1" s="1"/>
  <c r="I162" i="1"/>
  <c r="H162" i="1"/>
  <c r="P162" i="1" s="1"/>
  <c r="O162" i="1"/>
  <c r="O163" i="1" s="1"/>
  <c r="Q162" i="1" l="1"/>
  <c r="F164" i="1"/>
  <c r="M164" i="1" s="1"/>
  <c r="N164" i="1" s="1"/>
  <c r="G164" i="1"/>
  <c r="J163" i="1"/>
  <c r="L165" i="1"/>
  <c r="B165" i="1"/>
  <c r="C165" i="1" s="1"/>
  <c r="I163" i="1"/>
  <c r="H163" i="1"/>
  <c r="P163" i="1" s="1"/>
  <c r="O164" i="1"/>
  <c r="Q163" i="1" l="1"/>
  <c r="G165" i="1"/>
  <c r="F165" i="1"/>
  <c r="M165" i="1" s="1"/>
  <c r="N165" i="1" s="1"/>
  <c r="J164" i="1"/>
  <c r="I164" i="1"/>
  <c r="H164" i="1"/>
  <c r="P164" i="1" s="1"/>
  <c r="L166" i="1"/>
  <c r="B166" i="1"/>
  <c r="C166" i="1" s="1"/>
  <c r="Q164" i="1" l="1"/>
  <c r="F166" i="1"/>
  <c r="M166" i="1" s="1"/>
  <c r="N166" i="1" s="1"/>
  <c r="G166" i="1"/>
  <c r="J165" i="1"/>
  <c r="I165" i="1"/>
  <c r="H165" i="1"/>
  <c r="P165" i="1" s="1"/>
  <c r="O165" i="1"/>
  <c r="L167" i="1"/>
  <c r="B167" i="1"/>
  <c r="C167" i="1" s="1"/>
  <c r="Q165" i="1" l="1"/>
  <c r="F167" i="1"/>
  <c r="M167" i="1" s="1"/>
  <c r="N167" i="1" s="1"/>
  <c r="G167" i="1"/>
  <c r="J166" i="1"/>
  <c r="I166" i="1"/>
  <c r="H166" i="1"/>
  <c r="P166" i="1" s="1"/>
  <c r="L168" i="1"/>
  <c r="B168" i="1"/>
  <c r="C168" i="1" s="1"/>
  <c r="O166" i="1"/>
  <c r="Q166" i="1" l="1"/>
  <c r="G168" i="1"/>
  <c r="F168" i="1"/>
  <c r="M168" i="1" s="1"/>
  <c r="N168" i="1" s="1"/>
  <c r="J167" i="1"/>
  <c r="I167" i="1"/>
  <c r="H167" i="1"/>
  <c r="P167" i="1" s="1"/>
  <c r="O167" i="1"/>
  <c r="L169" i="1"/>
  <c r="B169" i="1"/>
  <c r="C169" i="1" s="1"/>
  <c r="Q167" i="1" l="1"/>
  <c r="J168" i="1"/>
  <c r="G169" i="1"/>
  <c r="F169" i="1"/>
  <c r="M169" i="1" s="1"/>
  <c r="N169" i="1" s="1"/>
  <c r="L170" i="1"/>
  <c r="B170" i="1"/>
  <c r="C170" i="1" s="1"/>
  <c r="O168" i="1"/>
  <c r="I168" i="1"/>
  <c r="Q168" i="1" s="1"/>
  <c r="H168" i="1"/>
  <c r="P168" i="1" s="1"/>
  <c r="J169" i="1" l="1"/>
  <c r="G170" i="1"/>
  <c r="F170" i="1"/>
  <c r="M170" i="1" s="1"/>
  <c r="N170" i="1" s="1"/>
  <c r="B171" i="1"/>
  <c r="C171" i="1" s="1"/>
  <c r="L171" i="1"/>
  <c r="I169" i="1"/>
  <c r="Q169" i="1" s="1"/>
  <c r="H169" i="1"/>
  <c r="P169" i="1" s="1"/>
  <c r="O169" i="1"/>
  <c r="J170" i="1" l="1"/>
  <c r="F171" i="1"/>
  <c r="M171" i="1" s="1"/>
  <c r="N171" i="1" s="1"/>
  <c r="G171" i="1"/>
  <c r="L172" i="1"/>
  <c r="B172" i="1"/>
  <c r="C172" i="1" s="1"/>
  <c r="I170" i="1"/>
  <c r="Q170" i="1" s="1"/>
  <c r="H170" i="1"/>
  <c r="P170" i="1" s="1"/>
  <c r="O170" i="1"/>
  <c r="J171" i="1" l="1"/>
  <c r="G172" i="1"/>
  <c r="F172" i="1"/>
  <c r="M172" i="1" s="1"/>
  <c r="N172" i="1" s="1"/>
  <c r="B173" i="1"/>
  <c r="C173" i="1" s="1"/>
  <c r="L173" i="1"/>
  <c r="I171" i="1"/>
  <c r="Q171" i="1" s="1"/>
  <c r="H171" i="1"/>
  <c r="P171" i="1" s="1"/>
  <c r="O171" i="1"/>
  <c r="J172" i="1" l="1"/>
  <c r="F173" i="1"/>
  <c r="M173" i="1" s="1"/>
  <c r="N173" i="1" s="1"/>
  <c r="G173" i="1"/>
  <c r="B174" i="1"/>
  <c r="C174" i="1" s="1"/>
  <c r="L174" i="1"/>
  <c r="O172" i="1"/>
  <c r="I172" i="1"/>
  <c r="Q172" i="1" s="1"/>
  <c r="H172" i="1"/>
  <c r="P172" i="1" s="1"/>
  <c r="G174" i="1" l="1"/>
  <c r="F174" i="1"/>
  <c r="M174" i="1" s="1"/>
  <c r="N174" i="1" s="1"/>
  <c r="J173" i="1"/>
  <c r="L175" i="1"/>
  <c r="B175" i="1"/>
  <c r="C175" i="1" s="1"/>
  <c r="I173" i="1"/>
  <c r="H173" i="1"/>
  <c r="P173" i="1" s="1"/>
  <c r="O173" i="1"/>
  <c r="O174" i="1" s="1"/>
  <c r="Q173" i="1" l="1"/>
  <c r="F175" i="1"/>
  <c r="M175" i="1" s="1"/>
  <c r="N175" i="1" s="1"/>
  <c r="G175" i="1"/>
  <c r="J174" i="1"/>
  <c r="L176" i="1"/>
  <c r="B176" i="1"/>
  <c r="C176" i="1" s="1"/>
  <c r="I174" i="1"/>
  <c r="H174" i="1"/>
  <c r="P174" i="1" s="1"/>
  <c r="Q174" i="1" l="1"/>
  <c r="J175" i="1"/>
  <c r="G176" i="1"/>
  <c r="F176" i="1"/>
  <c r="M176" i="1" s="1"/>
  <c r="N176" i="1" s="1"/>
  <c r="I175" i="1"/>
  <c r="Q175" i="1" s="1"/>
  <c r="H175" i="1"/>
  <c r="P175" i="1" s="1"/>
  <c r="B177" i="1"/>
  <c r="C177" i="1" s="1"/>
  <c r="L177" i="1"/>
  <c r="O175" i="1"/>
  <c r="F177" i="1" l="1"/>
  <c r="M177" i="1" s="1"/>
  <c r="N177" i="1" s="1"/>
  <c r="G177" i="1"/>
  <c r="J176" i="1"/>
  <c r="O176" i="1"/>
  <c r="O177" i="1" s="1"/>
  <c r="I176" i="1"/>
  <c r="H176" i="1"/>
  <c r="P176" i="1" s="1"/>
  <c r="B178" i="1"/>
  <c r="C178" i="1" s="1"/>
  <c r="L178" i="1"/>
  <c r="Q176" i="1" l="1"/>
  <c r="G178" i="1"/>
  <c r="F178" i="1"/>
  <c r="M178" i="1" s="1"/>
  <c r="N178" i="1" s="1"/>
  <c r="J177" i="1"/>
  <c r="L179" i="1"/>
  <c r="B179" i="1"/>
  <c r="C179" i="1" s="1"/>
  <c r="I177" i="1"/>
  <c r="H177" i="1"/>
  <c r="P177" i="1" s="1"/>
  <c r="Q177" i="1" l="1"/>
  <c r="O178" i="1"/>
  <c r="F179" i="1"/>
  <c r="M179" i="1" s="1"/>
  <c r="N179" i="1" s="1"/>
  <c r="G179" i="1"/>
  <c r="L180" i="1"/>
  <c r="B180" i="1"/>
  <c r="C180" i="1" s="1"/>
  <c r="J178" i="1"/>
  <c r="I178" i="1"/>
  <c r="H178" i="1"/>
  <c r="P178" i="1" s="1"/>
  <c r="O179" i="1" l="1"/>
  <c r="Q178" i="1"/>
  <c r="J179" i="1"/>
  <c r="G180" i="1"/>
  <c r="F180" i="1"/>
  <c r="M180" i="1" s="1"/>
  <c r="N180" i="1" s="1"/>
  <c r="B181" i="1"/>
  <c r="C181" i="1" s="1"/>
  <c r="L181" i="1"/>
  <c r="I179" i="1"/>
  <c r="Q179" i="1" s="1"/>
  <c r="H179" i="1"/>
  <c r="P179" i="1" s="1"/>
  <c r="F181" i="1" l="1"/>
  <c r="M181" i="1" s="1"/>
  <c r="N181" i="1" s="1"/>
  <c r="G181" i="1"/>
  <c r="J180" i="1"/>
  <c r="B182" i="1"/>
  <c r="C182" i="1" s="1"/>
  <c r="L182" i="1"/>
  <c r="I180" i="1"/>
  <c r="H180" i="1"/>
  <c r="P180" i="1" s="1"/>
  <c r="O180" i="1"/>
  <c r="O181" i="1" s="1"/>
  <c r="Q180" i="1" l="1"/>
  <c r="J181" i="1"/>
  <c r="G182" i="1"/>
  <c r="F182" i="1"/>
  <c r="M182" i="1" s="1"/>
  <c r="N182" i="1" s="1"/>
  <c r="I181" i="1"/>
  <c r="Q181" i="1" s="1"/>
  <c r="H181" i="1"/>
  <c r="P181" i="1" s="1"/>
  <c r="L183" i="1"/>
  <c r="B183" i="1"/>
  <c r="C183" i="1" s="1"/>
  <c r="O182" i="1" l="1"/>
  <c r="J182" i="1"/>
  <c r="F183" i="1"/>
  <c r="M183" i="1" s="1"/>
  <c r="N183" i="1" s="1"/>
  <c r="G183" i="1"/>
  <c r="L184" i="1"/>
  <c r="B184" i="1"/>
  <c r="C184" i="1" s="1"/>
  <c r="I182" i="1"/>
  <c r="Q182" i="1" s="1"/>
  <c r="H182" i="1"/>
  <c r="P182" i="1" s="1"/>
  <c r="J183" i="1" l="1"/>
  <c r="G184" i="1"/>
  <c r="F184" i="1"/>
  <c r="M184" i="1" s="1"/>
  <c r="N184" i="1" s="1"/>
  <c r="L185" i="1"/>
  <c r="B185" i="1"/>
  <c r="C185" i="1" s="1"/>
  <c r="I183" i="1"/>
  <c r="Q183" i="1" s="1"/>
  <c r="H183" i="1"/>
  <c r="P183" i="1" s="1"/>
  <c r="O183" i="1"/>
  <c r="J184" i="1" l="1"/>
  <c r="G185" i="1"/>
  <c r="F185" i="1"/>
  <c r="M185" i="1" s="1"/>
  <c r="N185" i="1" s="1"/>
  <c r="L186" i="1"/>
  <c r="B186" i="1"/>
  <c r="C186" i="1" s="1"/>
  <c r="O184" i="1"/>
  <c r="O185" i="1" s="1"/>
  <c r="I184" i="1"/>
  <c r="Q184" i="1" s="1"/>
  <c r="H184" i="1"/>
  <c r="P184" i="1" s="1"/>
  <c r="J185" i="1" l="1"/>
  <c r="F186" i="1"/>
  <c r="M186" i="1" s="1"/>
  <c r="N186" i="1" s="1"/>
  <c r="G186" i="1"/>
  <c r="I185" i="1"/>
  <c r="Q185" i="1" s="1"/>
  <c r="H185" i="1"/>
  <c r="P185" i="1" s="1"/>
  <c r="L187" i="1"/>
  <c r="B187" i="1"/>
  <c r="C187" i="1" s="1"/>
  <c r="G187" i="1" l="1"/>
  <c r="F187" i="1"/>
  <c r="M187" i="1" s="1"/>
  <c r="N187" i="1" s="1"/>
  <c r="J186" i="1"/>
  <c r="I186" i="1"/>
  <c r="H186" i="1"/>
  <c r="P186" i="1" s="1"/>
  <c r="L188" i="1"/>
  <c r="B188" i="1"/>
  <c r="C188" i="1" s="1"/>
  <c r="O186" i="1"/>
  <c r="Q186" i="1" l="1"/>
  <c r="G188" i="1"/>
  <c r="F188" i="1"/>
  <c r="M188" i="1" s="1"/>
  <c r="N188" i="1" s="1"/>
  <c r="J187" i="1"/>
  <c r="O187" i="1"/>
  <c r="O188" i="1" s="1"/>
  <c r="I187" i="1"/>
  <c r="H187" i="1"/>
  <c r="P187" i="1" s="1"/>
  <c r="L189" i="1"/>
  <c r="B189" i="1"/>
  <c r="C189" i="1" s="1"/>
  <c r="Q187" i="1" l="1"/>
  <c r="J188" i="1"/>
  <c r="F189" i="1"/>
  <c r="M189" i="1" s="1"/>
  <c r="N189" i="1" s="1"/>
  <c r="G189" i="1"/>
  <c r="O189" i="1"/>
  <c r="L190" i="1"/>
  <c r="B190" i="1"/>
  <c r="C190" i="1" s="1"/>
  <c r="I188" i="1"/>
  <c r="Q188" i="1" s="1"/>
  <c r="H188" i="1"/>
  <c r="P188" i="1" s="1"/>
  <c r="J189" i="1" l="1"/>
  <c r="L191" i="1"/>
  <c r="B191" i="1"/>
  <c r="C191" i="1" s="1"/>
  <c r="F190" i="1"/>
  <c r="M190" i="1" s="1"/>
  <c r="N190" i="1" s="1"/>
  <c r="G190" i="1"/>
  <c r="I189" i="1"/>
  <c r="Q189" i="1" s="1"/>
  <c r="H189" i="1"/>
  <c r="P189" i="1" s="1"/>
  <c r="J190" i="1" l="1"/>
  <c r="F191" i="1"/>
  <c r="M191" i="1" s="1"/>
  <c r="N191" i="1" s="1"/>
  <c r="G191" i="1"/>
  <c r="I190" i="1"/>
  <c r="Q190" i="1" s="1"/>
  <c r="H190" i="1"/>
  <c r="P190" i="1" s="1"/>
  <c r="B192" i="1"/>
  <c r="C192" i="1" s="1"/>
  <c r="L192" i="1"/>
  <c r="O190" i="1"/>
  <c r="O191" i="1" s="1"/>
  <c r="J191" i="1" l="1"/>
  <c r="F192" i="1"/>
  <c r="M192" i="1" s="1"/>
  <c r="N192" i="1" s="1"/>
  <c r="G192" i="1"/>
  <c r="O192" i="1"/>
  <c r="L193" i="1"/>
  <c r="B193" i="1"/>
  <c r="C193" i="1" s="1"/>
  <c r="I191" i="1"/>
  <c r="Q191" i="1" s="1"/>
  <c r="H191" i="1"/>
  <c r="P191" i="1" s="1"/>
  <c r="J192" i="1" l="1"/>
  <c r="B194" i="1"/>
  <c r="C194" i="1" s="1"/>
  <c r="L194" i="1"/>
  <c r="G193" i="1"/>
  <c r="F193" i="1"/>
  <c r="M193" i="1" s="1"/>
  <c r="N193" i="1" s="1"/>
  <c r="I192" i="1"/>
  <c r="Q192" i="1" s="1"/>
  <c r="H192" i="1"/>
  <c r="P192" i="1" s="1"/>
  <c r="J193" i="1" l="1"/>
  <c r="G194" i="1"/>
  <c r="F194" i="1"/>
  <c r="M194" i="1" s="1"/>
  <c r="N194" i="1" s="1"/>
  <c r="I193" i="1"/>
  <c r="Q193" i="1" s="1"/>
  <c r="H193" i="1"/>
  <c r="P193" i="1" s="1"/>
  <c r="B195" i="1"/>
  <c r="C195" i="1" s="1"/>
  <c r="L195" i="1"/>
  <c r="O193" i="1"/>
  <c r="G195" i="1" l="1"/>
  <c r="F195" i="1"/>
  <c r="M195" i="1" s="1"/>
  <c r="N195" i="1" s="1"/>
  <c r="J194" i="1"/>
  <c r="O194" i="1"/>
  <c r="O195" i="1" s="1"/>
  <c r="I194" i="1"/>
  <c r="H194" i="1"/>
  <c r="P194" i="1" s="1"/>
  <c r="B196" i="1"/>
  <c r="C196" i="1" s="1"/>
  <c r="L196" i="1"/>
  <c r="Q194" i="1" l="1"/>
  <c r="G196" i="1"/>
  <c r="F196" i="1"/>
  <c r="M196" i="1" s="1"/>
  <c r="N196" i="1" s="1"/>
  <c r="J195" i="1"/>
  <c r="O196" i="1"/>
  <c r="B197" i="1"/>
  <c r="C197" i="1" s="1"/>
  <c r="L197" i="1"/>
  <c r="I195" i="1"/>
  <c r="Q195" i="1" s="1"/>
  <c r="H195" i="1"/>
  <c r="P195" i="1" s="1"/>
  <c r="J196" i="1" l="1"/>
  <c r="G197" i="1"/>
  <c r="F197" i="1"/>
  <c r="M197" i="1" s="1"/>
  <c r="N197" i="1" s="1"/>
  <c r="L198" i="1"/>
  <c r="B198" i="1"/>
  <c r="C198" i="1" s="1"/>
  <c r="O197" i="1"/>
  <c r="I196" i="1"/>
  <c r="H196" i="1"/>
  <c r="P196" i="1" s="1"/>
  <c r="Q196" i="1" l="1"/>
  <c r="G198" i="1"/>
  <c r="F198" i="1"/>
  <c r="M198" i="1" s="1"/>
  <c r="N198" i="1" s="1"/>
  <c r="B199" i="1"/>
  <c r="C199" i="1" s="1"/>
  <c r="L199" i="1"/>
  <c r="I197" i="1"/>
  <c r="H197" i="1"/>
  <c r="P197" i="1" s="1"/>
  <c r="J197" i="1"/>
  <c r="Q197" i="1" l="1"/>
  <c r="J198" i="1"/>
  <c r="G199" i="1"/>
  <c r="F199" i="1"/>
  <c r="M199" i="1" s="1"/>
  <c r="N199" i="1" s="1"/>
  <c r="O198" i="1"/>
  <c r="B200" i="1"/>
  <c r="C200" i="1" s="1"/>
  <c r="L200" i="1"/>
  <c r="I198" i="1"/>
  <c r="Q198" i="1" s="1"/>
  <c r="H198" i="1"/>
  <c r="P198" i="1" s="1"/>
  <c r="O199" i="1" l="1"/>
  <c r="J199" i="1"/>
  <c r="G200" i="1"/>
  <c r="F200" i="1"/>
  <c r="M200" i="1" s="1"/>
  <c r="N200" i="1" s="1"/>
  <c r="I199" i="1"/>
  <c r="Q199" i="1" s="1"/>
  <c r="H199" i="1"/>
  <c r="P199" i="1" s="1"/>
  <c r="L201" i="1"/>
  <c r="B201" i="1"/>
  <c r="C201" i="1" s="1"/>
  <c r="O200" i="1" l="1"/>
  <c r="J200" i="1"/>
  <c r="G201" i="1"/>
  <c r="F201" i="1"/>
  <c r="M201" i="1" s="1"/>
  <c r="N201" i="1" s="1"/>
  <c r="I200" i="1"/>
  <c r="Q200" i="1" s="1"/>
  <c r="H200" i="1"/>
  <c r="P200" i="1" s="1"/>
  <c r="L202" i="1"/>
  <c r="B202" i="1"/>
  <c r="C202" i="1" s="1"/>
  <c r="O201" i="1" l="1"/>
  <c r="J201" i="1"/>
  <c r="G202" i="1"/>
  <c r="F202" i="1"/>
  <c r="M202" i="1" s="1"/>
  <c r="N202" i="1" s="1"/>
  <c r="I201" i="1"/>
  <c r="Q201" i="1" s="1"/>
  <c r="H201" i="1"/>
  <c r="P201" i="1" s="1"/>
  <c r="B203" i="1"/>
  <c r="C203" i="1" s="1"/>
  <c r="L203" i="1"/>
  <c r="J202" i="1" l="1"/>
  <c r="G203" i="1"/>
  <c r="F203" i="1"/>
  <c r="M203" i="1" s="1"/>
  <c r="N203" i="1" s="1"/>
  <c r="O202" i="1"/>
  <c r="O203" i="1" s="1"/>
  <c r="L204" i="1"/>
  <c r="B204" i="1"/>
  <c r="C204" i="1" s="1"/>
  <c r="I202" i="1"/>
  <c r="Q202" i="1" s="1"/>
  <c r="H202" i="1"/>
  <c r="P202" i="1" s="1"/>
  <c r="G204" i="1" l="1"/>
  <c r="F204" i="1"/>
  <c r="M204" i="1" s="1"/>
  <c r="N204" i="1" s="1"/>
  <c r="L205" i="1"/>
  <c r="B205" i="1"/>
  <c r="C205" i="1" s="1"/>
  <c r="J203" i="1"/>
  <c r="O204" i="1"/>
  <c r="I203" i="1"/>
  <c r="H203" i="1"/>
  <c r="P203" i="1" s="1"/>
  <c r="Q203" i="1" l="1"/>
  <c r="G205" i="1"/>
  <c r="F205" i="1"/>
  <c r="M205" i="1" s="1"/>
  <c r="N205" i="1" s="1"/>
  <c r="J204" i="1"/>
  <c r="B206" i="1"/>
  <c r="C206" i="1" s="1"/>
  <c r="L206" i="1"/>
  <c r="I204" i="1"/>
  <c r="Q204" i="1" s="1"/>
  <c r="H204" i="1"/>
  <c r="P204" i="1" s="1"/>
  <c r="O205" i="1" l="1"/>
  <c r="J205" i="1"/>
  <c r="G206" i="1"/>
  <c r="F206" i="1"/>
  <c r="M206" i="1" s="1"/>
  <c r="N206" i="1" s="1"/>
  <c r="O206" i="1"/>
  <c r="I205" i="1"/>
  <c r="Q205" i="1" s="1"/>
  <c r="H205" i="1"/>
  <c r="P205" i="1" s="1"/>
  <c r="L207" i="1"/>
  <c r="B207" i="1"/>
  <c r="C207" i="1" s="1"/>
  <c r="G207" i="1" l="1"/>
  <c r="F207" i="1"/>
  <c r="M207" i="1" s="1"/>
  <c r="N207" i="1" s="1"/>
  <c r="J206" i="1"/>
  <c r="O207" i="1"/>
  <c r="I206" i="1"/>
  <c r="H206" i="1"/>
  <c r="P206" i="1" s="1"/>
  <c r="L208" i="1"/>
  <c r="B208" i="1"/>
  <c r="C208" i="1" s="1"/>
  <c r="Q206" i="1" l="1"/>
  <c r="F208" i="1"/>
  <c r="M208" i="1" s="1"/>
  <c r="N208" i="1" s="1"/>
  <c r="G208" i="1"/>
  <c r="J207" i="1"/>
  <c r="I207" i="1"/>
  <c r="Q207" i="1" s="1"/>
  <c r="H207" i="1"/>
  <c r="P207" i="1" s="1"/>
  <c r="B209" i="1"/>
  <c r="C209" i="1" s="1"/>
  <c r="L209" i="1"/>
  <c r="G209" i="1" l="1"/>
  <c r="F209" i="1"/>
  <c r="M209" i="1" s="1"/>
  <c r="N209" i="1" s="1"/>
  <c r="J208" i="1"/>
  <c r="O208" i="1"/>
  <c r="O209" i="1" s="1"/>
  <c r="H208" i="1"/>
  <c r="P208" i="1" s="1"/>
  <c r="I208" i="1"/>
  <c r="B210" i="1"/>
  <c r="C210" i="1" s="1"/>
  <c r="L210" i="1"/>
  <c r="Q208" i="1" l="1"/>
  <c r="J209" i="1"/>
  <c r="F210" i="1"/>
  <c r="M210" i="1" s="1"/>
  <c r="N210" i="1" s="1"/>
  <c r="G210" i="1"/>
  <c r="O210" i="1"/>
  <c r="L211" i="1"/>
  <c r="B211" i="1"/>
  <c r="C211" i="1" s="1"/>
  <c r="H209" i="1"/>
  <c r="P209" i="1" s="1"/>
  <c r="I209" i="1"/>
  <c r="Q209" i="1" s="1"/>
  <c r="G211" i="1" l="1"/>
  <c r="F211" i="1"/>
  <c r="M211" i="1" s="1"/>
  <c r="N211" i="1" s="1"/>
  <c r="J210" i="1"/>
  <c r="L212" i="1"/>
  <c r="B212" i="1"/>
  <c r="C212" i="1" s="1"/>
  <c r="I210" i="1"/>
  <c r="Q210" i="1" s="1"/>
  <c r="H210" i="1"/>
  <c r="P210" i="1" s="1"/>
  <c r="O211" i="1"/>
  <c r="J211" i="1" l="1"/>
  <c r="F212" i="1"/>
  <c r="M212" i="1" s="1"/>
  <c r="N212" i="1" s="1"/>
  <c r="G212" i="1"/>
  <c r="L213" i="1"/>
  <c r="B213" i="1"/>
  <c r="C213" i="1" s="1"/>
  <c r="O212" i="1"/>
  <c r="H211" i="1"/>
  <c r="P211" i="1" s="1"/>
  <c r="I211" i="1"/>
  <c r="Q211" i="1" s="1"/>
  <c r="J212" i="1" l="1"/>
  <c r="G213" i="1"/>
  <c r="F213" i="1"/>
  <c r="M213" i="1" s="1"/>
  <c r="N213" i="1" s="1"/>
  <c r="O213" i="1"/>
  <c r="L214" i="1"/>
  <c r="B214" i="1"/>
  <c r="C214" i="1" s="1"/>
  <c r="H212" i="1"/>
  <c r="P212" i="1" s="1"/>
  <c r="I212" i="1"/>
  <c r="Q212" i="1" l="1"/>
  <c r="F214" i="1"/>
  <c r="M214" i="1" s="1"/>
  <c r="N214" i="1" s="1"/>
  <c r="G214" i="1"/>
  <c r="L215" i="1"/>
  <c r="B215" i="1"/>
  <c r="C215" i="1" s="1"/>
  <c r="O214" i="1"/>
  <c r="H213" i="1"/>
  <c r="P213" i="1" s="1"/>
  <c r="I213" i="1"/>
  <c r="J213" i="1"/>
  <c r="Q213" i="1" s="1"/>
  <c r="J214" i="1" l="1"/>
  <c r="F215" i="1"/>
  <c r="M215" i="1" s="1"/>
  <c r="N215" i="1" s="1"/>
  <c r="G215" i="1"/>
  <c r="L216" i="1"/>
  <c r="B216" i="1"/>
  <c r="C216" i="1" s="1"/>
  <c r="I214" i="1"/>
  <c r="Q214" i="1" s="1"/>
  <c r="H214" i="1"/>
  <c r="P214" i="1" s="1"/>
  <c r="O215" i="1" l="1"/>
  <c r="F216" i="1"/>
  <c r="M216" i="1" s="1"/>
  <c r="N216" i="1" s="1"/>
  <c r="G216" i="1"/>
  <c r="J215" i="1"/>
  <c r="B217" i="1"/>
  <c r="C217" i="1" s="1"/>
  <c r="L217" i="1"/>
  <c r="I215" i="1"/>
  <c r="Q215" i="1" s="1"/>
  <c r="H215" i="1"/>
  <c r="P215" i="1" s="1"/>
  <c r="G217" i="1" l="1"/>
  <c r="F217" i="1"/>
  <c r="M217" i="1" s="1"/>
  <c r="N217" i="1" s="1"/>
  <c r="J216" i="1"/>
  <c r="B218" i="1"/>
  <c r="C218" i="1" s="1"/>
  <c r="L218" i="1"/>
  <c r="I216" i="1"/>
  <c r="H216" i="1"/>
  <c r="P216" i="1" s="1"/>
  <c r="O216" i="1"/>
  <c r="O217" i="1" s="1"/>
  <c r="Q216" i="1" l="1"/>
  <c r="F218" i="1"/>
  <c r="M218" i="1" s="1"/>
  <c r="N218" i="1" s="1"/>
  <c r="G218" i="1"/>
  <c r="J217" i="1"/>
  <c r="L219" i="1"/>
  <c r="B219" i="1"/>
  <c r="C219" i="1" s="1"/>
  <c r="H217" i="1"/>
  <c r="P217" i="1" s="1"/>
  <c r="I217" i="1"/>
  <c r="Q217" i="1" l="1"/>
  <c r="F219" i="1"/>
  <c r="M219" i="1" s="1"/>
  <c r="N219" i="1" s="1"/>
  <c r="G219" i="1"/>
  <c r="J218" i="1"/>
  <c r="L220" i="1"/>
  <c r="B220" i="1"/>
  <c r="C220" i="1" s="1"/>
  <c r="I218" i="1"/>
  <c r="H218" i="1"/>
  <c r="P218" i="1" s="1"/>
  <c r="O218" i="1"/>
  <c r="Q218" i="1" l="1"/>
  <c r="F220" i="1"/>
  <c r="M220" i="1" s="1"/>
  <c r="N220" i="1" s="1"/>
  <c r="G220" i="1"/>
  <c r="J219" i="1"/>
  <c r="B221" i="1"/>
  <c r="C221" i="1" s="1"/>
  <c r="L221" i="1"/>
  <c r="O219" i="1"/>
  <c r="O220" i="1" s="1"/>
  <c r="I219" i="1"/>
  <c r="H219" i="1"/>
  <c r="P219" i="1" s="1"/>
  <c r="Q219" i="1" l="1"/>
  <c r="G221" i="1"/>
  <c r="F221" i="1"/>
  <c r="M221" i="1" s="1"/>
  <c r="N221" i="1" s="1"/>
  <c r="J220" i="1"/>
  <c r="I220" i="1"/>
  <c r="H220" i="1"/>
  <c r="P220" i="1" s="1"/>
  <c r="B222" i="1"/>
  <c r="C222" i="1" s="1"/>
  <c r="L222" i="1"/>
  <c r="O221" i="1"/>
  <c r="Q220" i="1" l="1"/>
  <c r="J221" i="1"/>
  <c r="G222" i="1"/>
  <c r="F222" i="1"/>
  <c r="M222" i="1" s="1"/>
  <c r="N222" i="1" s="1"/>
  <c r="O222" i="1"/>
  <c r="L223" i="1"/>
  <c r="B223" i="1"/>
  <c r="C223" i="1" s="1"/>
  <c r="H221" i="1"/>
  <c r="P221" i="1" s="1"/>
  <c r="I221" i="1"/>
  <c r="Q221" i="1" s="1"/>
  <c r="F223" i="1" l="1"/>
  <c r="M223" i="1" s="1"/>
  <c r="N223" i="1" s="1"/>
  <c r="G223" i="1"/>
  <c r="J222" i="1"/>
  <c r="O223" i="1"/>
  <c r="L224" i="1"/>
  <c r="B224" i="1"/>
  <c r="C224" i="1" s="1"/>
  <c r="I222" i="1"/>
  <c r="H222" i="1"/>
  <c r="P222" i="1" s="1"/>
  <c r="Q222" i="1" l="1"/>
  <c r="F224" i="1"/>
  <c r="M224" i="1" s="1"/>
  <c r="N224" i="1" s="1"/>
  <c r="G224" i="1"/>
  <c r="J223" i="1"/>
  <c r="L225" i="1"/>
  <c r="B225" i="1"/>
  <c r="C225" i="1" s="1"/>
  <c r="H223" i="1"/>
  <c r="P223" i="1" s="1"/>
  <c r="I223" i="1"/>
  <c r="Q223" i="1" l="1"/>
  <c r="G225" i="1"/>
  <c r="F225" i="1"/>
  <c r="M225" i="1" s="1"/>
  <c r="N225" i="1" s="1"/>
  <c r="J224" i="1"/>
  <c r="B226" i="1"/>
  <c r="C226" i="1" s="1"/>
  <c r="L226" i="1"/>
  <c r="I224" i="1"/>
  <c r="H224" i="1"/>
  <c r="P224" i="1" s="1"/>
  <c r="O224" i="1"/>
  <c r="Q224" i="1" l="1"/>
  <c r="J225" i="1"/>
  <c r="G226" i="1"/>
  <c r="F226" i="1"/>
  <c r="M226" i="1" s="1"/>
  <c r="N226" i="1" s="1"/>
  <c r="L227" i="1"/>
  <c r="B227" i="1"/>
  <c r="C227" i="1" s="1"/>
  <c r="O225" i="1"/>
  <c r="H225" i="1"/>
  <c r="P225" i="1" s="1"/>
  <c r="I225" i="1"/>
  <c r="Q225" i="1" s="1"/>
  <c r="G227" i="1" l="1"/>
  <c r="F227" i="1"/>
  <c r="M227" i="1" s="1"/>
  <c r="N227" i="1" s="1"/>
  <c r="J226" i="1"/>
  <c r="L228" i="1"/>
  <c r="B228" i="1"/>
  <c r="C228" i="1" s="1"/>
  <c r="I226" i="1"/>
  <c r="H226" i="1"/>
  <c r="P226" i="1" s="1"/>
  <c r="O226" i="1"/>
  <c r="Q226" i="1" l="1"/>
  <c r="F228" i="1"/>
  <c r="M228" i="1" s="1"/>
  <c r="N228" i="1" s="1"/>
  <c r="G228" i="1"/>
  <c r="J227" i="1"/>
  <c r="O227" i="1"/>
  <c r="O228" i="1" s="1"/>
  <c r="I227" i="1"/>
  <c r="H227" i="1"/>
  <c r="P227" i="1" s="1"/>
  <c r="B229" i="1"/>
  <c r="C229" i="1" s="1"/>
  <c r="L229" i="1"/>
  <c r="Q227" i="1" l="1"/>
  <c r="G229" i="1"/>
  <c r="F229" i="1"/>
  <c r="M229" i="1" s="1"/>
  <c r="N229" i="1" s="1"/>
  <c r="J228" i="1"/>
  <c r="O229" i="1"/>
  <c r="L230" i="1"/>
  <c r="B230" i="1"/>
  <c r="C230" i="1" s="1"/>
  <c r="I228" i="1"/>
  <c r="H228" i="1"/>
  <c r="P228" i="1" s="1"/>
  <c r="Q228" i="1" l="1"/>
  <c r="G230" i="1"/>
  <c r="F230" i="1"/>
  <c r="M230" i="1" s="1"/>
  <c r="N230" i="1" s="1"/>
  <c r="J229" i="1"/>
  <c r="H229" i="1"/>
  <c r="P229" i="1" s="1"/>
  <c r="I229" i="1"/>
  <c r="L231" i="1"/>
  <c r="B231" i="1"/>
  <c r="C231" i="1" s="1"/>
  <c r="O230" i="1" l="1"/>
  <c r="Q229" i="1"/>
  <c r="F231" i="1"/>
  <c r="M231" i="1" s="1"/>
  <c r="N231" i="1" s="1"/>
  <c r="G231" i="1"/>
  <c r="J230" i="1"/>
  <c r="O231" i="1"/>
  <c r="L232" i="1"/>
  <c r="B232" i="1"/>
  <c r="C232" i="1" s="1"/>
  <c r="I230" i="1"/>
  <c r="Q230" i="1" s="1"/>
  <c r="H230" i="1"/>
  <c r="P230" i="1" s="1"/>
  <c r="G232" i="1" l="1"/>
  <c r="F232" i="1"/>
  <c r="M232" i="1" s="1"/>
  <c r="N232" i="1" s="1"/>
  <c r="J231" i="1"/>
  <c r="O232" i="1"/>
  <c r="I231" i="1"/>
  <c r="H231" i="1"/>
  <c r="P231" i="1" s="1"/>
  <c r="B233" i="1"/>
  <c r="C233" i="1" s="1"/>
  <c r="L233" i="1"/>
  <c r="Q231" i="1" l="1"/>
  <c r="G233" i="1"/>
  <c r="F233" i="1"/>
  <c r="M233" i="1" s="1"/>
  <c r="N233" i="1" s="1"/>
  <c r="J232" i="1"/>
  <c r="L234" i="1"/>
  <c r="B234" i="1"/>
  <c r="C234" i="1" s="1"/>
  <c r="O233" i="1"/>
  <c r="I232" i="1"/>
  <c r="Q232" i="1" s="1"/>
  <c r="H232" i="1"/>
  <c r="P232" i="1" s="1"/>
  <c r="G234" i="1" l="1"/>
  <c r="F234" i="1"/>
  <c r="M234" i="1" s="1"/>
  <c r="N234" i="1" s="1"/>
  <c r="L235" i="1"/>
  <c r="B235" i="1"/>
  <c r="C235" i="1" s="1"/>
  <c r="J233" i="1"/>
  <c r="I233" i="1"/>
  <c r="H233" i="1"/>
  <c r="P233" i="1" s="1"/>
  <c r="Q233" i="1" l="1"/>
  <c r="J234" i="1"/>
  <c r="G235" i="1"/>
  <c r="F235" i="1"/>
  <c r="M235" i="1" s="1"/>
  <c r="N235" i="1" s="1"/>
  <c r="B236" i="1"/>
  <c r="C236" i="1" s="1"/>
  <c r="L236" i="1"/>
  <c r="O234" i="1"/>
  <c r="I234" i="1"/>
  <c r="Q234" i="1" s="1"/>
  <c r="H234" i="1"/>
  <c r="P234" i="1" s="1"/>
  <c r="G236" i="1" l="1"/>
  <c r="F236" i="1"/>
  <c r="M236" i="1" s="1"/>
  <c r="N236" i="1" s="1"/>
  <c r="J235" i="1"/>
  <c r="B237" i="1"/>
  <c r="C237" i="1" s="1"/>
  <c r="L237" i="1"/>
  <c r="I235" i="1"/>
  <c r="H235" i="1"/>
  <c r="P235" i="1" s="1"/>
  <c r="O235" i="1"/>
  <c r="O236" i="1" s="1"/>
  <c r="Q235" i="1" l="1"/>
  <c r="G237" i="1"/>
  <c r="F237" i="1"/>
  <c r="M237" i="1" s="1"/>
  <c r="N237" i="1" s="1"/>
  <c r="J236" i="1"/>
  <c r="B238" i="1"/>
  <c r="C238" i="1" s="1"/>
  <c r="L238" i="1"/>
  <c r="I236" i="1"/>
  <c r="H236" i="1"/>
  <c r="P236" i="1" s="1"/>
  <c r="Q236" i="1" l="1"/>
  <c r="J237" i="1"/>
  <c r="G238" i="1"/>
  <c r="F238" i="1"/>
  <c r="M238" i="1" s="1"/>
  <c r="N238" i="1" s="1"/>
  <c r="L239" i="1"/>
  <c r="B239" i="1"/>
  <c r="C239" i="1" s="1"/>
  <c r="O237" i="1"/>
  <c r="I237" i="1"/>
  <c r="Q237" i="1" s="1"/>
  <c r="H237" i="1"/>
  <c r="P237" i="1" s="1"/>
  <c r="J238" i="1" l="1"/>
  <c r="G239" i="1"/>
  <c r="F239" i="1"/>
  <c r="M239" i="1" s="1"/>
  <c r="N239" i="1" s="1"/>
  <c r="I238" i="1"/>
  <c r="Q238" i="1" s="1"/>
  <c r="H238" i="1"/>
  <c r="P238" i="1" s="1"/>
  <c r="B240" i="1"/>
  <c r="C240" i="1" s="1"/>
  <c r="L240" i="1"/>
  <c r="O238" i="1"/>
  <c r="G240" i="1" l="1"/>
  <c r="F240" i="1"/>
  <c r="M240" i="1" s="1"/>
  <c r="N240" i="1" s="1"/>
  <c r="J239" i="1"/>
  <c r="O239" i="1"/>
  <c r="O240" i="1" s="1"/>
  <c r="I239" i="1"/>
  <c r="H239" i="1"/>
  <c r="P239" i="1" s="1"/>
  <c r="B241" i="1"/>
  <c r="C241" i="1" s="1"/>
  <c r="L241" i="1"/>
  <c r="Q239" i="1" l="1"/>
  <c r="G241" i="1"/>
  <c r="F241" i="1"/>
  <c r="M241" i="1" s="1"/>
  <c r="N241" i="1" s="1"/>
  <c r="J240" i="1"/>
  <c r="O241" i="1"/>
  <c r="I240" i="1"/>
  <c r="H240" i="1"/>
  <c r="P240" i="1" s="1"/>
  <c r="L242" i="1"/>
  <c r="B242" i="1"/>
  <c r="C242" i="1" s="1"/>
  <c r="Q240" i="1" l="1"/>
  <c r="J241" i="1"/>
  <c r="G242" i="1"/>
  <c r="F242" i="1"/>
  <c r="M242" i="1" s="1"/>
  <c r="N242" i="1" s="1"/>
  <c r="O242" i="1"/>
  <c r="L243" i="1"/>
  <c r="B243" i="1"/>
  <c r="C243" i="1" s="1"/>
  <c r="I241" i="1"/>
  <c r="Q241" i="1" s="1"/>
  <c r="H241" i="1"/>
  <c r="P241" i="1" s="1"/>
  <c r="J242" i="1" l="1"/>
  <c r="G243" i="1"/>
  <c r="F243" i="1"/>
  <c r="M243" i="1" s="1"/>
  <c r="N243" i="1" s="1"/>
  <c r="I242" i="1"/>
  <c r="Q242" i="1" s="1"/>
  <c r="H242" i="1"/>
  <c r="P242" i="1" s="1"/>
  <c r="B244" i="1"/>
  <c r="C244" i="1" s="1"/>
  <c r="L244" i="1"/>
  <c r="O243" i="1" l="1"/>
  <c r="J243" i="1"/>
  <c r="G244" i="1"/>
  <c r="F244" i="1"/>
  <c r="M244" i="1" s="1"/>
  <c r="N244" i="1" s="1"/>
  <c r="B245" i="1"/>
  <c r="C245" i="1" s="1"/>
  <c r="L245" i="1"/>
  <c r="I243" i="1"/>
  <c r="Q243" i="1" s="1"/>
  <c r="H243" i="1"/>
  <c r="P243" i="1" s="1"/>
  <c r="O244" i="1" l="1"/>
  <c r="J244" i="1"/>
  <c r="G245" i="1"/>
  <c r="F245" i="1"/>
  <c r="M245" i="1" s="1"/>
  <c r="N245" i="1" s="1"/>
  <c r="I244" i="1"/>
  <c r="Q244" i="1" s="1"/>
  <c r="H244" i="1"/>
  <c r="P244" i="1" s="1"/>
  <c r="B246" i="1"/>
  <c r="C246" i="1" s="1"/>
  <c r="L246" i="1"/>
  <c r="G246" i="1" l="1"/>
  <c r="F246" i="1"/>
  <c r="M246" i="1" s="1"/>
  <c r="N246" i="1" s="1"/>
  <c r="J245" i="1"/>
  <c r="L247" i="1"/>
  <c r="B247" i="1"/>
  <c r="C247" i="1" s="1"/>
  <c r="I245" i="1"/>
  <c r="H245" i="1"/>
  <c r="P245" i="1" s="1"/>
  <c r="O245" i="1"/>
  <c r="O246" i="1" s="1"/>
  <c r="Q245" i="1" l="1"/>
  <c r="G247" i="1"/>
  <c r="F247" i="1"/>
  <c r="M247" i="1" s="1"/>
  <c r="N247" i="1" s="1"/>
  <c r="J246" i="1"/>
  <c r="B248" i="1"/>
  <c r="C248" i="1" s="1"/>
  <c r="L248" i="1"/>
  <c r="I246" i="1"/>
  <c r="H246" i="1"/>
  <c r="P246" i="1" s="1"/>
  <c r="Q246" i="1" l="1"/>
  <c r="J247" i="1"/>
  <c r="G248" i="1"/>
  <c r="F248" i="1"/>
  <c r="M248" i="1" s="1"/>
  <c r="N248" i="1" s="1"/>
  <c r="B249" i="1"/>
  <c r="C249" i="1" s="1"/>
  <c r="L249" i="1"/>
  <c r="O247" i="1"/>
  <c r="I247" i="1"/>
  <c r="Q247" i="1" s="1"/>
  <c r="H247" i="1"/>
  <c r="P247" i="1" s="1"/>
  <c r="J248" i="1" l="1"/>
  <c r="G249" i="1"/>
  <c r="F249" i="1"/>
  <c r="M249" i="1" s="1"/>
  <c r="N249" i="1" s="1"/>
  <c r="I248" i="1"/>
  <c r="Q248" i="1" s="1"/>
  <c r="H248" i="1"/>
  <c r="P248" i="1" s="1"/>
  <c r="L250" i="1"/>
  <c r="B250" i="1"/>
  <c r="C250" i="1" s="1"/>
  <c r="O248" i="1"/>
  <c r="G250" i="1" l="1"/>
  <c r="F250" i="1"/>
  <c r="M250" i="1" s="1"/>
  <c r="N250" i="1" s="1"/>
  <c r="J249" i="1"/>
  <c r="B251" i="1"/>
  <c r="C251" i="1" s="1"/>
  <c r="L251" i="1"/>
  <c r="O249" i="1"/>
  <c r="I249" i="1"/>
  <c r="H249" i="1"/>
  <c r="P249" i="1" s="1"/>
  <c r="Q249" i="1" l="1"/>
  <c r="J250" i="1"/>
  <c r="G251" i="1"/>
  <c r="F251" i="1"/>
  <c r="M251" i="1" s="1"/>
  <c r="N251" i="1" s="1"/>
  <c r="B252" i="1"/>
  <c r="C252" i="1" s="1"/>
  <c r="L252" i="1"/>
  <c r="O250" i="1"/>
  <c r="I250" i="1"/>
  <c r="Q250" i="1" s="1"/>
  <c r="H250" i="1"/>
  <c r="P250" i="1" s="1"/>
  <c r="J251" i="1" l="1"/>
  <c r="G252" i="1"/>
  <c r="F252" i="1"/>
  <c r="M252" i="1" s="1"/>
  <c r="N252" i="1" s="1"/>
  <c r="I251" i="1"/>
  <c r="Q251" i="1" s="1"/>
  <c r="H251" i="1"/>
  <c r="P251" i="1" s="1"/>
  <c r="B253" i="1"/>
  <c r="C253" i="1" s="1"/>
  <c r="L253" i="1"/>
  <c r="O251" i="1"/>
  <c r="G253" i="1" l="1"/>
  <c r="F253" i="1"/>
  <c r="M253" i="1" s="1"/>
  <c r="N253" i="1" s="1"/>
  <c r="J252" i="1"/>
  <c r="I252" i="1"/>
  <c r="H252" i="1"/>
  <c r="P252" i="1" s="1"/>
  <c r="O252" i="1"/>
  <c r="B254" i="1"/>
  <c r="C254" i="1" s="1"/>
  <c r="L254" i="1"/>
  <c r="Q252" i="1" l="1"/>
  <c r="G254" i="1"/>
  <c r="F254" i="1"/>
  <c r="M254" i="1" s="1"/>
  <c r="N254" i="1" s="1"/>
  <c r="J253" i="1"/>
  <c r="B255" i="1"/>
  <c r="C255" i="1" s="1"/>
  <c r="L255" i="1"/>
  <c r="O253" i="1"/>
  <c r="I253" i="1"/>
  <c r="Q253" i="1" s="1"/>
  <c r="H253" i="1"/>
  <c r="P253" i="1" s="1"/>
  <c r="G255" i="1" l="1"/>
  <c r="F255" i="1"/>
  <c r="M255" i="1" s="1"/>
  <c r="N255" i="1" s="1"/>
  <c r="B256" i="1"/>
  <c r="C256" i="1" s="1"/>
  <c r="L256" i="1"/>
  <c r="J254" i="1"/>
  <c r="I254" i="1"/>
  <c r="H254" i="1"/>
  <c r="P254" i="1" s="1"/>
  <c r="O254" i="1"/>
  <c r="Q254" i="1" l="1"/>
  <c r="G256" i="1"/>
  <c r="F256" i="1"/>
  <c r="M256" i="1" s="1"/>
  <c r="N256" i="1" s="1"/>
  <c r="J255" i="1"/>
  <c r="B257" i="1"/>
  <c r="C257" i="1" s="1"/>
  <c r="L257" i="1"/>
  <c r="O255" i="1"/>
  <c r="I255" i="1"/>
  <c r="Q255" i="1" s="1"/>
  <c r="H255" i="1"/>
  <c r="P255" i="1" s="1"/>
  <c r="G257" i="1" l="1"/>
  <c r="F257" i="1"/>
  <c r="M257" i="1" s="1"/>
  <c r="N257" i="1" s="1"/>
  <c r="B258" i="1"/>
  <c r="C258" i="1" s="1"/>
  <c r="L258" i="1"/>
  <c r="J256" i="1"/>
  <c r="O256" i="1"/>
  <c r="I256" i="1"/>
  <c r="H256" i="1"/>
  <c r="P256" i="1" s="1"/>
  <c r="Q256" i="1" l="1"/>
  <c r="G258" i="1"/>
  <c r="F258" i="1"/>
  <c r="M258" i="1" s="1"/>
  <c r="N258" i="1" s="1"/>
  <c r="J257" i="1"/>
  <c r="B259" i="1"/>
  <c r="C259" i="1" s="1"/>
  <c r="L259" i="1"/>
  <c r="O257" i="1"/>
  <c r="O258" i="1" s="1"/>
  <c r="I257" i="1"/>
  <c r="H257" i="1"/>
  <c r="P257" i="1" s="1"/>
  <c r="Q257" i="1" l="1"/>
  <c r="J258" i="1"/>
  <c r="G259" i="1"/>
  <c r="F259" i="1"/>
  <c r="M259" i="1" s="1"/>
  <c r="N259" i="1" s="1"/>
  <c r="B260" i="1"/>
  <c r="C260" i="1" s="1"/>
  <c r="L260" i="1"/>
  <c r="O259" i="1"/>
  <c r="I258" i="1"/>
  <c r="Q258" i="1" s="1"/>
  <c r="H258" i="1"/>
  <c r="P258" i="1" s="1"/>
  <c r="J259" i="1" l="1"/>
  <c r="G260" i="1"/>
  <c r="F260" i="1"/>
  <c r="M260" i="1" s="1"/>
  <c r="N260" i="1" s="1"/>
  <c r="O260" i="1"/>
  <c r="B261" i="1"/>
  <c r="C261" i="1" s="1"/>
  <c r="L261" i="1"/>
  <c r="I259" i="1"/>
  <c r="Q259" i="1" s="1"/>
  <c r="H259" i="1"/>
  <c r="P259" i="1" s="1"/>
  <c r="J260" i="1" l="1"/>
  <c r="G261" i="1"/>
  <c r="F261" i="1"/>
  <c r="M261" i="1" s="1"/>
  <c r="N261" i="1" s="1"/>
  <c r="B262" i="1"/>
  <c r="C262" i="1" s="1"/>
  <c r="L262" i="1"/>
  <c r="O261" i="1"/>
  <c r="I260" i="1"/>
  <c r="Q260" i="1" s="1"/>
  <c r="H260" i="1"/>
  <c r="P260" i="1" s="1"/>
  <c r="J261" i="1" l="1"/>
  <c r="G262" i="1"/>
  <c r="F262" i="1"/>
  <c r="M262" i="1" s="1"/>
  <c r="N262" i="1" s="1"/>
  <c r="O262" i="1"/>
  <c r="B263" i="1"/>
  <c r="C263" i="1" s="1"/>
  <c r="L263" i="1"/>
  <c r="I261" i="1"/>
  <c r="Q261" i="1" s="1"/>
  <c r="H261" i="1"/>
  <c r="P261" i="1" s="1"/>
  <c r="J262" i="1" l="1"/>
  <c r="G263" i="1"/>
  <c r="F263" i="1"/>
  <c r="M263" i="1" s="1"/>
  <c r="N263" i="1" s="1"/>
  <c r="B264" i="1"/>
  <c r="C264" i="1" s="1"/>
  <c r="L264" i="1"/>
  <c r="I262" i="1"/>
  <c r="Q262" i="1" s="1"/>
  <c r="H262" i="1"/>
  <c r="P262" i="1" s="1"/>
  <c r="G264" i="1" l="1"/>
  <c r="F264" i="1"/>
  <c r="M264" i="1" s="1"/>
  <c r="N264" i="1" s="1"/>
  <c r="J263" i="1"/>
  <c r="B265" i="1"/>
  <c r="C265" i="1" s="1"/>
  <c r="L265" i="1"/>
  <c r="O263" i="1"/>
  <c r="O264" i="1" s="1"/>
  <c r="I263" i="1"/>
  <c r="Q263" i="1" s="1"/>
  <c r="H263" i="1"/>
  <c r="P263" i="1" s="1"/>
  <c r="J264" i="1" l="1"/>
  <c r="G265" i="1"/>
  <c r="F265" i="1"/>
  <c r="M265" i="1" s="1"/>
  <c r="N265" i="1" s="1"/>
  <c r="B266" i="1"/>
  <c r="C266" i="1" s="1"/>
  <c r="L266" i="1"/>
  <c r="I264" i="1"/>
  <c r="Q264" i="1" s="1"/>
  <c r="H264" i="1"/>
  <c r="P264" i="1" s="1"/>
  <c r="O265" i="1" l="1"/>
  <c r="G266" i="1"/>
  <c r="F266" i="1"/>
  <c r="M266" i="1" s="1"/>
  <c r="N266" i="1" s="1"/>
  <c r="I265" i="1"/>
  <c r="H265" i="1"/>
  <c r="P265" i="1" s="1"/>
  <c r="J265" i="1"/>
  <c r="B267" i="1"/>
  <c r="C267" i="1" s="1"/>
  <c r="L267" i="1"/>
  <c r="O266" i="1" l="1"/>
  <c r="Q265" i="1"/>
  <c r="G267" i="1"/>
  <c r="F267" i="1"/>
  <c r="M267" i="1" s="1"/>
  <c r="N267" i="1" s="1"/>
  <c r="J266" i="1"/>
  <c r="O267" i="1"/>
  <c r="B268" i="1"/>
  <c r="C268" i="1" s="1"/>
  <c r="L268" i="1"/>
  <c r="I266" i="1"/>
  <c r="H266" i="1"/>
  <c r="P266" i="1" s="1"/>
  <c r="Q266" i="1" l="1"/>
  <c r="G268" i="1"/>
  <c r="F268" i="1"/>
  <c r="M268" i="1" s="1"/>
  <c r="N268" i="1" s="1"/>
  <c r="J267" i="1"/>
  <c r="O268" i="1"/>
  <c r="B269" i="1"/>
  <c r="C269" i="1" s="1"/>
  <c r="L269" i="1"/>
  <c r="I267" i="1"/>
  <c r="Q267" i="1" s="1"/>
  <c r="H267" i="1"/>
  <c r="P267" i="1" s="1"/>
  <c r="G269" i="1" l="1"/>
  <c r="F269" i="1"/>
  <c r="M269" i="1" s="1"/>
  <c r="N269" i="1" s="1"/>
  <c r="J268" i="1"/>
  <c r="B270" i="1"/>
  <c r="C270" i="1" s="1"/>
  <c r="L270" i="1"/>
  <c r="I268" i="1"/>
  <c r="Q268" i="1" s="1"/>
  <c r="H268" i="1"/>
  <c r="P268" i="1" s="1"/>
  <c r="O269" i="1" l="1"/>
  <c r="G270" i="1"/>
  <c r="F270" i="1"/>
  <c r="M270" i="1" s="1"/>
  <c r="N270" i="1" s="1"/>
  <c r="O270" i="1"/>
  <c r="J269" i="1"/>
  <c r="B271" i="1"/>
  <c r="C271" i="1" s="1"/>
  <c r="L271" i="1"/>
  <c r="I269" i="1"/>
  <c r="H269" i="1"/>
  <c r="P269" i="1" s="1"/>
  <c r="Q269" i="1" l="1"/>
  <c r="J270" i="1"/>
  <c r="G271" i="1"/>
  <c r="F271" i="1"/>
  <c r="M271" i="1" s="1"/>
  <c r="N271" i="1" s="1"/>
  <c r="B272" i="1"/>
  <c r="C272" i="1" s="1"/>
  <c r="L272" i="1"/>
  <c r="I270" i="1"/>
  <c r="Q270" i="1" s="1"/>
  <c r="H270" i="1"/>
  <c r="P270" i="1" s="1"/>
  <c r="O271" i="1" l="1"/>
  <c r="G272" i="1"/>
  <c r="F272" i="1"/>
  <c r="M272" i="1" s="1"/>
  <c r="N272" i="1" s="1"/>
  <c r="J271" i="1"/>
  <c r="L273" i="1"/>
  <c r="B273" i="1"/>
  <c r="C273" i="1" s="1"/>
  <c r="O272" i="1"/>
  <c r="I271" i="1"/>
  <c r="Q271" i="1" s="1"/>
  <c r="H271" i="1"/>
  <c r="P271" i="1" s="1"/>
  <c r="G273" i="1" l="1"/>
  <c r="F273" i="1"/>
  <c r="M273" i="1" s="1"/>
  <c r="N273" i="1" s="1"/>
  <c r="J272" i="1"/>
  <c r="O273" i="1"/>
  <c r="I272" i="1"/>
  <c r="Q272" i="1" s="1"/>
  <c r="H272" i="1"/>
  <c r="P272" i="1" s="1"/>
  <c r="I273" i="1" l="1"/>
  <c r="H273" i="1"/>
  <c r="P273" i="1" s="1"/>
  <c r="Q273" i="1" l="1"/>
</calcChain>
</file>

<file path=xl/sharedStrings.xml><?xml version="1.0" encoding="utf-8"?>
<sst xmlns="http://schemas.openxmlformats.org/spreadsheetml/2006/main" count="127" uniqueCount="88">
  <si>
    <t>Raise | Discount Network — Financial Model</t>
  </si>
  <si>
    <t>No credits · No escrow obligation · Perpetual monthly cycle · D6 + D7 must equal 100%</t>
  </si>
  <si>
    <t>EDITABLE ASSUMPTIONS</t>
  </si>
  <si>
    <t>EMPLOYEE GROWTH (new employees added/month, by year)</t>
  </si>
  <si>
    <t>DRAIN CAPACITY GROWTH (B2B capacity added/month, by year)</t>
  </si>
  <si>
    <t>Max Discount per Employee / Month ($)</t>
  </si>
  <si>
    <t>Year</t>
  </si>
  <si>
    <t>New Employees/Mo</t>
  </si>
  <si>
    <t>Drain Added ($)</t>
  </si>
  <si>
    <t>Monthly Membership Fee ($)</t>
  </si>
  <si>
    <t>Year 1</t>
  </si>
  <si>
    <t>Admin Fees (% of fee — paid to vendors)</t>
  </si>
  <si>
    <t>Year 2</t>
  </si>
  <si>
    <t>Raise Income (% of fee — kept by Raise)</t>
  </si>
  <si>
    <t>Year 3</t>
  </si>
  <si>
    <t>Employee Utilization Rate</t>
  </si>
  <si>
    <t>Year 4</t>
  </si>
  <si>
    <t>Annual Interest Rate (Raise Income Balance)</t>
  </si>
  <si>
    <t>Year 5</t>
  </si>
  <si>
    <t>Starting Drain Capacity ($)</t>
  </si>
  <si>
    <t>Year 6</t>
  </si>
  <si>
    <t>Employee Ceiling (max total)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</si>
  <si>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</si>
  <si>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</si>
  <si>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</si>
  <si>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</si>
  <si>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</si>
  <si>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</si>
  <si>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</si>
  <si>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</si>
  <si>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</si>
  <si>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</si>
  <si>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</si>
  <si>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</si>
  <si>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</si>
  <si>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</si>
  <si>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</si>
  <si>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</si>
  <si>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</si>
  <si>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</si>
  <si>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</si>
  <si>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Month</t>
  </si>
  <si>
    <t>New Employees
Added (R-gated)</t>
  </si>
  <si>
    <t>Cumulative
Employees</t>
  </si>
  <si>
    <t>Max Discount
/Emp ($)</t>
  </si>
  <si>
    <t>Utilization
Rate</t>
  </si>
  <si>
    <t>Monthly Discount
Volume ($)</t>
  </si>
  <si>
    <t>Membership
Revenue ($)</t>
  </si>
  <si>
    <t>Admin Fees ($)
to Vendors</t>
  </si>
  <si>
    <t>Raise
Income ($)</t>
  </si>
  <si>
    <t>Interest
Earned ($)</t>
  </si>
  <si>
    <t>Raise Income
Balance ($)</t>
  </si>
  <si>
    <t>Drain Cap
Added ($)</t>
  </si>
  <si>
    <t>Total Drain
Cap ($)</t>
  </si>
  <si>
    <t>R-Ratio</t>
  </si>
  <si>
    <t>CAP Tier</t>
  </si>
  <si>
    <t>Cumul Employee
Benefit ($)</t>
  </si>
  <si>
    <t>Cumul Admin
Fees Paid ($)</t>
  </si>
  <si>
    <t>Raise Discount Network — Scenario Comparison</t>
  </si>
  <si>
    <t>Conservative ($49) · Base ($79) · Optimistic ($99) · 50/50 fee split · 4% interest on Raise Income Balance</t>
  </si>
  <si>
    <t>Conservative
Year 1</t>
  </si>
  <si>
    <t>Conservative
Year 3</t>
  </si>
  <si>
    <t>Conservative
Year 5</t>
  </si>
  <si>
    <t>Conservative
Year 10</t>
  </si>
  <si>
    <t>Conservative
Year 20</t>
  </si>
  <si>
    <t>Base Case
Year 1</t>
  </si>
  <si>
    <t>Base Case
Year 3</t>
  </si>
  <si>
    <t>Base Case
Year 5</t>
  </si>
  <si>
    <t>Base Case
Year 10</t>
  </si>
  <si>
    <t>Base Case
Year 20</t>
  </si>
  <si>
    <t>Optimistic
Year 1</t>
  </si>
  <si>
    <t>Optimistic
Year 3</t>
  </si>
  <si>
    <t>Optimistic
Year 5</t>
  </si>
  <si>
    <t>Optimistic
Year 10</t>
  </si>
  <si>
    <t>Optimistic
Year 20</t>
  </si>
  <si>
    <t>Metric</t>
  </si>
  <si>
    <t>$49/mo</t>
  </si>
  <si>
    <t>$79/mo</t>
  </si>
  <si>
    <t>$99/mo</t>
  </si>
  <si>
    <t>Employees</t>
  </si>
  <si>
    <t>Monthly Discount Volume</t>
  </si>
  <si>
    <t>Monthly Membership Rev.</t>
  </si>
  <si>
    <t>Admin Fees Paid/Mo</t>
  </si>
  <si>
    <t>Raise Income/Mo</t>
  </si>
  <si>
    <t>Interest Earned/Mo</t>
  </si>
  <si>
    <t>Raise Income Balance</t>
  </si>
  <si>
    <t>Cumul. Employee Benefit</t>
  </si>
  <si>
    <t>Cumul. Admin Fees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</si>
</sst>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x&quot;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1E7A45"/>
      <name val="Calibri"/>
      <family val="2"/>
    </font>
    <font>
      <b/>
      <sz val="13"/>
      <color rgb="FFFFFFFF"/>
      <name val="Calibri"/>
      <family val="2"/>
    </font>
    <font>
      <sz val="8"/>
      <color rgb="FF595959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/>
    <xf numFmtId="3" fontId="5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3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/>
    <xf numFmtId="0" fontId="6" fillId="2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tabSelected="1" topLeftCell="A250" workbookViewId="0">
      <selection activeCell="H278" sqref="H278"/>
    </sheetView>
  </sheetViews>
  <sheetFormatPr defaultColWidth="8.85546875" defaultRowHeight="15" x14ac:dyDescent="0.25"/>
  <cols>
    <col min="1" max="1" width="6" customWidth="1"/>
    <col min="2" max="2" width="14" customWidth="1"/>
    <col min="3" max="3" width="11" customWidth="1"/>
    <col min="4" max="5" width="10" customWidth="1"/>
    <col min="6" max="6" width="14" customWidth="1"/>
    <col min="7" max="7" width="12" customWidth="1"/>
    <col min="8" max="8" width="13" customWidth="1"/>
    <col min="9" max="11" width="12" customWidth="1"/>
    <col min="12" max="12" width="13" customWidth="1"/>
    <col min="13" max="13" width="8" customWidth="1"/>
    <col min="14" max="14" width="16" customWidth="1"/>
    <col min="15" max="15" width="14" customWidth="1"/>
    <col min="16" max="16" width="13" customWidth="1"/>
    <col min="17" max="17" width="11.7109375" bestFit="1" customWidth="1"/>
  </cols>
  <sheetData>
    <row r="1" spans="1:15" x14ac:dyDescent="0.25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32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A3" s="1" t="s">
        <v>2</v>
      </c>
      <c r="F3" s="30" t="s">
        <v>3</v>
      </c>
      <c r="G3" s="29"/>
      <c r="I3" s="30" t="s">
        <v>4</v>
      </c>
      <c r="J3" s="29"/>
    </row>
    <row r="4" spans="1:15" ht="24" x14ac:dyDescent="0.25">
      <c r="A4" s="28" t="s">
        <v>5</v>
      </c>
      <c r="B4" s="29"/>
      <c r="C4" s="29"/>
      <c r="D4" s="2">
        <v>4000</v>
      </c>
      <c r="F4" s="3" t="s">
        <v>6</v>
      </c>
      <c r="G4" s="3" t="s">
        <v>7</v>
      </c>
      <c r="I4" s="3" t="s">
        <v>6</v>
      </c>
      <c r="J4" s="3" t="s">
        <v>8</v>
      </c>
    </row>
    <row r="5" spans="1:15" x14ac:dyDescent="0.25">
      <c r="A5" s="28" t="s">
        <v>9</v>
      </c>
      <c r="B5" s="29"/>
      <c r="C5" s="29"/>
      <c r="D5" s="2">
        <v>99</v>
      </c>
      <c r="F5" s="4" t="s">
        <v>10</v>
      </c>
      <c r="G5" s="5">
        <v>500</v>
      </c>
      <c r="I5" s="4" t="s">
        <v>10</v>
      </c>
      <c r="J5" s="5">
        <v>5000000</v>
      </c>
      <c r="K5" s="23">
        <f>G5/J5</f>
        <v>1E-4</v>
      </c>
    </row>
    <row r="6" spans="1:15" x14ac:dyDescent="0.25">
      <c r="A6" s="28" t="s">
        <v>11</v>
      </c>
      <c r="B6" s="29"/>
      <c r="C6" s="29"/>
      <c r="D6" s="6">
        <v>0.5</v>
      </c>
      <c r="F6" s="4" t="s">
        <v>12</v>
      </c>
      <c r="G6" s="5">
        <v>1000</v>
      </c>
      <c r="I6" s="4" t="s">
        <v>12</v>
      </c>
      <c r="J6" s="5">
        <v>10000000</v>
      </c>
      <c r="K6" s="23">
        <f t="shared" ref="K6:K29" si="0">G6/J6</f>
        <v>1E-4</v>
      </c>
    </row>
    <row r="7" spans="1:15" x14ac:dyDescent="0.25">
      <c r="A7" s="28" t="s">
        <v>13</v>
      </c>
      <c r="B7" s="29"/>
      <c r="C7" s="29"/>
      <c r="D7" s="6">
        <v>0.5</v>
      </c>
      <c r="F7" s="4" t="s">
        <v>14</v>
      </c>
      <c r="G7" s="5">
        <v>5000</v>
      </c>
      <c r="I7" s="4" t="s">
        <v>14</v>
      </c>
      <c r="J7" s="5">
        <v>50000000</v>
      </c>
      <c r="K7" s="23">
        <f t="shared" si="0"/>
        <v>1E-4</v>
      </c>
    </row>
    <row r="8" spans="1:15" x14ac:dyDescent="0.25">
      <c r="A8" s="28" t="s">
        <v>15</v>
      </c>
      <c r="B8" s="29"/>
      <c r="C8" s="29"/>
      <c r="D8" s="6">
        <v>0.6</v>
      </c>
      <c r="F8" s="4" t="s">
        <v>16</v>
      </c>
      <c r="G8" s="5">
        <v>10000</v>
      </c>
      <c r="I8" s="4" t="s">
        <v>16</v>
      </c>
      <c r="J8" s="5">
        <v>100000000</v>
      </c>
      <c r="K8" s="23">
        <f t="shared" si="0"/>
        <v>1E-4</v>
      </c>
    </row>
    <row r="9" spans="1:15" x14ac:dyDescent="0.25">
      <c r="A9" s="28" t="s">
        <v>17</v>
      </c>
      <c r="B9" s="29"/>
      <c r="C9" s="29"/>
      <c r="D9" s="6">
        <v>0.04</v>
      </c>
      <c r="F9" s="4" t="s">
        <v>18</v>
      </c>
      <c r="G9" s="5">
        <v>10000</v>
      </c>
      <c r="I9" s="4" t="s">
        <v>18</v>
      </c>
      <c r="J9" s="5">
        <v>100000000</v>
      </c>
      <c r="K9" s="23">
        <f t="shared" si="0"/>
        <v>1E-4</v>
      </c>
    </row>
    <row r="10" spans="1:15" x14ac:dyDescent="0.25">
      <c r="A10" s="28" t="s">
        <v>19</v>
      </c>
      <c r="B10" s="29"/>
      <c r="C10" s="29"/>
      <c r="D10" s="2">
        <v>0</v>
      </c>
      <c r="F10" s="4" t="s">
        <v>20</v>
      </c>
      <c r="G10" s="5">
        <v>10000</v>
      </c>
      <c r="I10" s="4" t="s">
        <v>20</v>
      </c>
      <c r="J10" s="5">
        <v>100000000</v>
      </c>
      <c r="K10" s="23">
        <f t="shared" si="0"/>
        <v>1E-4</v>
      </c>
    </row>
    <row r="11" spans="1:15" x14ac:dyDescent="0.25">
      <c r="A11" s="28" t="s">
        <v>21</v>
      </c>
      <c r="B11" s="29"/>
      <c r="C11" s="29"/>
      <c r="D11" s="2">
        <v>10000000</v>
      </c>
      <c r="F11" s="4" t="s">
        <v>22</v>
      </c>
      <c r="G11" s="5">
        <v>10000</v>
      </c>
      <c r="I11" s="4" t="s">
        <v>22</v>
      </c>
      <c r="J11" s="5">
        <v>100000000</v>
      </c>
      <c r="K11" s="23">
        <f t="shared" si="0"/>
        <v>1E-4</v>
      </c>
    </row>
    <row r="12" spans="1:15" x14ac:dyDescent="0.25">
      <c r="F12" s="4" t="s">
        <v>23</v>
      </c>
      <c r="G12" s="5">
        <v>10000</v>
      </c>
      <c r="I12" s="4" t="s">
        <v>23</v>
      </c>
      <c r="J12" s="5">
        <v>100000000</v>
      </c>
      <c r="K12" s="23">
        <f t="shared" si="0"/>
        <v>1E-4</v>
      </c>
    </row>
    <row r="13" spans="1:15" x14ac:dyDescent="0.25">
      <c r="F13" s="4" t="s">
        <v>24</v>
      </c>
      <c r="G13" s="5">
        <v>10000</v>
      </c>
      <c r="I13" s="4" t="s">
        <v>24</v>
      </c>
      <c r="J13" s="5">
        <v>100000000</v>
      </c>
      <c r="K13" s="23">
        <f t="shared" si="0"/>
        <v>1E-4</v>
      </c>
    </row>
    <row r="14" spans="1:15" x14ac:dyDescent="0.25">
      <c r="F14" s="4" t="s">
        <v>25</v>
      </c>
      <c r="G14" s="5">
        <v>50000</v>
      </c>
      <c r="I14" s="4" t="s">
        <v>25</v>
      </c>
      <c r="J14" s="5">
        <v>500000000</v>
      </c>
      <c r="K14" s="23">
        <f t="shared" si="0"/>
        <v>1E-4</v>
      </c>
    </row>
    <row r="15" spans="1:15" x14ac:dyDescent="0.25">
      <c r="F15" s="4" t="s">
        <v>26</v>
      </c>
      <c r="G15" s="5">
        <v>50000</v>
      </c>
      <c r="I15" s="4" t="s">
        <v>26</v>
      </c>
      <c r="J15" s="5">
        <v>500000000</v>
      </c>
      <c r="K15" s="23">
        <f t="shared" si="0"/>
        <v>1E-4</v>
      </c>
    </row>
    <row r="16" spans="1:15" x14ac:dyDescent="0.25">
      <c r="F16" s="4" t="s">
        <v>27</v>
      </c>
      <c r="G16" s="5">
        <v>50000</v>
      </c>
      <c r="I16" s="4" t="s">
        <v>27</v>
      </c>
      <c r="J16" s="5">
        <v>500000000</v>
      </c>
      <c r="K16" s="23">
        <f t="shared" si="0"/>
        <v>1E-4</v>
      </c>
    </row>
    <row r="17" spans="6:11" x14ac:dyDescent="0.25">
      <c r="F17" s="4" t="s">
        <v>28</v>
      </c>
      <c r="G17" s="5">
        <v>50000</v>
      </c>
      <c r="I17" s="4" t="s">
        <v>28</v>
      </c>
      <c r="J17" s="5">
        <v>500000000</v>
      </c>
      <c r="K17" s="23">
        <f t="shared" si="0"/>
        <v>1E-4</v>
      </c>
    </row>
    <row r="18" spans="6:11" x14ac:dyDescent="0.25">
      <c r="F18" s="4" t="s">
        <v>29</v>
      </c>
      <c r="G18" s="5">
        <v>50000</v>
      </c>
      <c r="I18" s="4" t="s">
        <v>29</v>
      </c>
      <c r="J18" s="5">
        <v>500000000</v>
      </c>
      <c r="K18" s="23">
        <f t="shared" si="0"/>
        <v>1E-4</v>
      </c>
    </row>
    <row r="19" spans="6:11" x14ac:dyDescent="0.25">
      <c r="F19" s="4" t="s">
        <v>30</v>
      </c>
      <c r="G19" s="5">
        <v>50000</v>
      </c>
      <c r="I19" s="4" t="s">
        <v>30</v>
      </c>
      <c r="J19" s="5">
        <v>500000000</v>
      </c>
      <c r="K19" s="23">
        <f t="shared" si="0"/>
        <v>1E-4</v>
      </c>
    </row>
    <row r="20" spans="6:11" x14ac:dyDescent="0.25">
      <c r="F20" s="4" t="s">
        <v>31</v>
      </c>
      <c r="G20" s="5">
        <v>50000</v>
      </c>
      <c r="I20" s="4" t="s">
        <v>31</v>
      </c>
      <c r="J20" s="5">
        <v>500000000</v>
      </c>
      <c r="K20" s="23">
        <f t="shared" si="0"/>
        <v>1E-4</v>
      </c>
    </row>
    <row r="21" spans="6:11" x14ac:dyDescent="0.25">
      <c r="F21" s="4" t="s">
        <v>32</v>
      </c>
      <c r="G21" s="5">
        <v>50000</v>
      </c>
      <c r="I21" s="4" t="s">
        <v>32</v>
      </c>
      <c r="J21" s="5">
        <v>500000000</v>
      </c>
      <c r="K21" s="23">
        <f t="shared" si="0"/>
        <v>1E-4</v>
      </c>
    </row>
    <row r="22" spans="6:11" x14ac:dyDescent="0.25">
      <c r="F22" s="4" t="s">
        <v>33</v>
      </c>
      <c r="G22" s="5">
        <v>50000</v>
      </c>
      <c r="I22" s="4" t="s">
        <v>33</v>
      </c>
      <c r="J22" s="5">
        <v>500000000</v>
      </c>
      <c r="K22" s="23">
        <f t="shared" si="0"/>
        <v>1E-4</v>
      </c>
    </row>
    <row r="23" spans="6:11" x14ac:dyDescent="0.25">
      <c r="F23" s="4" t="s">
        <v>34</v>
      </c>
      <c r="G23" s="5">
        <v>50000</v>
      </c>
      <c r="I23" s="4" t="s">
        <v>34</v>
      </c>
      <c r="J23" s="5">
        <v>500000000</v>
      </c>
      <c r="K23" s="23">
        <f t="shared" si="0"/>
        <v>1E-4</v>
      </c>
    </row>
    <row r="24" spans="6:11" x14ac:dyDescent="0.25">
      <c r="F24" s="4" t="s">
        <v>35</v>
      </c>
      <c r="G24" s="5">
        <v>50000</v>
      </c>
      <c r="I24" s="4" t="s">
        <v>35</v>
      </c>
      <c r="J24" s="5">
        <v>500000000</v>
      </c>
      <c r="K24" s="23">
        <f t="shared" si="0"/>
        <v>1E-4</v>
      </c>
    </row>
    <row r="25" spans="6:11" x14ac:dyDescent="0.25">
      <c r="F25" s="4" t="s">
        <v>36</v>
      </c>
      <c r="G25" s="5">
        <v>50000</v>
      </c>
      <c r="I25" s="4" t="s">
        <v>36</v>
      </c>
      <c r="J25" s="5">
        <v>500000000</v>
      </c>
      <c r="K25" s="23">
        <f t="shared" si="0"/>
        <v>1E-4</v>
      </c>
    </row>
    <row r="26" spans="6:11" x14ac:dyDescent="0.25">
      <c r="F26" s="4" t="s">
        <v>37</v>
      </c>
      <c r="G26" s="5">
        <v>50000</v>
      </c>
      <c r="I26" s="4" t="s">
        <v>37</v>
      </c>
      <c r="J26" s="5">
        <v>500000000</v>
      </c>
      <c r="K26" s="23">
        <f t="shared" si="0"/>
        <v>1E-4</v>
      </c>
    </row>
    <row r="27" spans="6:11" x14ac:dyDescent="0.25">
      <c r="F27" s="4" t="s">
        <v>38</v>
      </c>
      <c r="G27" s="5">
        <v>50000</v>
      </c>
      <c r="I27" s="4" t="s">
        <v>38</v>
      </c>
      <c r="J27" s="5">
        <v>500000000</v>
      </c>
      <c r="K27" s="23">
        <f t="shared" si="0"/>
        <v>1E-4</v>
      </c>
    </row>
    <row r="28" spans="6:11" x14ac:dyDescent="0.25">
      <c r="F28" s="4" t="s">
        <v>39</v>
      </c>
      <c r="G28" s="5">
        <v>50000</v>
      </c>
      <c r="I28" s="4" t="s">
        <v>39</v>
      </c>
      <c r="J28" s="5">
        <v>500000000</v>
      </c>
      <c r="K28" s="23">
        <f t="shared" si="0"/>
        <v>1E-4</v>
      </c>
    </row>
    <row r="29" spans="6:11" x14ac:dyDescent="0.25">
      <c r="F29" s="4" t="s">
        <v>40</v>
      </c>
      <c r="G29" s="5">
        <v>50000</v>
      </c>
      <c r="I29" s="4" t="s">
        <v>40</v>
      </c>
      <c r="J29" s="5">
        <v>500000000</v>
      </c>
      <c r="K29" s="23">
        <f t="shared" si="0"/>
        <v>1E-4</v>
      </c>
    </row>
    <row r="33" spans="1:18" ht="30" customHeight="1" x14ac:dyDescent="0.25">
      <c r="A33" s="3" t="s">
        <v>41</v>
      </c>
      <c r="B33" s="3" t="s">
        <v>42</v>
      </c>
      <c r="C33" s="3" t="s">
        <v>43</v>
      </c>
      <c r="D33" s="3" t="s">
        <v>44</v>
      </c>
      <c r="E33" s="3" t="s">
        <v>45</v>
      </c>
      <c r="F33" s="3" t="s">
        <v>46</v>
      </c>
      <c r="G33" s="3" t="s">
        <v>47</v>
      </c>
      <c r="H33" s="3" t="s">
        <v>48</v>
      </c>
      <c r="I33" s="3" t="s">
        <v>49</v>
      </c>
      <c r="J33" s="3" t="s">
        <v>50</v>
      </c>
      <c r="K33" s="3" t="s">
        <v>52</v>
      </c>
      <c r="L33" s="3" t="s">
        <v>53</v>
      </c>
      <c r="M33" s="3" t="s">
        <v>54</v>
      </c>
      <c r="N33" s="3" t="s">
        <v>55</v>
      </c>
      <c r="O33" s="3" t="s">
        <v>56</v>
      </c>
      <c r="P33" s="3" t="s">
        <v>57</v>
      </c>
      <c r="Q33" s="3" t="s">
        <v>51</v>
      </c>
    </row>
    <row r="34" spans="1:18" x14ac:dyDescent="0.25">
      <c r="A34" s="7">
        <v>1</v>
      </c>
      <c r="B34" s="8">
        <f>MIN(INDEX($G$5:$G$29,MIN(INT((A34-1)/12)+1,25)),MAX(0,INT(($D$10+INDEX($J$5:$J$29,MIN(INT((A34-1)/12)+1,25)))/(2*$D$4*$D$8))),$D$11)</f>
        <v>500</v>
      </c>
      <c r="C34" s="8">
        <f>MIN(B34,$D$11)</f>
        <v>500</v>
      </c>
      <c r="D34" s="8">
        <f t="shared" ref="D34:D97" si="1">$D$4</f>
        <v>4000</v>
      </c>
      <c r="E34" s="9">
        <f t="shared" ref="E34:E97" si="2">$D$8</f>
        <v>0.6</v>
      </c>
      <c r="F34" s="8">
        <f t="shared" ref="F34:F97" si="3">C34*D34*E34</f>
        <v>1200000</v>
      </c>
      <c r="G34" s="8">
        <f t="shared" ref="G34:G97" si="4">C34*$D$5</f>
        <v>49500</v>
      </c>
      <c r="H34" s="8">
        <f t="shared" ref="H34:H97" si="5">G34*$D$6</f>
        <v>24750</v>
      </c>
      <c r="I34" s="8">
        <f t="shared" ref="I34:I97" si="6">G34*$D$7</f>
        <v>24750</v>
      </c>
      <c r="J34" s="8">
        <f>0</f>
        <v>0</v>
      </c>
      <c r="K34" s="8">
        <f t="shared" ref="K34:K97" si="7">INDEX($J$5:$J$29,MIN(INT((A34-1)/12)+1,25))</f>
        <v>5000000</v>
      </c>
      <c r="L34" s="8">
        <f>$D$10+K34</f>
        <v>5000000</v>
      </c>
      <c r="M34" s="10">
        <f t="shared" ref="M34:M97" si="8">IF(F34=0,0,L34/F34)</f>
        <v>4.166666666666667</v>
      </c>
      <c r="N34" s="7" t="str">
        <f t="shared" ref="N34:N97" si="9">IF(M34&gt;=2,"CAP-1 — Healthy",IF(M34&gt;=1.5,"CAP-2 — Watch",IF(M34&gt;=1.2,"CAP-3 — Caution","CAP-4 — Protect")))</f>
        <v>CAP-1 — Healthy</v>
      </c>
      <c r="O34" s="8">
        <f>F34</f>
        <v>1200000</v>
      </c>
      <c r="P34" s="8">
        <f>H34</f>
        <v>24750</v>
      </c>
      <c r="Q34" s="8">
        <f>I34</f>
        <v>24750</v>
      </c>
      <c r="R34" s="23"/>
    </row>
    <row r="35" spans="1:18" x14ac:dyDescent="0.25">
      <c r="A35" s="7">
        <v>2</v>
      </c>
      <c r="B35" s="8">
        <f t="shared" ref="B35:B98" si="10">MAX(0,MIN(INDEX($G$5:$G$29,MIN(INT((A35-1)/12)+1,25)),MAX(0,INT((L34+INDEX($J$5:$J$29,MIN(INT((A35-1)/12)+1,25)))/(2*$D$4*$D$8))-C34),IF($D$11&gt;C34,INT($D$11-C34),0)))</f>
        <v>500</v>
      </c>
      <c r="C35" s="8">
        <f t="shared" ref="C35:C98" si="11">MIN(C34+B35,$D$11)</f>
        <v>1000</v>
      </c>
      <c r="D35" s="8">
        <f t="shared" si="1"/>
        <v>4000</v>
      </c>
      <c r="E35" s="9">
        <f t="shared" si="2"/>
        <v>0.6</v>
      </c>
      <c r="F35" s="8">
        <f t="shared" si="3"/>
        <v>2400000</v>
      </c>
      <c r="G35" s="8">
        <f t="shared" si="4"/>
        <v>99000</v>
      </c>
      <c r="H35" s="8">
        <f t="shared" si="5"/>
        <v>49500</v>
      </c>
      <c r="I35" s="8">
        <f t="shared" si="6"/>
        <v>49500</v>
      </c>
      <c r="J35" s="8">
        <f t="shared" ref="J35:J98" si="12">Q34*($D$9/12)</f>
        <v>82.5</v>
      </c>
      <c r="K35" s="8">
        <f t="shared" si="7"/>
        <v>5000000</v>
      </c>
      <c r="L35" s="8">
        <f t="shared" ref="L35:L98" si="13">L34+K35</f>
        <v>10000000</v>
      </c>
      <c r="M35" s="10">
        <f t="shared" si="8"/>
        <v>4.166666666666667</v>
      </c>
      <c r="N35" s="7" t="str">
        <f t="shared" si="9"/>
        <v>CAP-1 — Healthy</v>
      </c>
      <c r="O35" s="8">
        <f t="shared" ref="O35:O98" si="14">O34+F35</f>
        <v>3600000</v>
      </c>
      <c r="P35" s="8">
        <f t="shared" ref="P35:P98" si="15">P34+H35</f>
        <v>74250</v>
      </c>
      <c r="Q35" s="8">
        <f t="shared" ref="Q35:Q98" si="16">Q34+I35+J35</f>
        <v>74332.5</v>
      </c>
      <c r="R35" s="23"/>
    </row>
    <row r="36" spans="1:18" x14ac:dyDescent="0.25">
      <c r="A36" s="11">
        <v>3</v>
      </c>
      <c r="B36" s="12">
        <f t="shared" si="10"/>
        <v>500</v>
      </c>
      <c r="C36" s="12">
        <f t="shared" si="11"/>
        <v>1500</v>
      </c>
      <c r="D36" s="12">
        <f t="shared" si="1"/>
        <v>4000</v>
      </c>
      <c r="E36" s="13">
        <f t="shared" si="2"/>
        <v>0.6</v>
      </c>
      <c r="F36" s="12">
        <f t="shared" si="3"/>
        <v>3600000</v>
      </c>
      <c r="G36" s="12">
        <f t="shared" si="4"/>
        <v>148500</v>
      </c>
      <c r="H36" s="12">
        <f t="shared" si="5"/>
        <v>74250</v>
      </c>
      <c r="I36" s="12">
        <f t="shared" si="6"/>
        <v>74250</v>
      </c>
      <c r="J36" s="12">
        <f t="shared" si="12"/>
        <v>247.77500000000001</v>
      </c>
      <c r="K36" s="12">
        <f t="shared" si="7"/>
        <v>5000000</v>
      </c>
      <c r="L36" s="12">
        <f t="shared" si="13"/>
        <v>15000000</v>
      </c>
      <c r="M36" s="14">
        <f t="shared" si="8"/>
        <v>4.166666666666667</v>
      </c>
      <c r="N36" s="11" t="str">
        <f t="shared" si="9"/>
        <v>CAP-1 — Healthy</v>
      </c>
      <c r="O36" s="12">
        <f t="shared" si="14"/>
        <v>7200000</v>
      </c>
      <c r="P36" s="12">
        <f t="shared" si="15"/>
        <v>148500</v>
      </c>
      <c r="Q36" s="12">
        <f t="shared" si="16"/>
        <v>148830.27499999999</v>
      </c>
      <c r="R36" s="23"/>
    </row>
    <row r="37" spans="1:18" x14ac:dyDescent="0.25">
      <c r="A37" s="7">
        <v>4</v>
      </c>
      <c r="B37" s="8">
        <f t="shared" si="10"/>
        <v>500</v>
      </c>
      <c r="C37" s="8">
        <f t="shared" si="11"/>
        <v>2000</v>
      </c>
      <c r="D37" s="8">
        <f t="shared" si="1"/>
        <v>4000</v>
      </c>
      <c r="E37" s="9">
        <f t="shared" si="2"/>
        <v>0.6</v>
      </c>
      <c r="F37" s="8">
        <f t="shared" si="3"/>
        <v>4800000</v>
      </c>
      <c r="G37" s="8">
        <f t="shared" si="4"/>
        <v>198000</v>
      </c>
      <c r="H37" s="8">
        <f t="shared" si="5"/>
        <v>99000</v>
      </c>
      <c r="I37" s="8">
        <f t="shared" si="6"/>
        <v>99000</v>
      </c>
      <c r="J37" s="8">
        <f t="shared" si="12"/>
        <v>496.10091666666671</v>
      </c>
      <c r="K37" s="8">
        <f t="shared" si="7"/>
        <v>5000000</v>
      </c>
      <c r="L37" s="8">
        <f t="shared" si="13"/>
        <v>20000000</v>
      </c>
      <c r="M37" s="10">
        <f t="shared" si="8"/>
        <v>4.166666666666667</v>
      </c>
      <c r="N37" s="7" t="str">
        <f t="shared" si="9"/>
        <v>CAP-1 — Healthy</v>
      </c>
      <c r="O37" s="8">
        <f t="shared" si="14"/>
        <v>12000000</v>
      </c>
      <c r="P37" s="8">
        <f t="shared" si="15"/>
        <v>247500</v>
      </c>
      <c r="Q37" s="8">
        <f t="shared" si="16"/>
        <v>248326.37591666667</v>
      </c>
      <c r="R37" s="23"/>
    </row>
    <row r="38" spans="1:18" x14ac:dyDescent="0.25">
      <c r="A38" s="11">
        <v>5</v>
      </c>
      <c r="B38" s="12">
        <f t="shared" si="10"/>
        <v>500</v>
      </c>
      <c r="C38" s="12">
        <f t="shared" si="11"/>
        <v>2500</v>
      </c>
      <c r="D38" s="12">
        <f t="shared" si="1"/>
        <v>4000</v>
      </c>
      <c r="E38" s="13">
        <f t="shared" si="2"/>
        <v>0.6</v>
      </c>
      <c r="F38" s="12">
        <f t="shared" si="3"/>
        <v>6000000</v>
      </c>
      <c r="G38" s="12">
        <f t="shared" si="4"/>
        <v>247500</v>
      </c>
      <c r="H38" s="12">
        <f t="shared" si="5"/>
        <v>123750</v>
      </c>
      <c r="I38" s="12">
        <f t="shared" si="6"/>
        <v>123750</v>
      </c>
      <c r="J38" s="12">
        <f t="shared" si="12"/>
        <v>827.75458638888892</v>
      </c>
      <c r="K38" s="12">
        <f t="shared" si="7"/>
        <v>5000000</v>
      </c>
      <c r="L38" s="12">
        <f t="shared" si="13"/>
        <v>25000000</v>
      </c>
      <c r="M38" s="14">
        <f t="shared" si="8"/>
        <v>4.166666666666667</v>
      </c>
      <c r="N38" s="11" t="str">
        <f t="shared" si="9"/>
        <v>CAP-1 — Healthy</v>
      </c>
      <c r="O38" s="12">
        <f t="shared" si="14"/>
        <v>18000000</v>
      </c>
      <c r="P38" s="12">
        <f t="shared" si="15"/>
        <v>371250</v>
      </c>
      <c r="Q38" s="12">
        <f t="shared" si="16"/>
        <v>372904.13050305558</v>
      </c>
      <c r="R38" s="23"/>
    </row>
    <row r="39" spans="1:18" x14ac:dyDescent="0.25">
      <c r="A39" s="7">
        <v>6</v>
      </c>
      <c r="B39" s="8">
        <f t="shared" si="10"/>
        <v>500</v>
      </c>
      <c r="C39" s="8">
        <f t="shared" si="11"/>
        <v>3000</v>
      </c>
      <c r="D39" s="8">
        <f t="shared" si="1"/>
        <v>4000</v>
      </c>
      <c r="E39" s="9">
        <f t="shared" si="2"/>
        <v>0.6</v>
      </c>
      <c r="F39" s="8">
        <f t="shared" si="3"/>
        <v>7200000</v>
      </c>
      <c r="G39" s="8">
        <f t="shared" si="4"/>
        <v>297000</v>
      </c>
      <c r="H39" s="8">
        <f t="shared" si="5"/>
        <v>148500</v>
      </c>
      <c r="I39" s="8">
        <f t="shared" si="6"/>
        <v>148500</v>
      </c>
      <c r="J39" s="8">
        <f t="shared" si="12"/>
        <v>1243.0137683435187</v>
      </c>
      <c r="K39" s="8">
        <f t="shared" si="7"/>
        <v>5000000</v>
      </c>
      <c r="L39" s="8">
        <f t="shared" si="13"/>
        <v>30000000</v>
      </c>
      <c r="M39" s="10">
        <f t="shared" si="8"/>
        <v>4.166666666666667</v>
      </c>
      <c r="N39" s="7" t="str">
        <f t="shared" si="9"/>
        <v>CAP-1 — Healthy</v>
      </c>
      <c r="O39" s="8">
        <f t="shared" si="14"/>
        <v>25200000</v>
      </c>
      <c r="P39" s="8">
        <f t="shared" si="15"/>
        <v>519750</v>
      </c>
      <c r="Q39" s="8">
        <f t="shared" si="16"/>
        <v>522647.14427139913</v>
      </c>
      <c r="R39" s="23"/>
    </row>
    <row r="40" spans="1:18" x14ac:dyDescent="0.25">
      <c r="A40" s="11">
        <v>7</v>
      </c>
      <c r="B40" s="12">
        <f t="shared" si="10"/>
        <v>500</v>
      </c>
      <c r="C40" s="12">
        <f t="shared" si="11"/>
        <v>3500</v>
      </c>
      <c r="D40" s="12">
        <f t="shared" si="1"/>
        <v>4000</v>
      </c>
      <c r="E40" s="13">
        <f t="shared" si="2"/>
        <v>0.6</v>
      </c>
      <c r="F40" s="12">
        <f t="shared" si="3"/>
        <v>8400000</v>
      </c>
      <c r="G40" s="12">
        <f t="shared" si="4"/>
        <v>346500</v>
      </c>
      <c r="H40" s="12">
        <f t="shared" si="5"/>
        <v>173250</v>
      </c>
      <c r="I40" s="12">
        <f t="shared" si="6"/>
        <v>173250</v>
      </c>
      <c r="J40" s="12">
        <f t="shared" si="12"/>
        <v>1742.1571475713306</v>
      </c>
      <c r="K40" s="12">
        <f t="shared" si="7"/>
        <v>5000000</v>
      </c>
      <c r="L40" s="12">
        <f t="shared" si="13"/>
        <v>35000000</v>
      </c>
      <c r="M40" s="14">
        <f t="shared" si="8"/>
        <v>4.166666666666667</v>
      </c>
      <c r="N40" s="11" t="str">
        <f t="shared" si="9"/>
        <v>CAP-1 — Healthy</v>
      </c>
      <c r="O40" s="12">
        <f t="shared" si="14"/>
        <v>33600000</v>
      </c>
      <c r="P40" s="12">
        <f t="shared" si="15"/>
        <v>693000</v>
      </c>
      <c r="Q40" s="12">
        <f t="shared" si="16"/>
        <v>697639.30141897046</v>
      </c>
      <c r="R40" s="23"/>
    </row>
    <row r="41" spans="1:18" x14ac:dyDescent="0.25">
      <c r="A41" s="7">
        <v>8</v>
      </c>
      <c r="B41" s="8">
        <f t="shared" si="10"/>
        <v>500</v>
      </c>
      <c r="C41" s="8">
        <f t="shared" si="11"/>
        <v>4000</v>
      </c>
      <c r="D41" s="8">
        <f t="shared" si="1"/>
        <v>4000</v>
      </c>
      <c r="E41" s="9">
        <f t="shared" si="2"/>
        <v>0.6</v>
      </c>
      <c r="F41" s="8">
        <f t="shared" si="3"/>
        <v>9600000</v>
      </c>
      <c r="G41" s="8">
        <f t="shared" si="4"/>
        <v>396000</v>
      </c>
      <c r="H41" s="8">
        <f t="shared" si="5"/>
        <v>198000</v>
      </c>
      <c r="I41" s="8">
        <f t="shared" si="6"/>
        <v>198000</v>
      </c>
      <c r="J41" s="8">
        <f t="shared" si="12"/>
        <v>2325.4643380632351</v>
      </c>
      <c r="K41" s="8">
        <f t="shared" si="7"/>
        <v>5000000</v>
      </c>
      <c r="L41" s="8">
        <f t="shared" si="13"/>
        <v>40000000</v>
      </c>
      <c r="M41" s="10">
        <f t="shared" si="8"/>
        <v>4.166666666666667</v>
      </c>
      <c r="N41" s="7" t="str">
        <f t="shared" si="9"/>
        <v>CAP-1 — Healthy</v>
      </c>
      <c r="O41" s="8">
        <f t="shared" si="14"/>
        <v>43200000</v>
      </c>
      <c r="P41" s="8">
        <f t="shared" si="15"/>
        <v>891000</v>
      </c>
      <c r="Q41" s="8">
        <f t="shared" si="16"/>
        <v>897964.76575703372</v>
      </c>
      <c r="R41" s="23"/>
    </row>
    <row r="42" spans="1:18" x14ac:dyDescent="0.25">
      <c r="A42" s="11">
        <v>9</v>
      </c>
      <c r="B42" s="12">
        <f t="shared" si="10"/>
        <v>500</v>
      </c>
      <c r="C42" s="12">
        <f t="shared" si="11"/>
        <v>4500</v>
      </c>
      <c r="D42" s="12">
        <f t="shared" si="1"/>
        <v>4000</v>
      </c>
      <c r="E42" s="13">
        <f t="shared" si="2"/>
        <v>0.6</v>
      </c>
      <c r="F42" s="12">
        <f t="shared" si="3"/>
        <v>10800000</v>
      </c>
      <c r="G42" s="12">
        <f t="shared" si="4"/>
        <v>445500</v>
      </c>
      <c r="H42" s="12">
        <f t="shared" si="5"/>
        <v>222750</v>
      </c>
      <c r="I42" s="12">
        <f t="shared" si="6"/>
        <v>222750</v>
      </c>
      <c r="J42" s="12">
        <f t="shared" si="12"/>
        <v>2993.2158858567791</v>
      </c>
      <c r="K42" s="12">
        <f t="shared" si="7"/>
        <v>5000000</v>
      </c>
      <c r="L42" s="12">
        <f t="shared" si="13"/>
        <v>45000000</v>
      </c>
      <c r="M42" s="14">
        <f t="shared" si="8"/>
        <v>4.166666666666667</v>
      </c>
      <c r="N42" s="11" t="str">
        <f t="shared" si="9"/>
        <v>CAP-1 — Healthy</v>
      </c>
      <c r="O42" s="12">
        <f t="shared" si="14"/>
        <v>54000000</v>
      </c>
      <c r="P42" s="12">
        <f t="shared" si="15"/>
        <v>1113750</v>
      </c>
      <c r="Q42" s="12">
        <f t="shared" si="16"/>
        <v>1123707.9816428905</v>
      </c>
      <c r="R42" s="23"/>
    </row>
    <row r="43" spans="1:18" x14ac:dyDescent="0.25">
      <c r="A43" s="7">
        <v>10</v>
      </c>
      <c r="B43" s="8">
        <f t="shared" si="10"/>
        <v>500</v>
      </c>
      <c r="C43" s="8">
        <f t="shared" si="11"/>
        <v>5000</v>
      </c>
      <c r="D43" s="8">
        <f t="shared" si="1"/>
        <v>4000</v>
      </c>
      <c r="E43" s="9">
        <f t="shared" si="2"/>
        <v>0.6</v>
      </c>
      <c r="F43" s="8">
        <f t="shared" si="3"/>
        <v>12000000</v>
      </c>
      <c r="G43" s="8">
        <f t="shared" si="4"/>
        <v>495000</v>
      </c>
      <c r="H43" s="8">
        <f t="shared" si="5"/>
        <v>247500</v>
      </c>
      <c r="I43" s="8">
        <f t="shared" si="6"/>
        <v>247500</v>
      </c>
      <c r="J43" s="8">
        <f t="shared" si="12"/>
        <v>3745.6932721429685</v>
      </c>
      <c r="K43" s="8">
        <f t="shared" si="7"/>
        <v>5000000</v>
      </c>
      <c r="L43" s="8">
        <f t="shared" si="13"/>
        <v>50000000</v>
      </c>
      <c r="M43" s="10">
        <f t="shared" si="8"/>
        <v>4.166666666666667</v>
      </c>
      <c r="N43" s="7" t="str">
        <f t="shared" si="9"/>
        <v>CAP-1 — Healthy</v>
      </c>
      <c r="O43" s="8">
        <f t="shared" si="14"/>
        <v>66000000</v>
      </c>
      <c r="P43" s="8">
        <f t="shared" si="15"/>
        <v>1361250</v>
      </c>
      <c r="Q43" s="8">
        <f t="shared" si="16"/>
        <v>1374953.6749150334</v>
      </c>
      <c r="R43" s="23"/>
    </row>
    <row r="44" spans="1:18" x14ac:dyDescent="0.25">
      <c r="A44" s="11">
        <v>11</v>
      </c>
      <c r="B44" s="12">
        <f t="shared" si="10"/>
        <v>500</v>
      </c>
      <c r="C44" s="12">
        <f t="shared" si="11"/>
        <v>5500</v>
      </c>
      <c r="D44" s="12">
        <f t="shared" si="1"/>
        <v>4000</v>
      </c>
      <c r="E44" s="13">
        <f t="shared" si="2"/>
        <v>0.6</v>
      </c>
      <c r="F44" s="12">
        <f t="shared" si="3"/>
        <v>13200000</v>
      </c>
      <c r="G44" s="12">
        <f t="shared" si="4"/>
        <v>544500</v>
      </c>
      <c r="H44" s="12">
        <f t="shared" si="5"/>
        <v>272250</v>
      </c>
      <c r="I44" s="12">
        <f t="shared" si="6"/>
        <v>272250</v>
      </c>
      <c r="J44" s="12">
        <f t="shared" si="12"/>
        <v>4583.1789163834446</v>
      </c>
      <c r="K44" s="12">
        <f t="shared" si="7"/>
        <v>5000000</v>
      </c>
      <c r="L44" s="12">
        <f t="shared" si="13"/>
        <v>55000000</v>
      </c>
      <c r="M44" s="14">
        <f t="shared" si="8"/>
        <v>4.166666666666667</v>
      </c>
      <c r="N44" s="11" t="str">
        <f t="shared" si="9"/>
        <v>CAP-1 — Healthy</v>
      </c>
      <c r="O44" s="12">
        <f t="shared" si="14"/>
        <v>79200000</v>
      </c>
      <c r="P44" s="12">
        <f t="shared" si="15"/>
        <v>1633500</v>
      </c>
      <c r="Q44" s="12">
        <f t="shared" si="16"/>
        <v>1651786.8538314169</v>
      </c>
      <c r="R44" s="23"/>
    </row>
    <row r="45" spans="1:18" x14ac:dyDescent="0.25">
      <c r="A45" s="7">
        <v>12</v>
      </c>
      <c r="B45" s="8">
        <f t="shared" si="10"/>
        <v>500</v>
      </c>
      <c r="C45" s="8">
        <f t="shared" si="11"/>
        <v>6000</v>
      </c>
      <c r="D45" s="8">
        <f t="shared" si="1"/>
        <v>4000</v>
      </c>
      <c r="E45" s="9">
        <f t="shared" si="2"/>
        <v>0.6</v>
      </c>
      <c r="F45" s="8">
        <f>C45*D45*E45</f>
        <v>14400000</v>
      </c>
      <c r="G45" s="8">
        <f t="shared" si="4"/>
        <v>594000</v>
      </c>
      <c r="H45" s="8">
        <f t="shared" si="5"/>
        <v>297000</v>
      </c>
      <c r="I45" s="8">
        <f t="shared" si="6"/>
        <v>297000</v>
      </c>
      <c r="J45" s="8">
        <f t="shared" si="12"/>
        <v>5505.956179438057</v>
      </c>
      <c r="K45" s="8">
        <f t="shared" si="7"/>
        <v>5000000</v>
      </c>
      <c r="L45" s="8">
        <f t="shared" si="13"/>
        <v>60000000</v>
      </c>
      <c r="M45" s="10">
        <f t="shared" si="8"/>
        <v>4.166666666666667</v>
      </c>
      <c r="N45" s="7" t="str">
        <f t="shared" si="9"/>
        <v>CAP-1 — Healthy</v>
      </c>
      <c r="O45" s="8">
        <f t="shared" si="14"/>
        <v>93600000</v>
      </c>
      <c r="P45" s="8">
        <f t="shared" si="15"/>
        <v>1930500</v>
      </c>
      <c r="Q45" s="8">
        <f t="shared" si="16"/>
        <v>1954292.8100108551</v>
      </c>
      <c r="R45" s="23"/>
    </row>
    <row r="46" spans="1:18" x14ac:dyDescent="0.25">
      <c r="A46" s="11">
        <v>13</v>
      </c>
      <c r="B46" s="12">
        <f t="shared" si="10"/>
        <v>1000</v>
      </c>
      <c r="C46" s="12">
        <f t="shared" si="11"/>
        <v>7000</v>
      </c>
      <c r="D46" s="12">
        <f t="shared" si="1"/>
        <v>4000</v>
      </c>
      <c r="E46" s="13">
        <f t="shared" si="2"/>
        <v>0.6</v>
      </c>
      <c r="F46" s="12">
        <f t="shared" si="3"/>
        <v>16800000</v>
      </c>
      <c r="G46" s="12">
        <f t="shared" si="4"/>
        <v>693000</v>
      </c>
      <c r="H46" s="12">
        <f t="shared" si="5"/>
        <v>346500</v>
      </c>
      <c r="I46" s="12">
        <f t="shared" si="6"/>
        <v>346500</v>
      </c>
      <c r="J46" s="12">
        <f t="shared" si="12"/>
        <v>6514.3093667028506</v>
      </c>
      <c r="K46" s="12">
        <f t="shared" si="7"/>
        <v>10000000</v>
      </c>
      <c r="L46" s="12">
        <f t="shared" si="13"/>
        <v>70000000</v>
      </c>
      <c r="M46" s="14">
        <f t="shared" si="8"/>
        <v>4.166666666666667</v>
      </c>
      <c r="N46" s="11" t="str">
        <f t="shared" si="9"/>
        <v>CAP-1 — Healthy</v>
      </c>
      <c r="O46" s="12">
        <f t="shared" si="14"/>
        <v>110400000</v>
      </c>
      <c r="P46" s="12">
        <f t="shared" si="15"/>
        <v>2277000</v>
      </c>
      <c r="Q46" s="12">
        <f t="shared" si="16"/>
        <v>2307307.1193775581</v>
      </c>
    </row>
    <row r="47" spans="1:18" x14ac:dyDescent="0.25">
      <c r="A47" s="7">
        <v>14</v>
      </c>
      <c r="B47" s="8">
        <f t="shared" si="10"/>
        <v>1000</v>
      </c>
      <c r="C47" s="8">
        <f t="shared" si="11"/>
        <v>8000</v>
      </c>
      <c r="D47" s="8">
        <f t="shared" si="1"/>
        <v>4000</v>
      </c>
      <c r="E47" s="9">
        <f t="shared" si="2"/>
        <v>0.6</v>
      </c>
      <c r="F47" s="8">
        <f t="shared" si="3"/>
        <v>19200000</v>
      </c>
      <c r="G47" s="8">
        <f t="shared" si="4"/>
        <v>792000</v>
      </c>
      <c r="H47" s="8">
        <f t="shared" si="5"/>
        <v>396000</v>
      </c>
      <c r="I47" s="8">
        <f t="shared" si="6"/>
        <v>396000</v>
      </c>
      <c r="J47" s="8">
        <f t="shared" si="12"/>
        <v>7691.0237312585277</v>
      </c>
      <c r="K47" s="8">
        <f t="shared" si="7"/>
        <v>10000000</v>
      </c>
      <c r="L47" s="8">
        <f t="shared" si="13"/>
        <v>80000000</v>
      </c>
      <c r="M47" s="10">
        <f t="shared" si="8"/>
        <v>4.166666666666667</v>
      </c>
      <c r="N47" s="7" t="str">
        <f t="shared" si="9"/>
        <v>CAP-1 — Healthy</v>
      </c>
      <c r="O47" s="8">
        <f t="shared" si="14"/>
        <v>129600000</v>
      </c>
      <c r="P47" s="8">
        <f t="shared" si="15"/>
        <v>2673000</v>
      </c>
      <c r="Q47" s="8">
        <f t="shared" si="16"/>
        <v>2710998.1431088168</v>
      </c>
    </row>
    <row r="48" spans="1:18" x14ac:dyDescent="0.25">
      <c r="A48" s="11">
        <v>15</v>
      </c>
      <c r="B48" s="12">
        <f t="shared" si="10"/>
        <v>1000</v>
      </c>
      <c r="C48" s="12">
        <f t="shared" si="11"/>
        <v>9000</v>
      </c>
      <c r="D48" s="12">
        <f t="shared" si="1"/>
        <v>4000</v>
      </c>
      <c r="E48" s="13">
        <f t="shared" si="2"/>
        <v>0.6</v>
      </c>
      <c r="F48" s="12">
        <f t="shared" si="3"/>
        <v>21600000</v>
      </c>
      <c r="G48" s="12">
        <f t="shared" si="4"/>
        <v>891000</v>
      </c>
      <c r="H48" s="12">
        <f t="shared" si="5"/>
        <v>445500</v>
      </c>
      <c r="I48" s="12">
        <f t="shared" si="6"/>
        <v>445500</v>
      </c>
      <c r="J48" s="12">
        <f t="shared" si="12"/>
        <v>9036.6604770293907</v>
      </c>
      <c r="K48" s="12">
        <f t="shared" si="7"/>
        <v>10000000</v>
      </c>
      <c r="L48" s="12">
        <f t="shared" si="13"/>
        <v>90000000</v>
      </c>
      <c r="M48" s="14">
        <f t="shared" si="8"/>
        <v>4.166666666666667</v>
      </c>
      <c r="N48" s="11" t="str">
        <f t="shared" si="9"/>
        <v>CAP-1 — Healthy</v>
      </c>
      <c r="O48" s="12">
        <f t="shared" si="14"/>
        <v>151200000</v>
      </c>
      <c r="P48" s="12">
        <f t="shared" si="15"/>
        <v>3118500</v>
      </c>
      <c r="Q48" s="12">
        <f t="shared" si="16"/>
        <v>3165534.803585846</v>
      </c>
    </row>
    <row r="49" spans="1:17" x14ac:dyDescent="0.25">
      <c r="A49" s="7">
        <v>16</v>
      </c>
      <c r="B49" s="8">
        <f t="shared" si="10"/>
        <v>1000</v>
      </c>
      <c r="C49" s="8">
        <f t="shared" si="11"/>
        <v>10000</v>
      </c>
      <c r="D49" s="8">
        <f t="shared" si="1"/>
        <v>4000</v>
      </c>
      <c r="E49" s="9">
        <f t="shared" si="2"/>
        <v>0.6</v>
      </c>
      <c r="F49" s="8">
        <f t="shared" si="3"/>
        <v>24000000</v>
      </c>
      <c r="G49" s="8">
        <f t="shared" si="4"/>
        <v>990000</v>
      </c>
      <c r="H49" s="8">
        <f t="shared" si="5"/>
        <v>495000</v>
      </c>
      <c r="I49" s="8">
        <f t="shared" si="6"/>
        <v>495000</v>
      </c>
      <c r="J49" s="8">
        <f t="shared" si="12"/>
        <v>10551.782678619487</v>
      </c>
      <c r="K49" s="8">
        <f t="shared" si="7"/>
        <v>10000000</v>
      </c>
      <c r="L49" s="8">
        <f t="shared" si="13"/>
        <v>100000000</v>
      </c>
      <c r="M49" s="10">
        <f t="shared" si="8"/>
        <v>4.166666666666667</v>
      </c>
      <c r="N49" s="7" t="str">
        <f t="shared" si="9"/>
        <v>CAP-1 — Healthy</v>
      </c>
      <c r="O49" s="8">
        <f t="shared" si="14"/>
        <v>175200000</v>
      </c>
      <c r="P49" s="8">
        <f t="shared" si="15"/>
        <v>3613500</v>
      </c>
      <c r="Q49" s="8">
        <f t="shared" si="16"/>
        <v>3671086.5862644655</v>
      </c>
    </row>
    <row r="50" spans="1:17" x14ac:dyDescent="0.25">
      <c r="A50" s="11">
        <v>17</v>
      </c>
      <c r="B50" s="12">
        <f t="shared" si="10"/>
        <v>1000</v>
      </c>
      <c r="C50" s="12">
        <f t="shared" si="11"/>
        <v>11000</v>
      </c>
      <c r="D50" s="12">
        <f t="shared" si="1"/>
        <v>4000</v>
      </c>
      <c r="E50" s="13">
        <f t="shared" si="2"/>
        <v>0.6</v>
      </c>
      <c r="F50" s="12">
        <f t="shared" si="3"/>
        <v>26400000</v>
      </c>
      <c r="G50" s="12">
        <f t="shared" si="4"/>
        <v>1089000</v>
      </c>
      <c r="H50" s="12">
        <f t="shared" si="5"/>
        <v>544500</v>
      </c>
      <c r="I50" s="12">
        <f t="shared" si="6"/>
        <v>544500</v>
      </c>
      <c r="J50" s="12">
        <f t="shared" si="12"/>
        <v>12236.955287548219</v>
      </c>
      <c r="K50" s="12">
        <f t="shared" si="7"/>
        <v>10000000</v>
      </c>
      <c r="L50" s="12">
        <f t="shared" si="13"/>
        <v>110000000</v>
      </c>
      <c r="M50" s="14">
        <f t="shared" si="8"/>
        <v>4.166666666666667</v>
      </c>
      <c r="N50" s="11" t="str">
        <f t="shared" si="9"/>
        <v>CAP-1 — Healthy</v>
      </c>
      <c r="O50" s="12">
        <f t="shared" si="14"/>
        <v>201600000</v>
      </c>
      <c r="P50" s="12">
        <f t="shared" si="15"/>
        <v>4158000</v>
      </c>
      <c r="Q50" s="12">
        <f t="shared" si="16"/>
        <v>4227823.5415520128</v>
      </c>
    </row>
    <row r="51" spans="1:17" x14ac:dyDescent="0.25">
      <c r="A51" s="7">
        <v>18</v>
      </c>
      <c r="B51" s="8">
        <f t="shared" si="10"/>
        <v>1000</v>
      </c>
      <c r="C51" s="8">
        <f t="shared" si="11"/>
        <v>12000</v>
      </c>
      <c r="D51" s="8">
        <f t="shared" si="1"/>
        <v>4000</v>
      </c>
      <c r="E51" s="9">
        <f t="shared" si="2"/>
        <v>0.6</v>
      </c>
      <c r="F51" s="8">
        <f t="shared" si="3"/>
        <v>28800000</v>
      </c>
      <c r="G51" s="8">
        <f t="shared" si="4"/>
        <v>1188000</v>
      </c>
      <c r="H51" s="8">
        <f t="shared" si="5"/>
        <v>594000</v>
      </c>
      <c r="I51" s="8">
        <f t="shared" si="6"/>
        <v>594000</v>
      </c>
      <c r="J51" s="8">
        <f t="shared" si="12"/>
        <v>14092.745138506711</v>
      </c>
      <c r="K51" s="8">
        <f t="shared" si="7"/>
        <v>10000000</v>
      </c>
      <c r="L51" s="8">
        <f t="shared" si="13"/>
        <v>120000000</v>
      </c>
      <c r="M51" s="10">
        <f t="shared" si="8"/>
        <v>4.166666666666667</v>
      </c>
      <c r="N51" s="7" t="str">
        <f t="shared" si="9"/>
        <v>CAP-1 — Healthy</v>
      </c>
      <c r="O51" s="8">
        <f t="shared" si="14"/>
        <v>230400000</v>
      </c>
      <c r="P51" s="8">
        <f t="shared" si="15"/>
        <v>4752000</v>
      </c>
      <c r="Q51" s="8">
        <f t="shared" si="16"/>
        <v>4835916.2866905192</v>
      </c>
    </row>
    <row r="52" spans="1:17" x14ac:dyDescent="0.25">
      <c r="A52" s="11">
        <v>19</v>
      </c>
      <c r="B52" s="12">
        <f t="shared" si="10"/>
        <v>1000</v>
      </c>
      <c r="C52" s="12">
        <f t="shared" si="11"/>
        <v>13000</v>
      </c>
      <c r="D52" s="12">
        <f t="shared" si="1"/>
        <v>4000</v>
      </c>
      <c r="E52" s="13">
        <f t="shared" si="2"/>
        <v>0.6</v>
      </c>
      <c r="F52" s="12">
        <f t="shared" si="3"/>
        <v>31200000</v>
      </c>
      <c r="G52" s="12">
        <f t="shared" si="4"/>
        <v>1287000</v>
      </c>
      <c r="H52" s="12">
        <f t="shared" si="5"/>
        <v>643500</v>
      </c>
      <c r="I52" s="12">
        <f t="shared" si="6"/>
        <v>643500</v>
      </c>
      <c r="J52" s="12">
        <f t="shared" si="12"/>
        <v>16119.720955635064</v>
      </c>
      <c r="K52" s="12">
        <f t="shared" si="7"/>
        <v>10000000</v>
      </c>
      <c r="L52" s="12">
        <f t="shared" si="13"/>
        <v>130000000</v>
      </c>
      <c r="M52" s="14">
        <f t="shared" si="8"/>
        <v>4.166666666666667</v>
      </c>
      <c r="N52" s="11" t="str">
        <f t="shared" si="9"/>
        <v>CAP-1 — Healthy</v>
      </c>
      <c r="O52" s="12">
        <f t="shared" si="14"/>
        <v>261600000</v>
      </c>
      <c r="P52" s="12">
        <f t="shared" si="15"/>
        <v>5395500</v>
      </c>
      <c r="Q52" s="12">
        <f t="shared" si="16"/>
        <v>5495536.0076461546</v>
      </c>
    </row>
    <row r="53" spans="1:17" x14ac:dyDescent="0.25">
      <c r="A53" s="7">
        <v>20</v>
      </c>
      <c r="B53" s="8">
        <f t="shared" si="10"/>
        <v>1000</v>
      </c>
      <c r="C53" s="8">
        <f t="shared" si="11"/>
        <v>14000</v>
      </c>
      <c r="D53" s="8">
        <f t="shared" si="1"/>
        <v>4000</v>
      </c>
      <c r="E53" s="9">
        <f t="shared" si="2"/>
        <v>0.6</v>
      </c>
      <c r="F53" s="8">
        <f t="shared" si="3"/>
        <v>33600000</v>
      </c>
      <c r="G53" s="8">
        <f t="shared" si="4"/>
        <v>1386000</v>
      </c>
      <c r="H53" s="8">
        <f t="shared" si="5"/>
        <v>693000</v>
      </c>
      <c r="I53" s="8">
        <f t="shared" si="6"/>
        <v>693000</v>
      </c>
      <c r="J53" s="8">
        <f t="shared" si="12"/>
        <v>18318.453358820516</v>
      </c>
      <c r="K53" s="8">
        <f t="shared" si="7"/>
        <v>10000000</v>
      </c>
      <c r="L53" s="8">
        <f t="shared" si="13"/>
        <v>140000000</v>
      </c>
      <c r="M53" s="10">
        <f t="shared" si="8"/>
        <v>4.166666666666667</v>
      </c>
      <c r="N53" s="7" t="str">
        <f t="shared" si="9"/>
        <v>CAP-1 — Healthy</v>
      </c>
      <c r="O53" s="8">
        <f t="shared" si="14"/>
        <v>295200000</v>
      </c>
      <c r="P53" s="8">
        <f t="shared" si="15"/>
        <v>6088500</v>
      </c>
      <c r="Q53" s="8">
        <f t="shared" si="16"/>
        <v>6206854.4610049753</v>
      </c>
    </row>
    <row r="54" spans="1:17" x14ac:dyDescent="0.25">
      <c r="A54" s="11">
        <v>21</v>
      </c>
      <c r="B54" s="12">
        <f t="shared" si="10"/>
        <v>1000</v>
      </c>
      <c r="C54" s="12">
        <f t="shared" si="11"/>
        <v>15000</v>
      </c>
      <c r="D54" s="12">
        <f t="shared" si="1"/>
        <v>4000</v>
      </c>
      <c r="E54" s="13">
        <f t="shared" si="2"/>
        <v>0.6</v>
      </c>
      <c r="F54" s="12">
        <f t="shared" si="3"/>
        <v>36000000</v>
      </c>
      <c r="G54" s="12">
        <f t="shared" si="4"/>
        <v>1485000</v>
      </c>
      <c r="H54" s="12">
        <f t="shared" si="5"/>
        <v>742500</v>
      </c>
      <c r="I54" s="12">
        <f t="shared" si="6"/>
        <v>742500</v>
      </c>
      <c r="J54" s="12">
        <f t="shared" si="12"/>
        <v>20689.514870016585</v>
      </c>
      <c r="K54" s="12">
        <f t="shared" si="7"/>
        <v>10000000</v>
      </c>
      <c r="L54" s="12">
        <f t="shared" si="13"/>
        <v>150000000</v>
      </c>
      <c r="M54" s="14">
        <f t="shared" si="8"/>
        <v>4.166666666666667</v>
      </c>
      <c r="N54" s="11" t="str">
        <f t="shared" si="9"/>
        <v>CAP-1 — Healthy</v>
      </c>
      <c r="O54" s="12">
        <f t="shared" si="14"/>
        <v>331200000</v>
      </c>
      <c r="P54" s="12">
        <f t="shared" si="15"/>
        <v>6831000</v>
      </c>
      <c r="Q54" s="12">
        <f t="shared" si="16"/>
        <v>6970043.9758749921</v>
      </c>
    </row>
    <row r="55" spans="1:17" x14ac:dyDescent="0.25">
      <c r="A55" s="7">
        <v>22</v>
      </c>
      <c r="B55" s="8">
        <f t="shared" si="10"/>
        <v>1000</v>
      </c>
      <c r="C55" s="8">
        <f t="shared" si="11"/>
        <v>16000</v>
      </c>
      <c r="D55" s="8">
        <f t="shared" si="1"/>
        <v>4000</v>
      </c>
      <c r="E55" s="9">
        <f t="shared" si="2"/>
        <v>0.6</v>
      </c>
      <c r="F55" s="8">
        <f t="shared" si="3"/>
        <v>38400000</v>
      </c>
      <c r="G55" s="8">
        <f t="shared" si="4"/>
        <v>1584000</v>
      </c>
      <c r="H55" s="8">
        <f t="shared" si="5"/>
        <v>792000</v>
      </c>
      <c r="I55" s="8">
        <f t="shared" si="6"/>
        <v>792000</v>
      </c>
      <c r="J55" s="8">
        <f t="shared" si="12"/>
        <v>23233.479919583307</v>
      </c>
      <c r="K55" s="8">
        <f t="shared" si="7"/>
        <v>10000000</v>
      </c>
      <c r="L55" s="8">
        <f t="shared" si="13"/>
        <v>160000000</v>
      </c>
      <c r="M55" s="10">
        <f t="shared" si="8"/>
        <v>4.166666666666667</v>
      </c>
      <c r="N55" s="7" t="str">
        <f t="shared" si="9"/>
        <v>CAP-1 — Healthy</v>
      </c>
      <c r="O55" s="8">
        <f t="shared" si="14"/>
        <v>369600000</v>
      </c>
      <c r="P55" s="8">
        <f t="shared" si="15"/>
        <v>7623000</v>
      </c>
      <c r="Q55" s="8">
        <f t="shared" si="16"/>
        <v>7785277.4557945756</v>
      </c>
    </row>
    <row r="56" spans="1:17" x14ac:dyDescent="0.25">
      <c r="A56" s="11">
        <v>23</v>
      </c>
      <c r="B56" s="12">
        <f t="shared" si="10"/>
        <v>1000</v>
      </c>
      <c r="C56" s="12">
        <f t="shared" si="11"/>
        <v>17000</v>
      </c>
      <c r="D56" s="12">
        <f t="shared" si="1"/>
        <v>4000</v>
      </c>
      <c r="E56" s="13">
        <f t="shared" si="2"/>
        <v>0.6</v>
      </c>
      <c r="F56" s="12">
        <f t="shared" si="3"/>
        <v>40800000</v>
      </c>
      <c r="G56" s="12">
        <f t="shared" si="4"/>
        <v>1683000</v>
      </c>
      <c r="H56" s="12">
        <f t="shared" si="5"/>
        <v>841500</v>
      </c>
      <c r="I56" s="12">
        <f t="shared" si="6"/>
        <v>841500</v>
      </c>
      <c r="J56" s="12">
        <f t="shared" si="12"/>
        <v>25950.924852648586</v>
      </c>
      <c r="K56" s="12">
        <f t="shared" si="7"/>
        <v>10000000</v>
      </c>
      <c r="L56" s="12">
        <f t="shared" si="13"/>
        <v>170000000</v>
      </c>
      <c r="M56" s="14">
        <f t="shared" si="8"/>
        <v>4.166666666666667</v>
      </c>
      <c r="N56" s="11" t="str">
        <f t="shared" si="9"/>
        <v>CAP-1 — Healthy</v>
      </c>
      <c r="O56" s="12">
        <f t="shared" si="14"/>
        <v>410400000</v>
      </c>
      <c r="P56" s="12">
        <f t="shared" si="15"/>
        <v>8464500</v>
      </c>
      <c r="Q56" s="12">
        <f t="shared" si="16"/>
        <v>8652728.3806472253</v>
      </c>
    </row>
    <row r="57" spans="1:17" x14ac:dyDescent="0.25">
      <c r="A57" s="7">
        <v>24</v>
      </c>
      <c r="B57" s="8">
        <f t="shared" si="10"/>
        <v>1000</v>
      </c>
      <c r="C57" s="8">
        <f t="shared" si="11"/>
        <v>18000</v>
      </c>
      <c r="D57" s="8">
        <f t="shared" si="1"/>
        <v>4000</v>
      </c>
      <c r="E57" s="9">
        <f t="shared" si="2"/>
        <v>0.6</v>
      </c>
      <c r="F57" s="8">
        <f t="shared" si="3"/>
        <v>43200000</v>
      </c>
      <c r="G57" s="8">
        <f t="shared" si="4"/>
        <v>1782000</v>
      </c>
      <c r="H57" s="8">
        <f t="shared" si="5"/>
        <v>891000</v>
      </c>
      <c r="I57" s="8">
        <f t="shared" si="6"/>
        <v>891000</v>
      </c>
      <c r="J57" s="8">
        <f t="shared" si="12"/>
        <v>28842.427935490752</v>
      </c>
      <c r="K57" s="8">
        <f t="shared" si="7"/>
        <v>10000000</v>
      </c>
      <c r="L57" s="8">
        <f t="shared" si="13"/>
        <v>180000000</v>
      </c>
      <c r="M57" s="10">
        <f t="shared" si="8"/>
        <v>4.166666666666667</v>
      </c>
      <c r="N57" s="7" t="str">
        <f t="shared" si="9"/>
        <v>CAP-1 — Healthy</v>
      </c>
      <c r="O57" s="8">
        <f t="shared" si="14"/>
        <v>453600000</v>
      </c>
      <c r="P57" s="8">
        <f t="shared" si="15"/>
        <v>9355500</v>
      </c>
      <c r="Q57" s="8">
        <f t="shared" si="16"/>
        <v>9572570.8085827157</v>
      </c>
    </row>
    <row r="58" spans="1:17" x14ac:dyDescent="0.25">
      <c r="A58" s="11">
        <v>25</v>
      </c>
      <c r="B58" s="12">
        <f t="shared" si="10"/>
        <v>5000</v>
      </c>
      <c r="C58" s="12">
        <f t="shared" si="11"/>
        <v>23000</v>
      </c>
      <c r="D58" s="12">
        <f t="shared" si="1"/>
        <v>4000</v>
      </c>
      <c r="E58" s="13">
        <f t="shared" si="2"/>
        <v>0.6</v>
      </c>
      <c r="F58" s="12">
        <f t="shared" si="3"/>
        <v>55200000</v>
      </c>
      <c r="G58" s="12">
        <f t="shared" si="4"/>
        <v>2277000</v>
      </c>
      <c r="H58" s="12">
        <f t="shared" si="5"/>
        <v>1138500</v>
      </c>
      <c r="I58" s="12">
        <f t="shared" si="6"/>
        <v>1138500</v>
      </c>
      <c r="J58" s="12">
        <f t="shared" si="12"/>
        <v>31908.569361942387</v>
      </c>
      <c r="K58" s="12">
        <f t="shared" si="7"/>
        <v>50000000</v>
      </c>
      <c r="L58" s="12">
        <f t="shared" si="13"/>
        <v>230000000</v>
      </c>
      <c r="M58" s="14">
        <f t="shared" si="8"/>
        <v>4.166666666666667</v>
      </c>
      <c r="N58" s="11" t="str">
        <f t="shared" si="9"/>
        <v>CAP-1 — Healthy</v>
      </c>
      <c r="O58" s="12">
        <f t="shared" si="14"/>
        <v>508800000</v>
      </c>
      <c r="P58" s="12">
        <f t="shared" si="15"/>
        <v>10494000</v>
      </c>
      <c r="Q58" s="12">
        <f t="shared" si="16"/>
        <v>10742979.377944658</v>
      </c>
    </row>
    <row r="59" spans="1:17" x14ac:dyDescent="0.25">
      <c r="A59" s="7">
        <v>26</v>
      </c>
      <c r="B59" s="8">
        <f t="shared" si="10"/>
        <v>5000</v>
      </c>
      <c r="C59" s="8">
        <f t="shared" si="11"/>
        <v>28000</v>
      </c>
      <c r="D59" s="8">
        <f t="shared" si="1"/>
        <v>4000</v>
      </c>
      <c r="E59" s="9">
        <f t="shared" si="2"/>
        <v>0.6</v>
      </c>
      <c r="F59" s="8">
        <f t="shared" si="3"/>
        <v>67200000</v>
      </c>
      <c r="G59" s="8">
        <f t="shared" si="4"/>
        <v>2772000</v>
      </c>
      <c r="H59" s="8">
        <f t="shared" si="5"/>
        <v>1386000</v>
      </c>
      <c r="I59" s="8">
        <f t="shared" si="6"/>
        <v>1386000</v>
      </c>
      <c r="J59" s="8">
        <f t="shared" si="12"/>
        <v>35809.93125981553</v>
      </c>
      <c r="K59" s="8">
        <f t="shared" si="7"/>
        <v>50000000</v>
      </c>
      <c r="L59" s="8">
        <f t="shared" si="13"/>
        <v>280000000</v>
      </c>
      <c r="M59" s="10">
        <f t="shared" si="8"/>
        <v>4.166666666666667</v>
      </c>
      <c r="N59" s="7" t="str">
        <f t="shared" si="9"/>
        <v>CAP-1 — Healthy</v>
      </c>
      <c r="O59" s="8">
        <f t="shared" si="14"/>
        <v>576000000</v>
      </c>
      <c r="P59" s="8">
        <f t="shared" si="15"/>
        <v>11880000</v>
      </c>
      <c r="Q59" s="8">
        <f t="shared" si="16"/>
        <v>12164789.309204472</v>
      </c>
    </row>
    <row r="60" spans="1:17" x14ac:dyDescent="0.25">
      <c r="A60" s="11">
        <v>27</v>
      </c>
      <c r="B60" s="12">
        <f t="shared" si="10"/>
        <v>5000</v>
      </c>
      <c r="C60" s="12">
        <f t="shared" si="11"/>
        <v>33000</v>
      </c>
      <c r="D60" s="12">
        <f t="shared" si="1"/>
        <v>4000</v>
      </c>
      <c r="E60" s="13">
        <f t="shared" si="2"/>
        <v>0.6</v>
      </c>
      <c r="F60" s="12">
        <f t="shared" si="3"/>
        <v>79200000</v>
      </c>
      <c r="G60" s="12">
        <f t="shared" si="4"/>
        <v>3267000</v>
      </c>
      <c r="H60" s="12">
        <f t="shared" si="5"/>
        <v>1633500</v>
      </c>
      <c r="I60" s="12">
        <f t="shared" si="6"/>
        <v>1633500</v>
      </c>
      <c r="J60" s="12">
        <f t="shared" si="12"/>
        <v>40549.297697348244</v>
      </c>
      <c r="K60" s="12">
        <f t="shared" si="7"/>
        <v>50000000</v>
      </c>
      <c r="L60" s="12">
        <f t="shared" si="13"/>
        <v>330000000</v>
      </c>
      <c r="M60" s="14">
        <f t="shared" si="8"/>
        <v>4.166666666666667</v>
      </c>
      <c r="N60" s="11" t="str">
        <f t="shared" si="9"/>
        <v>CAP-1 — Healthy</v>
      </c>
      <c r="O60" s="12">
        <f t="shared" si="14"/>
        <v>655200000</v>
      </c>
      <c r="P60" s="12">
        <f t="shared" si="15"/>
        <v>13513500</v>
      </c>
      <c r="Q60" s="12">
        <f t="shared" si="16"/>
        <v>13838838.606901821</v>
      </c>
    </row>
    <row r="61" spans="1:17" x14ac:dyDescent="0.25">
      <c r="A61" s="7">
        <v>28</v>
      </c>
      <c r="B61" s="8">
        <f t="shared" si="10"/>
        <v>5000</v>
      </c>
      <c r="C61" s="8">
        <f t="shared" si="11"/>
        <v>38000</v>
      </c>
      <c r="D61" s="8">
        <f t="shared" si="1"/>
        <v>4000</v>
      </c>
      <c r="E61" s="9">
        <f t="shared" si="2"/>
        <v>0.6</v>
      </c>
      <c r="F61" s="8">
        <f t="shared" si="3"/>
        <v>91200000</v>
      </c>
      <c r="G61" s="8">
        <f t="shared" si="4"/>
        <v>3762000</v>
      </c>
      <c r="H61" s="8">
        <f t="shared" si="5"/>
        <v>1881000</v>
      </c>
      <c r="I61" s="8">
        <f t="shared" si="6"/>
        <v>1881000</v>
      </c>
      <c r="J61" s="8">
        <f t="shared" si="12"/>
        <v>46129.462023006075</v>
      </c>
      <c r="K61" s="8">
        <f t="shared" si="7"/>
        <v>50000000</v>
      </c>
      <c r="L61" s="8">
        <f t="shared" si="13"/>
        <v>380000000</v>
      </c>
      <c r="M61" s="10">
        <f t="shared" si="8"/>
        <v>4.166666666666667</v>
      </c>
      <c r="N61" s="7" t="str">
        <f t="shared" si="9"/>
        <v>CAP-1 — Healthy</v>
      </c>
      <c r="O61" s="8">
        <f t="shared" si="14"/>
        <v>746400000</v>
      </c>
      <c r="P61" s="8">
        <f t="shared" si="15"/>
        <v>15394500</v>
      </c>
      <c r="Q61" s="8">
        <f t="shared" si="16"/>
        <v>15765968.068924828</v>
      </c>
    </row>
    <row r="62" spans="1:17" x14ac:dyDescent="0.25">
      <c r="A62" s="11">
        <v>29</v>
      </c>
      <c r="B62" s="12">
        <f t="shared" si="10"/>
        <v>5000</v>
      </c>
      <c r="C62" s="12">
        <f t="shared" si="11"/>
        <v>43000</v>
      </c>
      <c r="D62" s="12">
        <f t="shared" si="1"/>
        <v>4000</v>
      </c>
      <c r="E62" s="13">
        <f t="shared" si="2"/>
        <v>0.6</v>
      </c>
      <c r="F62" s="12">
        <f t="shared" si="3"/>
        <v>103200000</v>
      </c>
      <c r="G62" s="12">
        <f t="shared" si="4"/>
        <v>4257000</v>
      </c>
      <c r="H62" s="12">
        <f t="shared" si="5"/>
        <v>2128500</v>
      </c>
      <c r="I62" s="12">
        <f t="shared" si="6"/>
        <v>2128500</v>
      </c>
      <c r="J62" s="12">
        <f t="shared" si="12"/>
        <v>52553.226896416098</v>
      </c>
      <c r="K62" s="12">
        <f t="shared" si="7"/>
        <v>50000000</v>
      </c>
      <c r="L62" s="12">
        <f t="shared" si="13"/>
        <v>430000000</v>
      </c>
      <c r="M62" s="14">
        <f t="shared" si="8"/>
        <v>4.166666666666667</v>
      </c>
      <c r="N62" s="11" t="str">
        <f t="shared" si="9"/>
        <v>CAP-1 — Healthy</v>
      </c>
      <c r="O62" s="12">
        <f t="shared" si="14"/>
        <v>849600000</v>
      </c>
      <c r="P62" s="12">
        <f t="shared" si="15"/>
        <v>17523000</v>
      </c>
      <c r="Q62" s="12">
        <f t="shared" si="16"/>
        <v>17947021.295821246</v>
      </c>
    </row>
    <row r="63" spans="1:17" x14ac:dyDescent="0.25">
      <c r="A63" s="7">
        <v>30</v>
      </c>
      <c r="B63" s="8">
        <f t="shared" si="10"/>
        <v>5000</v>
      </c>
      <c r="C63" s="8">
        <f t="shared" si="11"/>
        <v>48000</v>
      </c>
      <c r="D63" s="8">
        <f t="shared" si="1"/>
        <v>4000</v>
      </c>
      <c r="E63" s="9">
        <f t="shared" si="2"/>
        <v>0.6</v>
      </c>
      <c r="F63" s="8">
        <f t="shared" si="3"/>
        <v>115200000</v>
      </c>
      <c r="G63" s="8">
        <f t="shared" si="4"/>
        <v>4752000</v>
      </c>
      <c r="H63" s="8">
        <f t="shared" si="5"/>
        <v>2376000</v>
      </c>
      <c r="I63" s="8">
        <f t="shared" si="6"/>
        <v>2376000</v>
      </c>
      <c r="J63" s="8">
        <f t="shared" si="12"/>
        <v>59823.404319404159</v>
      </c>
      <c r="K63" s="8">
        <f t="shared" si="7"/>
        <v>50000000</v>
      </c>
      <c r="L63" s="8">
        <f t="shared" si="13"/>
        <v>480000000</v>
      </c>
      <c r="M63" s="10">
        <f t="shared" si="8"/>
        <v>4.166666666666667</v>
      </c>
      <c r="N63" s="7" t="str">
        <f t="shared" si="9"/>
        <v>CAP-1 — Healthy</v>
      </c>
      <c r="O63" s="8">
        <f t="shared" si="14"/>
        <v>964800000</v>
      </c>
      <c r="P63" s="8">
        <f t="shared" si="15"/>
        <v>19899000</v>
      </c>
      <c r="Q63" s="8">
        <f t="shared" si="16"/>
        <v>20382844.700140651</v>
      </c>
    </row>
    <row r="64" spans="1:17" x14ac:dyDescent="0.25">
      <c r="A64" s="11">
        <v>31</v>
      </c>
      <c r="B64" s="12">
        <f t="shared" si="10"/>
        <v>5000</v>
      </c>
      <c r="C64" s="12">
        <f t="shared" si="11"/>
        <v>53000</v>
      </c>
      <c r="D64" s="12">
        <f t="shared" si="1"/>
        <v>4000</v>
      </c>
      <c r="E64" s="13">
        <f t="shared" si="2"/>
        <v>0.6</v>
      </c>
      <c r="F64" s="12">
        <f t="shared" si="3"/>
        <v>127200000</v>
      </c>
      <c r="G64" s="12">
        <f t="shared" si="4"/>
        <v>5247000</v>
      </c>
      <c r="H64" s="12">
        <f t="shared" si="5"/>
        <v>2623500</v>
      </c>
      <c r="I64" s="12">
        <f t="shared" si="6"/>
        <v>2623500</v>
      </c>
      <c r="J64" s="12">
        <f t="shared" si="12"/>
        <v>67942.81566713551</v>
      </c>
      <c r="K64" s="12">
        <f t="shared" si="7"/>
        <v>50000000</v>
      </c>
      <c r="L64" s="12">
        <f t="shared" si="13"/>
        <v>530000000</v>
      </c>
      <c r="M64" s="14">
        <f t="shared" si="8"/>
        <v>4.166666666666667</v>
      </c>
      <c r="N64" s="11" t="str">
        <f t="shared" si="9"/>
        <v>CAP-1 — Healthy</v>
      </c>
      <c r="O64" s="12">
        <f t="shared" si="14"/>
        <v>1092000000</v>
      </c>
      <c r="P64" s="12">
        <f t="shared" si="15"/>
        <v>22522500</v>
      </c>
      <c r="Q64" s="12">
        <f t="shared" si="16"/>
        <v>23074287.515807785</v>
      </c>
    </row>
    <row r="65" spans="1:17" x14ac:dyDescent="0.25">
      <c r="A65" s="7">
        <v>32</v>
      </c>
      <c r="B65" s="8">
        <f t="shared" si="10"/>
        <v>5000</v>
      </c>
      <c r="C65" s="8">
        <f t="shared" si="11"/>
        <v>58000</v>
      </c>
      <c r="D65" s="8">
        <f t="shared" si="1"/>
        <v>4000</v>
      </c>
      <c r="E65" s="9">
        <f t="shared" si="2"/>
        <v>0.6</v>
      </c>
      <c r="F65" s="8">
        <f t="shared" si="3"/>
        <v>139200000</v>
      </c>
      <c r="G65" s="8">
        <f t="shared" si="4"/>
        <v>5742000</v>
      </c>
      <c r="H65" s="8">
        <f t="shared" si="5"/>
        <v>2871000</v>
      </c>
      <c r="I65" s="8">
        <f t="shared" si="6"/>
        <v>2871000</v>
      </c>
      <c r="J65" s="8">
        <f t="shared" si="12"/>
        <v>76914.291719359288</v>
      </c>
      <c r="K65" s="8">
        <f t="shared" si="7"/>
        <v>50000000</v>
      </c>
      <c r="L65" s="8">
        <f t="shared" si="13"/>
        <v>580000000</v>
      </c>
      <c r="M65" s="10">
        <f t="shared" si="8"/>
        <v>4.166666666666667</v>
      </c>
      <c r="N65" s="7" t="str">
        <f t="shared" si="9"/>
        <v>CAP-1 — Healthy</v>
      </c>
      <c r="O65" s="8">
        <f t="shared" si="14"/>
        <v>1231200000</v>
      </c>
      <c r="P65" s="8">
        <f t="shared" si="15"/>
        <v>25393500</v>
      </c>
      <c r="Q65" s="8">
        <f t="shared" si="16"/>
        <v>26022201.807527144</v>
      </c>
    </row>
    <row r="66" spans="1:17" x14ac:dyDescent="0.25">
      <c r="A66" s="11">
        <v>33</v>
      </c>
      <c r="B66" s="12">
        <f t="shared" si="10"/>
        <v>5000</v>
      </c>
      <c r="C66" s="12">
        <f t="shared" si="11"/>
        <v>63000</v>
      </c>
      <c r="D66" s="12">
        <f t="shared" si="1"/>
        <v>4000</v>
      </c>
      <c r="E66" s="13">
        <f t="shared" si="2"/>
        <v>0.6</v>
      </c>
      <c r="F66" s="12">
        <f t="shared" si="3"/>
        <v>151200000</v>
      </c>
      <c r="G66" s="12">
        <f t="shared" si="4"/>
        <v>6237000</v>
      </c>
      <c r="H66" s="12">
        <f t="shared" si="5"/>
        <v>3118500</v>
      </c>
      <c r="I66" s="12">
        <f t="shared" si="6"/>
        <v>3118500</v>
      </c>
      <c r="J66" s="12">
        <f t="shared" si="12"/>
        <v>86740.67269175715</v>
      </c>
      <c r="K66" s="12">
        <f t="shared" si="7"/>
        <v>50000000</v>
      </c>
      <c r="L66" s="12">
        <f t="shared" si="13"/>
        <v>630000000</v>
      </c>
      <c r="M66" s="14">
        <f t="shared" si="8"/>
        <v>4.166666666666667</v>
      </c>
      <c r="N66" s="11" t="str">
        <f t="shared" si="9"/>
        <v>CAP-1 — Healthy</v>
      </c>
      <c r="O66" s="12">
        <f t="shared" si="14"/>
        <v>1382400000</v>
      </c>
      <c r="P66" s="12">
        <f t="shared" si="15"/>
        <v>28512000</v>
      </c>
      <c r="Q66" s="12">
        <f t="shared" si="16"/>
        <v>29227442.480218902</v>
      </c>
    </row>
    <row r="67" spans="1:17" x14ac:dyDescent="0.25">
      <c r="A67" s="7">
        <v>34</v>
      </c>
      <c r="B67" s="8">
        <f t="shared" si="10"/>
        <v>5000</v>
      </c>
      <c r="C67" s="8">
        <f t="shared" si="11"/>
        <v>68000</v>
      </c>
      <c r="D67" s="8">
        <f t="shared" si="1"/>
        <v>4000</v>
      </c>
      <c r="E67" s="9">
        <f t="shared" si="2"/>
        <v>0.6</v>
      </c>
      <c r="F67" s="8">
        <f t="shared" si="3"/>
        <v>163200000</v>
      </c>
      <c r="G67" s="8">
        <f t="shared" si="4"/>
        <v>6732000</v>
      </c>
      <c r="H67" s="8">
        <f t="shared" si="5"/>
        <v>3366000</v>
      </c>
      <c r="I67" s="8">
        <f t="shared" si="6"/>
        <v>3366000</v>
      </c>
      <c r="J67" s="8">
        <f t="shared" si="12"/>
        <v>97424.808267396351</v>
      </c>
      <c r="K67" s="8">
        <f t="shared" si="7"/>
        <v>50000000</v>
      </c>
      <c r="L67" s="8">
        <f t="shared" si="13"/>
        <v>680000000</v>
      </c>
      <c r="M67" s="10">
        <f t="shared" si="8"/>
        <v>4.166666666666667</v>
      </c>
      <c r="N67" s="7" t="str">
        <f t="shared" si="9"/>
        <v>CAP-1 — Healthy</v>
      </c>
      <c r="O67" s="8">
        <f t="shared" si="14"/>
        <v>1545600000</v>
      </c>
      <c r="P67" s="8">
        <f t="shared" si="15"/>
        <v>31878000</v>
      </c>
      <c r="Q67" s="8">
        <f t="shared" si="16"/>
        <v>32690867.288486298</v>
      </c>
    </row>
    <row r="68" spans="1:17" x14ac:dyDescent="0.25">
      <c r="A68" s="11">
        <v>35</v>
      </c>
      <c r="B68" s="12">
        <f t="shared" si="10"/>
        <v>5000</v>
      </c>
      <c r="C68" s="12">
        <f t="shared" si="11"/>
        <v>73000</v>
      </c>
      <c r="D68" s="12">
        <f t="shared" si="1"/>
        <v>4000</v>
      </c>
      <c r="E68" s="13">
        <f t="shared" si="2"/>
        <v>0.6</v>
      </c>
      <c r="F68" s="12">
        <f t="shared" si="3"/>
        <v>175200000</v>
      </c>
      <c r="G68" s="12">
        <f t="shared" si="4"/>
        <v>7227000</v>
      </c>
      <c r="H68" s="12">
        <f t="shared" si="5"/>
        <v>3613500</v>
      </c>
      <c r="I68" s="12">
        <f t="shared" si="6"/>
        <v>3613500</v>
      </c>
      <c r="J68" s="12">
        <f t="shared" si="12"/>
        <v>108969.55762828767</v>
      </c>
      <c r="K68" s="12">
        <f t="shared" si="7"/>
        <v>50000000</v>
      </c>
      <c r="L68" s="12">
        <f t="shared" si="13"/>
        <v>730000000</v>
      </c>
      <c r="M68" s="14">
        <f t="shared" si="8"/>
        <v>4.166666666666667</v>
      </c>
      <c r="N68" s="11" t="str">
        <f t="shared" si="9"/>
        <v>CAP-1 — Healthy</v>
      </c>
      <c r="O68" s="12">
        <f t="shared" si="14"/>
        <v>1720800000</v>
      </c>
      <c r="P68" s="12">
        <f t="shared" si="15"/>
        <v>35491500</v>
      </c>
      <c r="Q68" s="12">
        <f t="shared" si="16"/>
        <v>36413336.846114591</v>
      </c>
    </row>
    <row r="69" spans="1:17" x14ac:dyDescent="0.25">
      <c r="A69" s="7">
        <v>36</v>
      </c>
      <c r="B69" s="8">
        <f t="shared" si="10"/>
        <v>5000</v>
      </c>
      <c r="C69" s="8">
        <f t="shared" si="11"/>
        <v>78000</v>
      </c>
      <c r="D69" s="8">
        <f t="shared" si="1"/>
        <v>4000</v>
      </c>
      <c r="E69" s="9">
        <f t="shared" si="2"/>
        <v>0.6</v>
      </c>
      <c r="F69" s="8">
        <f t="shared" si="3"/>
        <v>187200000</v>
      </c>
      <c r="G69" s="8">
        <f t="shared" si="4"/>
        <v>7722000</v>
      </c>
      <c r="H69" s="8">
        <f t="shared" si="5"/>
        <v>3861000</v>
      </c>
      <c r="I69" s="8">
        <f t="shared" si="6"/>
        <v>3861000</v>
      </c>
      <c r="J69" s="8">
        <f t="shared" si="12"/>
        <v>121377.78948704865</v>
      </c>
      <c r="K69" s="8">
        <f t="shared" si="7"/>
        <v>50000000</v>
      </c>
      <c r="L69" s="8">
        <f t="shared" si="13"/>
        <v>780000000</v>
      </c>
      <c r="M69" s="10">
        <f t="shared" si="8"/>
        <v>4.166666666666667</v>
      </c>
      <c r="N69" s="7" t="str">
        <f t="shared" si="9"/>
        <v>CAP-1 — Healthy</v>
      </c>
      <c r="O69" s="8">
        <f t="shared" si="14"/>
        <v>1908000000</v>
      </c>
      <c r="P69" s="8">
        <f t="shared" si="15"/>
        <v>39352500</v>
      </c>
      <c r="Q69" s="8">
        <f t="shared" si="16"/>
        <v>40395714.63560164</v>
      </c>
    </row>
    <row r="70" spans="1:17" x14ac:dyDescent="0.25">
      <c r="A70" s="11">
        <v>37</v>
      </c>
      <c r="B70" s="12">
        <f t="shared" si="10"/>
        <v>10000</v>
      </c>
      <c r="C70" s="12">
        <f t="shared" si="11"/>
        <v>88000</v>
      </c>
      <c r="D70" s="12">
        <f t="shared" si="1"/>
        <v>4000</v>
      </c>
      <c r="E70" s="13">
        <f t="shared" si="2"/>
        <v>0.6</v>
      </c>
      <c r="F70" s="12">
        <f t="shared" si="3"/>
        <v>211200000</v>
      </c>
      <c r="G70" s="12">
        <f t="shared" si="4"/>
        <v>8712000</v>
      </c>
      <c r="H70" s="12">
        <f t="shared" si="5"/>
        <v>4356000</v>
      </c>
      <c r="I70" s="12">
        <f t="shared" si="6"/>
        <v>4356000</v>
      </c>
      <c r="J70" s="12">
        <f t="shared" si="12"/>
        <v>134652.38211867213</v>
      </c>
      <c r="K70" s="12">
        <f t="shared" si="7"/>
        <v>100000000</v>
      </c>
      <c r="L70" s="12">
        <f t="shared" si="13"/>
        <v>880000000</v>
      </c>
      <c r="M70" s="14">
        <f t="shared" si="8"/>
        <v>4.166666666666667</v>
      </c>
      <c r="N70" s="11" t="str">
        <f t="shared" si="9"/>
        <v>CAP-1 — Healthy</v>
      </c>
      <c r="O70" s="12">
        <f t="shared" si="14"/>
        <v>2119200000</v>
      </c>
      <c r="P70" s="12">
        <f t="shared" si="15"/>
        <v>43708500</v>
      </c>
      <c r="Q70" s="12">
        <f t="shared" si="16"/>
        <v>44886367.017720312</v>
      </c>
    </row>
    <row r="71" spans="1:17" x14ac:dyDescent="0.25">
      <c r="A71" s="7">
        <v>38</v>
      </c>
      <c r="B71" s="8">
        <f t="shared" si="10"/>
        <v>10000</v>
      </c>
      <c r="C71" s="8">
        <f t="shared" si="11"/>
        <v>98000</v>
      </c>
      <c r="D71" s="8">
        <f t="shared" si="1"/>
        <v>4000</v>
      </c>
      <c r="E71" s="9">
        <f t="shared" si="2"/>
        <v>0.6</v>
      </c>
      <c r="F71" s="8">
        <f t="shared" si="3"/>
        <v>235200000</v>
      </c>
      <c r="G71" s="8">
        <f t="shared" si="4"/>
        <v>9702000</v>
      </c>
      <c r="H71" s="8">
        <f t="shared" si="5"/>
        <v>4851000</v>
      </c>
      <c r="I71" s="8">
        <f t="shared" si="6"/>
        <v>4851000</v>
      </c>
      <c r="J71" s="8">
        <f t="shared" si="12"/>
        <v>149621.22339240104</v>
      </c>
      <c r="K71" s="8">
        <f t="shared" si="7"/>
        <v>100000000</v>
      </c>
      <c r="L71" s="8">
        <f t="shared" si="13"/>
        <v>980000000</v>
      </c>
      <c r="M71" s="10">
        <f t="shared" si="8"/>
        <v>4.166666666666667</v>
      </c>
      <c r="N71" s="7" t="str">
        <f t="shared" si="9"/>
        <v>CAP-1 — Healthy</v>
      </c>
      <c r="O71" s="8">
        <f t="shared" si="14"/>
        <v>2354400000</v>
      </c>
      <c r="P71" s="8">
        <f t="shared" si="15"/>
        <v>48559500</v>
      </c>
      <c r="Q71" s="8">
        <f t="shared" si="16"/>
        <v>49886988.241112716</v>
      </c>
    </row>
    <row r="72" spans="1:17" x14ac:dyDescent="0.25">
      <c r="A72" s="11">
        <v>39</v>
      </c>
      <c r="B72" s="12">
        <f t="shared" si="10"/>
        <v>10000</v>
      </c>
      <c r="C72" s="12">
        <f t="shared" si="11"/>
        <v>108000</v>
      </c>
      <c r="D72" s="12">
        <f t="shared" si="1"/>
        <v>4000</v>
      </c>
      <c r="E72" s="13">
        <f t="shared" si="2"/>
        <v>0.6</v>
      </c>
      <c r="F72" s="12">
        <f t="shared" si="3"/>
        <v>259200000</v>
      </c>
      <c r="G72" s="12">
        <f t="shared" si="4"/>
        <v>10692000</v>
      </c>
      <c r="H72" s="12">
        <f t="shared" si="5"/>
        <v>5346000</v>
      </c>
      <c r="I72" s="12">
        <f t="shared" si="6"/>
        <v>5346000</v>
      </c>
      <c r="J72" s="12">
        <f t="shared" si="12"/>
        <v>166289.96080370908</v>
      </c>
      <c r="K72" s="12">
        <f t="shared" si="7"/>
        <v>100000000</v>
      </c>
      <c r="L72" s="12">
        <f t="shared" si="13"/>
        <v>1080000000</v>
      </c>
      <c r="M72" s="14">
        <f t="shared" si="8"/>
        <v>4.166666666666667</v>
      </c>
      <c r="N72" s="11" t="str">
        <f t="shared" si="9"/>
        <v>CAP-1 — Healthy</v>
      </c>
      <c r="O72" s="12">
        <f t="shared" si="14"/>
        <v>2613600000</v>
      </c>
      <c r="P72" s="12">
        <f t="shared" si="15"/>
        <v>53905500</v>
      </c>
      <c r="Q72" s="12">
        <f t="shared" si="16"/>
        <v>55399278.201916426</v>
      </c>
    </row>
    <row r="73" spans="1:17" x14ac:dyDescent="0.25">
      <c r="A73" s="7">
        <v>40</v>
      </c>
      <c r="B73" s="8">
        <f t="shared" si="10"/>
        <v>10000</v>
      </c>
      <c r="C73" s="8">
        <f t="shared" si="11"/>
        <v>118000</v>
      </c>
      <c r="D73" s="8">
        <f t="shared" si="1"/>
        <v>4000</v>
      </c>
      <c r="E73" s="9">
        <f t="shared" si="2"/>
        <v>0.6</v>
      </c>
      <c r="F73" s="8">
        <f t="shared" si="3"/>
        <v>283200000</v>
      </c>
      <c r="G73" s="8">
        <f t="shared" si="4"/>
        <v>11682000</v>
      </c>
      <c r="H73" s="8">
        <f t="shared" si="5"/>
        <v>5841000</v>
      </c>
      <c r="I73" s="8">
        <f t="shared" si="6"/>
        <v>5841000</v>
      </c>
      <c r="J73" s="8">
        <f t="shared" si="12"/>
        <v>184664.26067305476</v>
      </c>
      <c r="K73" s="8">
        <f t="shared" si="7"/>
        <v>100000000</v>
      </c>
      <c r="L73" s="8">
        <f t="shared" si="13"/>
        <v>1180000000</v>
      </c>
      <c r="M73" s="10">
        <f t="shared" si="8"/>
        <v>4.166666666666667</v>
      </c>
      <c r="N73" s="7" t="str">
        <f t="shared" si="9"/>
        <v>CAP-1 — Healthy</v>
      </c>
      <c r="O73" s="8">
        <f t="shared" si="14"/>
        <v>2896800000</v>
      </c>
      <c r="P73" s="8">
        <f t="shared" si="15"/>
        <v>59746500</v>
      </c>
      <c r="Q73" s="8">
        <f t="shared" si="16"/>
        <v>61424942.46258948</v>
      </c>
    </row>
    <row r="74" spans="1:17" x14ac:dyDescent="0.25">
      <c r="A74" s="11">
        <v>41</v>
      </c>
      <c r="B74" s="12">
        <f t="shared" si="10"/>
        <v>10000</v>
      </c>
      <c r="C74" s="12">
        <f t="shared" si="11"/>
        <v>128000</v>
      </c>
      <c r="D74" s="12">
        <f t="shared" si="1"/>
        <v>4000</v>
      </c>
      <c r="E74" s="13">
        <f t="shared" si="2"/>
        <v>0.6</v>
      </c>
      <c r="F74" s="12">
        <f t="shared" si="3"/>
        <v>307200000</v>
      </c>
      <c r="G74" s="12">
        <f t="shared" si="4"/>
        <v>12672000</v>
      </c>
      <c r="H74" s="12">
        <f t="shared" si="5"/>
        <v>6336000</v>
      </c>
      <c r="I74" s="12">
        <f t="shared" si="6"/>
        <v>6336000</v>
      </c>
      <c r="J74" s="12">
        <f t="shared" si="12"/>
        <v>204749.80820863161</v>
      </c>
      <c r="K74" s="12">
        <f t="shared" si="7"/>
        <v>100000000</v>
      </c>
      <c r="L74" s="12">
        <f t="shared" si="13"/>
        <v>1280000000</v>
      </c>
      <c r="M74" s="14">
        <f t="shared" si="8"/>
        <v>4.166666666666667</v>
      </c>
      <c r="N74" s="11" t="str">
        <f t="shared" si="9"/>
        <v>CAP-1 — Healthy</v>
      </c>
      <c r="O74" s="12">
        <f t="shared" si="14"/>
        <v>3204000000</v>
      </c>
      <c r="P74" s="12">
        <f t="shared" si="15"/>
        <v>66082500</v>
      </c>
      <c r="Q74" s="12">
        <f t="shared" si="16"/>
        <v>67965692.270798102</v>
      </c>
    </row>
    <row r="75" spans="1:17" x14ac:dyDescent="0.25">
      <c r="A75" s="7">
        <v>42</v>
      </c>
      <c r="B75" s="8">
        <f t="shared" si="10"/>
        <v>10000</v>
      </c>
      <c r="C75" s="8">
        <f t="shared" si="11"/>
        <v>138000</v>
      </c>
      <c r="D75" s="8">
        <f t="shared" si="1"/>
        <v>4000</v>
      </c>
      <c r="E75" s="9">
        <f t="shared" si="2"/>
        <v>0.6</v>
      </c>
      <c r="F75" s="8">
        <f t="shared" si="3"/>
        <v>331200000</v>
      </c>
      <c r="G75" s="8">
        <f t="shared" si="4"/>
        <v>13662000</v>
      </c>
      <c r="H75" s="8">
        <f t="shared" si="5"/>
        <v>6831000</v>
      </c>
      <c r="I75" s="8">
        <f t="shared" si="6"/>
        <v>6831000</v>
      </c>
      <c r="J75" s="8">
        <f t="shared" si="12"/>
        <v>226552.30756932701</v>
      </c>
      <c r="K75" s="8">
        <f t="shared" si="7"/>
        <v>100000000</v>
      </c>
      <c r="L75" s="8">
        <f t="shared" si="13"/>
        <v>1380000000</v>
      </c>
      <c r="M75" s="10">
        <f t="shared" si="8"/>
        <v>4.166666666666667</v>
      </c>
      <c r="N75" s="7" t="str">
        <f t="shared" si="9"/>
        <v>CAP-1 — Healthy</v>
      </c>
      <c r="O75" s="8">
        <f t="shared" si="14"/>
        <v>3535200000</v>
      </c>
      <c r="P75" s="8">
        <f t="shared" si="15"/>
        <v>72913500</v>
      </c>
      <c r="Q75" s="8">
        <f t="shared" si="16"/>
        <v>75023244.578367427</v>
      </c>
    </row>
    <row r="76" spans="1:17" x14ac:dyDescent="0.25">
      <c r="A76" s="11">
        <v>43</v>
      </c>
      <c r="B76" s="12">
        <f t="shared" si="10"/>
        <v>10000</v>
      </c>
      <c r="C76" s="12">
        <f t="shared" si="11"/>
        <v>148000</v>
      </c>
      <c r="D76" s="12">
        <f t="shared" si="1"/>
        <v>4000</v>
      </c>
      <c r="E76" s="13">
        <f t="shared" si="2"/>
        <v>0.6</v>
      </c>
      <c r="F76" s="12">
        <f t="shared" si="3"/>
        <v>355200000</v>
      </c>
      <c r="G76" s="12">
        <f t="shared" si="4"/>
        <v>14652000</v>
      </c>
      <c r="H76" s="12">
        <f t="shared" si="5"/>
        <v>7326000</v>
      </c>
      <c r="I76" s="12">
        <f t="shared" si="6"/>
        <v>7326000</v>
      </c>
      <c r="J76" s="12">
        <f t="shared" si="12"/>
        <v>250077.48192789144</v>
      </c>
      <c r="K76" s="12">
        <f t="shared" si="7"/>
        <v>100000000</v>
      </c>
      <c r="L76" s="12">
        <f t="shared" si="13"/>
        <v>1480000000</v>
      </c>
      <c r="M76" s="14">
        <f t="shared" si="8"/>
        <v>4.166666666666667</v>
      </c>
      <c r="N76" s="11" t="str">
        <f t="shared" si="9"/>
        <v>CAP-1 — Healthy</v>
      </c>
      <c r="O76" s="12">
        <f t="shared" si="14"/>
        <v>3890400000</v>
      </c>
      <c r="P76" s="12">
        <f t="shared" si="15"/>
        <v>80239500</v>
      </c>
      <c r="Q76" s="12">
        <f t="shared" si="16"/>
        <v>82599322.060295314</v>
      </c>
    </row>
    <row r="77" spans="1:17" x14ac:dyDescent="0.25">
      <c r="A77" s="7">
        <v>44</v>
      </c>
      <c r="B77" s="8">
        <f t="shared" si="10"/>
        <v>10000</v>
      </c>
      <c r="C77" s="8">
        <f t="shared" si="11"/>
        <v>158000</v>
      </c>
      <c r="D77" s="8">
        <f t="shared" si="1"/>
        <v>4000</v>
      </c>
      <c r="E77" s="9">
        <f t="shared" si="2"/>
        <v>0.6</v>
      </c>
      <c r="F77" s="8">
        <f t="shared" si="3"/>
        <v>379200000</v>
      </c>
      <c r="G77" s="8">
        <f t="shared" si="4"/>
        <v>15642000</v>
      </c>
      <c r="H77" s="8">
        <f t="shared" si="5"/>
        <v>7821000</v>
      </c>
      <c r="I77" s="8">
        <f t="shared" si="6"/>
        <v>7821000</v>
      </c>
      <c r="J77" s="8">
        <f t="shared" si="12"/>
        <v>275331.07353431772</v>
      </c>
      <c r="K77" s="8">
        <f t="shared" si="7"/>
        <v>100000000</v>
      </c>
      <c r="L77" s="8">
        <f t="shared" si="13"/>
        <v>1580000000</v>
      </c>
      <c r="M77" s="10">
        <f t="shared" si="8"/>
        <v>4.166666666666667</v>
      </c>
      <c r="N77" s="7" t="str">
        <f t="shared" si="9"/>
        <v>CAP-1 — Healthy</v>
      </c>
      <c r="O77" s="8">
        <f t="shared" si="14"/>
        <v>4269600000</v>
      </c>
      <c r="P77" s="8">
        <f t="shared" si="15"/>
        <v>88060500</v>
      </c>
      <c r="Q77" s="8">
        <f t="shared" si="16"/>
        <v>90695653.133829638</v>
      </c>
    </row>
    <row r="78" spans="1:17" x14ac:dyDescent="0.25">
      <c r="A78" s="11">
        <v>45</v>
      </c>
      <c r="B78" s="12">
        <f t="shared" si="10"/>
        <v>10000</v>
      </c>
      <c r="C78" s="12">
        <f t="shared" si="11"/>
        <v>168000</v>
      </c>
      <c r="D78" s="12">
        <f t="shared" si="1"/>
        <v>4000</v>
      </c>
      <c r="E78" s="13">
        <f t="shared" si="2"/>
        <v>0.6</v>
      </c>
      <c r="F78" s="12">
        <f t="shared" si="3"/>
        <v>403200000</v>
      </c>
      <c r="G78" s="12">
        <f t="shared" si="4"/>
        <v>16632000</v>
      </c>
      <c r="H78" s="12">
        <f t="shared" si="5"/>
        <v>8316000</v>
      </c>
      <c r="I78" s="12">
        <f t="shared" si="6"/>
        <v>8316000</v>
      </c>
      <c r="J78" s="12">
        <f t="shared" si="12"/>
        <v>302318.84377943212</v>
      </c>
      <c r="K78" s="12">
        <f t="shared" si="7"/>
        <v>100000000</v>
      </c>
      <c r="L78" s="12">
        <f t="shared" si="13"/>
        <v>1680000000</v>
      </c>
      <c r="M78" s="14">
        <f t="shared" si="8"/>
        <v>4.166666666666667</v>
      </c>
      <c r="N78" s="11" t="str">
        <f t="shared" si="9"/>
        <v>CAP-1 — Healthy</v>
      </c>
      <c r="O78" s="12">
        <f t="shared" si="14"/>
        <v>4672800000</v>
      </c>
      <c r="P78" s="12">
        <f t="shared" si="15"/>
        <v>96376500</v>
      </c>
      <c r="Q78" s="12">
        <f t="shared" si="16"/>
        <v>99313971.977609068</v>
      </c>
    </row>
    <row r="79" spans="1:17" x14ac:dyDescent="0.25">
      <c r="A79" s="7">
        <v>46</v>
      </c>
      <c r="B79" s="8">
        <f t="shared" si="10"/>
        <v>10000</v>
      </c>
      <c r="C79" s="8">
        <f t="shared" si="11"/>
        <v>178000</v>
      </c>
      <c r="D79" s="8">
        <f t="shared" si="1"/>
        <v>4000</v>
      </c>
      <c r="E79" s="9">
        <f t="shared" si="2"/>
        <v>0.6</v>
      </c>
      <c r="F79" s="8">
        <f t="shared" si="3"/>
        <v>427200000</v>
      </c>
      <c r="G79" s="8">
        <f t="shared" si="4"/>
        <v>17622000</v>
      </c>
      <c r="H79" s="8">
        <f t="shared" si="5"/>
        <v>8811000</v>
      </c>
      <c r="I79" s="8">
        <f t="shared" si="6"/>
        <v>8811000</v>
      </c>
      <c r="J79" s="8">
        <f t="shared" si="12"/>
        <v>331046.57325869694</v>
      </c>
      <c r="K79" s="8">
        <f t="shared" si="7"/>
        <v>100000000</v>
      </c>
      <c r="L79" s="8">
        <f t="shared" si="13"/>
        <v>1780000000</v>
      </c>
      <c r="M79" s="10">
        <f t="shared" si="8"/>
        <v>4.166666666666667</v>
      </c>
      <c r="N79" s="7" t="str">
        <f t="shared" si="9"/>
        <v>CAP-1 — Healthy</v>
      </c>
      <c r="O79" s="8">
        <f t="shared" si="14"/>
        <v>5100000000</v>
      </c>
      <c r="P79" s="8">
        <f t="shared" si="15"/>
        <v>105187500</v>
      </c>
      <c r="Q79" s="8">
        <f t="shared" si="16"/>
        <v>108456018.55086777</v>
      </c>
    </row>
    <row r="80" spans="1:17" x14ac:dyDescent="0.25">
      <c r="A80" s="11">
        <v>47</v>
      </c>
      <c r="B80" s="12">
        <f t="shared" si="10"/>
        <v>10000</v>
      </c>
      <c r="C80" s="12">
        <f t="shared" si="11"/>
        <v>188000</v>
      </c>
      <c r="D80" s="12">
        <f t="shared" si="1"/>
        <v>4000</v>
      </c>
      <c r="E80" s="13">
        <f t="shared" si="2"/>
        <v>0.6</v>
      </c>
      <c r="F80" s="12">
        <f t="shared" si="3"/>
        <v>451200000</v>
      </c>
      <c r="G80" s="12">
        <f t="shared" si="4"/>
        <v>18612000</v>
      </c>
      <c r="H80" s="12">
        <f t="shared" si="5"/>
        <v>9306000</v>
      </c>
      <c r="I80" s="12">
        <f t="shared" si="6"/>
        <v>9306000</v>
      </c>
      <c r="J80" s="12">
        <f t="shared" si="12"/>
        <v>361520.06183622591</v>
      </c>
      <c r="K80" s="12">
        <f t="shared" si="7"/>
        <v>100000000</v>
      </c>
      <c r="L80" s="12">
        <f t="shared" si="13"/>
        <v>1880000000</v>
      </c>
      <c r="M80" s="14">
        <f t="shared" si="8"/>
        <v>4.166666666666667</v>
      </c>
      <c r="N80" s="11" t="str">
        <f t="shared" si="9"/>
        <v>CAP-1 — Healthy</v>
      </c>
      <c r="O80" s="12">
        <f t="shared" si="14"/>
        <v>5551200000</v>
      </c>
      <c r="P80" s="12">
        <f t="shared" si="15"/>
        <v>114493500</v>
      </c>
      <c r="Q80" s="12">
        <f t="shared" si="16"/>
        <v>118123538.61270399</v>
      </c>
    </row>
    <row r="81" spans="1:17" x14ac:dyDescent="0.25">
      <c r="A81" s="7">
        <v>48</v>
      </c>
      <c r="B81" s="8">
        <f t="shared" si="10"/>
        <v>10000</v>
      </c>
      <c r="C81" s="8">
        <f t="shared" si="11"/>
        <v>198000</v>
      </c>
      <c r="D81" s="8">
        <f t="shared" si="1"/>
        <v>4000</v>
      </c>
      <c r="E81" s="9">
        <f t="shared" si="2"/>
        <v>0.6</v>
      </c>
      <c r="F81" s="8">
        <f t="shared" si="3"/>
        <v>475200000</v>
      </c>
      <c r="G81" s="8">
        <f t="shared" si="4"/>
        <v>19602000</v>
      </c>
      <c r="H81" s="8">
        <f t="shared" si="5"/>
        <v>9801000</v>
      </c>
      <c r="I81" s="8">
        <f t="shared" si="6"/>
        <v>9801000</v>
      </c>
      <c r="J81" s="8">
        <f t="shared" si="12"/>
        <v>393745.12870901334</v>
      </c>
      <c r="K81" s="8">
        <f t="shared" si="7"/>
        <v>100000000</v>
      </c>
      <c r="L81" s="8">
        <f t="shared" si="13"/>
        <v>1980000000</v>
      </c>
      <c r="M81" s="10">
        <f t="shared" si="8"/>
        <v>4.166666666666667</v>
      </c>
      <c r="N81" s="7" t="str">
        <f t="shared" si="9"/>
        <v>CAP-1 — Healthy</v>
      </c>
      <c r="O81" s="8">
        <f t="shared" si="14"/>
        <v>6026400000</v>
      </c>
      <c r="P81" s="8">
        <f t="shared" si="15"/>
        <v>124294500</v>
      </c>
      <c r="Q81" s="8">
        <f t="shared" si="16"/>
        <v>128318283.74141301</v>
      </c>
    </row>
    <row r="82" spans="1:17" x14ac:dyDescent="0.25">
      <c r="A82" s="11">
        <v>49</v>
      </c>
      <c r="B82" s="12">
        <f t="shared" si="10"/>
        <v>10000</v>
      </c>
      <c r="C82" s="12">
        <f t="shared" si="11"/>
        <v>208000</v>
      </c>
      <c r="D82" s="12">
        <f t="shared" si="1"/>
        <v>4000</v>
      </c>
      <c r="E82" s="13">
        <f t="shared" si="2"/>
        <v>0.6</v>
      </c>
      <c r="F82" s="12">
        <f t="shared" si="3"/>
        <v>499200000</v>
      </c>
      <c r="G82" s="12">
        <f t="shared" si="4"/>
        <v>20592000</v>
      </c>
      <c r="H82" s="12">
        <f t="shared" si="5"/>
        <v>10296000</v>
      </c>
      <c r="I82" s="12">
        <f t="shared" si="6"/>
        <v>10296000</v>
      </c>
      <c r="J82" s="12">
        <f t="shared" si="12"/>
        <v>427727.61247137672</v>
      </c>
      <c r="K82" s="12">
        <f t="shared" si="7"/>
        <v>100000000</v>
      </c>
      <c r="L82" s="12">
        <f t="shared" si="13"/>
        <v>2080000000</v>
      </c>
      <c r="M82" s="14">
        <f t="shared" si="8"/>
        <v>4.166666666666667</v>
      </c>
      <c r="N82" s="11" t="str">
        <f t="shared" si="9"/>
        <v>CAP-1 — Healthy</v>
      </c>
      <c r="O82" s="12">
        <f t="shared" si="14"/>
        <v>6525600000</v>
      </c>
      <c r="P82" s="12">
        <f t="shared" si="15"/>
        <v>134590500</v>
      </c>
      <c r="Q82" s="12">
        <f t="shared" si="16"/>
        <v>139042011.35388437</v>
      </c>
    </row>
    <row r="83" spans="1:17" x14ac:dyDescent="0.25">
      <c r="A83" s="7">
        <v>50</v>
      </c>
      <c r="B83" s="8">
        <f t="shared" si="10"/>
        <v>10000</v>
      </c>
      <c r="C83" s="8">
        <f t="shared" si="11"/>
        <v>218000</v>
      </c>
      <c r="D83" s="8">
        <f t="shared" si="1"/>
        <v>4000</v>
      </c>
      <c r="E83" s="9">
        <f t="shared" si="2"/>
        <v>0.6</v>
      </c>
      <c r="F83" s="8">
        <f t="shared" si="3"/>
        <v>523200000</v>
      </c>
      <c r="G83" s="8">
        <f t="shared" si="4"/>
        <v>21582000</v>
      </c>
      <c r="H83" s="8">
        <f t="shared" si="5"/>
        <v>10791000</v>
      </c>
      <c r="I83" s="8">
        <f t="shared" si="6"/>
        <v>10791000</v>
      </c>
      <c r="J83" s="8">
        <f t="shared" si="12"/>
        <v>463473.37117961457</v>
      </c>
      <c r="K83" s="8">
        <f t="shared" si="7"/>
        <v>100000000</v>
      </c>
      <c r="L83" s="8">
        <f t="shared" si="13"/>
        <v>2180000000</v>
      </c>
      <c r="M83" s="10">
        <f t="shared" si="8"/>
        <v>4.166666666666667</v>
      </c>
      <c r="N83" s="7" t="str">
        <f t="shared" si="9"/>
        <v>CAP-1 — Healthy</v>
      </c>
      <c r="O83" s="8">
        <f t="shared" si="14"/>
        <v>7048800000</v>
      </c>
      <c r="P83" s="8">
        <f t="shared" si="15"/>
        <v>145381500</v>
      </c>
      <c r="Q83" s="8">
        <f t="shared" si="16"/>
        <v>150296484.72506398</v>
      </c>
    </row>
    <row r="84" spans="1:17" x14ac:dyDescent="0.25">
      <c r="A84" s="11">
        <v>51</v>
      </c>
      <c r="B84" s="12">
        <f t="shared" si="10"/>
        <v>10000</v>
      </c>
      <c r="C84" s="12">
        <f t="shared" si="11"/>
        <v>228000</v>
      </c>
      <c r="D84" s="12">
        <f t="shared" si="1"/>
        <v>4000</v>
      </c>
      <c r="E84" s="13">
        <f t="shared" si="2"/>
        <v>0.6</v>
      </c>
      <c r="F84" s="12">
        <f t="shared" si="3"/>
        <v>547200000</v>
      </c>
      <c r="G84" s="12">
        <f t="shared" si="4"/>
        <v>22572000</v>
      </c>
      <c r="H84" s="12">
        <f t="shared" si="5"/>
        <v>11286000</v>
      </c>
      <c r="I84" s="12">
        <f t="shared" si="6"/>
        <v>11286000</v>
      </c>
      <c r="J84" s="12">
        <f t="shared" si="12"/>
        <v>500988.28241687996</v>
      </c>
      <c r="K84" s="12">
        <f t="shared" si="7"/>
        <v>100000000</v>
      </c>
      <c r="L84" s="12">
        <f t="shared" si="13"/>
        <v>2280000000</v>
      </c>
      <c r="M84" s="14">
        <f t="shared" si="8"/>
        <v>4.166666666666667</v>
      </c>
      <c r="N84" s="11" t="str">
        <f t="shared" si="9"/>
        <v>CAP-1 — Healthy</v>
      </c>
      <c r="O84" s="12">
        <f t="shared" si="14"/>
        <v>7596000000</v>
      </c>
      <c r="P84" s="12">
        <f t="shared" si="15"/>
        <v>156667500</v>
      </c>
      <c r="Q84" s="12">
        <f t="shared" si="16"/>
        <v>162083473.00748086</v>
      </c>
    </row>
    <row r="85" spans="1:17" x14ac:dyDescent="0.25">
      <c r="A85" s="7">
        <v>52</v>
      </c>
      <c r="B85" s="8">
        <f t="shared" si="10"/>
        <v>10000</v>
      </c>
      <c r="C85" s="8">
        <f t="shared" si="11"/>
        <v>238000</v>
      </c>
      <c r="D85" s="8">
        <f t="shared" si="1"/>
        <v>4000</v>
      </c>
      <c r="E85" s="9">
        <f t="shared" si="2"/>
        <v>0.6</v>
      </c>
      <c r="F85" s="8">
        <f t="shared" si="3"/>
        <v>571200000</v>
      </c>
      <c r="G85" s="8">
        <f t="shared" si="4"/>
        <v>23562000</v>
      </c>
      <c r="H85" s="8">
        <f t="shared" si="5"/>
        <v>11781000</v>
      </c>
      <c r="I85" s="8">
        <f t="shared" si="6"/>
        <v>11781000</v>
      </c>
      <c r="J85" s="8">
        <f t="shared" si="12"/>
        <v>540278.24335826957</v>
      </c>
      <c r="K85" s="8">
        <f t="shared" si="7"/>
        <v>100000000</v>
      </c>
      <c r="L85" s="8">
        <f t="shared" si="13"/>
        <v>2380000000</v>
      </c>
      <c r="M85" s="10">
        <f t="shared" si="8"/>
        <v>4.166666666666667</v>
      </c>
      <c r="N85" s="7" t="str">
        <f t="shared" si="9"/>
        <v>CAP-1 — Healthy</v>
      </c>
      <c r="O85" s="8">
        <f t="shared" si="14"/>
        <v>8167200000</v>
      </c>
      <c r="P85" s="8">
        <f t="shared" si="15"/>
        <v>168448500</v>
      </c>
      <c r="Q85" s="8">
        <f t="shared" si="16"/>
        <v>174404751.25083914</v>
      </c>
    </row>
    <row r="86" spans="1:17" x14ac:dyDescent="0.25">
      <c r="A86" s="11">
        <v>53</v>
      </c>
      <c r="B86" s="12">
        <f t="shared" si="10"/>
        <v>10000</v>
      </c>
      <c r="C86" s="12">
        <f t="shared" si="11"/>
        <v>248000</v>
      </c>
      <c r="D86" s="12">
        <f t="shared" si="1"/>
        <v>4000</v>
      </c>
      <c r="E86" s="13">
        <f t="shared" si="2"/>
        <v>0.6</v>
      </c>
      <c r="F86" s="12">
        <f t="shared" si="3"/>
        <v>595200000</v>
      </c>
      <c r="G86" s="12">
        <f t="shared" si="4"/>
        <v>24552000</v>
      </c>
      <c r="H86" s="12">
        <f t="shared" si="5"/>
        <v>12276000</v>
      </c>
      <c r="I86" s="12">
        <f t="shared" si="6"/>
        <v>12276000</v>
      </c>
      <c r="J86" s="12">
        <f t="shared" si="12"/>
        <v>581349.17083613051</v>
      </c>
      <c r="K86" s="12">
        <f t="shared" si="7"/>
        <v>100000000</v>
      </c>
      <c r="L86" s="12">
        <f t="shared" si="13"/>
        <v>2480000000</v>
      </c>
      <c r="M86" s="14">
        <f t="shared" si="8"/>
        <v>4.166666666666667</v>
      </c>
      <c r="N86" s="11" t="str">
        <f t="shared" si="9"/>
        <v>CAP-1 — Healthy</v>
      </c>
      <c r="O86" s="12">
        <f t="shared" si="14"/>
        <v>8762400000</v>
      </c>
      <c r="P86" s="12">
        <f t="shared" si="15"/>
        <v>180724500</v>
      </c>
      <c r="Q86" s="12">
        <f t="shared" si="16"/>
        <v>187262100.42167526</v>
      </c>
    </row>
    <row r="87" spans="1:17" x14ac:dyDescent="0.25">
      <c r="A87" s="7">
        <v>54</v>
      </c>
      <c r="B87" s="8">
        <f t="shared" si="10"/>
        <v>10000</v>
      </c>
      <c r="C87" s="8">
        <f t="shared" si="11"/>
        <v>258000</v>
      </c>
      <c r="D87" s="8">
        <f t="shared" si="1"/>
        <v>4000</v>
      </c>
      <c r="E87" s="9">
        <f t="shared" si="2"/>
        <v>0.6</v>
      </c>
      <c r="F87" s="8">
        <f t="shared" si="3"/>
        <v>619200000</v>
      </c>
      <c r="G87" s="8">
        <f t="shared" si="4"/>
        <v>25542000</v>
      </c>
      <c r="H87" s="8">
        <f t="shared" si="5"/>
        <v>12771000</v>
      </c>
      <c r="I87" s="8">
        <f t="shared" si="6"/>
        <v>12771000</v>
      </c>
      <c r="J87" s="8">
        <f t="shared" si="12"/>
        <v>624207.00140558428</v>
      </c>
      <c r="K87" s="8">
        <f t="shared" si="7"/>
        <v>100000000</v>
      </c>
      <c r="L87" s="8">
        <f t="shared" si="13"/>
        <v>2580000000</v>
      </c>
      <c r="M87" s="10">
        <f t="shared" si="8"/>
        <v>4.166666666666667</v>
      </c>
      <c r="N87" s="7" t="str">
        <f t="shared" si="9"/>
        <v>CAP-1 — Healthy</v>
      </c>
      <c r="O87" s="8">
        <f t="shared" si="14"/>
        <v>9381600000</v>
      </c>
      <c r="P87" s="8">
        <f t="shared" si="15"/>
        <v>193495500</v>
      </c>
      <c r="Q87" s="8">
        <f t="shared" si="16"/>
        <v>200657307.42308086</v>
      </c>
    </row>
    <row r="88" spans="1:17" x14ac:dyDescent="0.25">
      <c r="A88" s="11">
        <v>55</v>
      </c>
      <c r="B88" s="12">
        <f t="shared" si="10"/>
        <v>10000</v>
      </c>
      <c r="C88" s="12">
        <f t="shared" si="11"/>
        <v>268000</v>
      </c>
      <c r="D88" s="12">
        <f t="shared" si="1"/>
        <v>4000</v>
      </c>
      <c r="E88" s="13">
        <f t="shared" si="2"/>
        <v>0.6</v>
      </c>
      <c r="F88" s="12">
        <f t="shared" si="3"/>
        <v>643200000</v>
      </c>
      <c r="G88" s="12">
        <f t="shared" si="4"/>
        <v>26532000</v>
      </c>
      <c r="H88" s="12">
        <f t="shared" si="5"/>
        <v>13266000</v>
      </c>
      <c r="I88" s="12">
        <f t="shared" si="6"/>
        <v>13266000</v>
      </c>
      <c r="J88" s="12">
        <f t="shared" si="12"/>
        <v>668857.69141026959</v>
      </c>
      <c r="K88" s="12">
        <f t="shared" si="7"/>
        <v>100000000</v>
      </c>
      <c r="L88" s="12">
        <f t="shared" si="13"/>
        <v>2680000000</v>
      </c>
      <c r="M88" s="14">
        <f t="shared" si="8"/>
        <v>4.166666666666667</v>
      </c>
      <c r="N88" s="11" t="str">
        <f t="shared" si="9"/>
        <v>CAP-1 — Healthy</v>
      </c>
      <c r="O88" s="12">
        <f t="shared" si="14"/>
        <v>10024800000</v>
      </c>
      <c r="P88" s="12">
        <f t="shared" si="15"/>
        <v>206761500</v>
      </c>
      <c r="Q88" s="12">
        <f t="shared" si="16"/>
        <v>214592165.11449113</v>
      </c>
    </row>
    <row r="89" spans="1:17" x14ac:dyDescent="0.25">
      <c r="A89" s="7">
        <v>56</v>
      </c>
      <c r="B89" s="8">
        <f t="shared" si="10"/>
        <v>10000</v>
      </c>
      <c r="C89" s="8">
        <f t="shared" si="11"/>
        <v>278000</v>
      </c>
      <c r="D89" s="8">
        <f t="shared" si="1"/>
        <v>4000</v>
      </c>
      <c r="E89" s="9">
        <f t="shared" si="2"/>
        <v>0.6</v>
      </c>
      <c r="F89" s="8">
        <f t="shared" si="3"/>
        <v>667200000</v>
      </c>
      <c r="G89" s="8">
        <f t="shared" si="4"/>
        <v>27522000</v>
      </c>
      <c r="H89" s="8">
        <f t="shared" si="5"/>
        <v>13761000</v>
      </c>
      <c r="I89" s="8">
        <f t="shared" si="6"/>
        <v>13761000</v>
      </c>
      <c r="J89" s="8">
        <f t="shared" si="12"/>
        <v>715307.21704830381</v>
      </c>
      <c r="K89" s="8">
        <f t="shared" si="7"/>
        <v>100000000</v>
      </c>
      <c r="L89" s="8">
        <f t="shared" si="13"/>
        <v>2780000000</v>
      </c>
      <c r="M89" s="10">
        <f t="shared" si="8"/>
        <v>4.166666666666667</v>
      </c>
      <c r="N89" s="7" t="str">
        <f t="shared" si="9"/>
        <v>CAP-1 — Healthy</v>
      </c>
      <c r="O89" s="8">
        <f t="shared" si="14"/>
        <v>10692000000</v>
      </c>
      <c r="P89" s="8">
        <f t="shared" si="15"/>
        <v>220522500</v>
      </c>
      <c r="Q89" s="8">
        <f t="shared" si="16"/>
        <v>229068472.33153945</v>
      </c>
    </row>
    <row r="90" spans="1:17" x14ac:dyDescent="0.25">
      <c r="A90" s="11">
        <v>57</v>
      </c>
      <c r="B90" s="12">
        <f t="shared" si="10"/>
        <v>10000</v>
      </c>
      <c r="C90" s="12">
        <f t="shared" si="11"/>
        <v>288000</v>
      </c>
      <c r="D90" s="12">
        <f t="shared" si="1"/>
        <v>4000</v>
      </c>
      <c r="E90" s="13">
        <f t="shared" si="2"/>
        <v>0.6</v>
      </c>
      <c r="F90" s="12">
        <f t="shared" si="3"/>
        <v>691200000</v>
      </c>
      <c r="G90" s="12">
        <f t="shared" si="4"/>
        <v>28512000</v>
      </c>
      <c r="H90" s="12">
        <f t="shared" si="5"/>
        <v>14256000</v>
      </c>
      <c r="I90" s="12">
        <f t="shared" si="6"/>
        <v>14256000</v>
      </c>
      <c r="J90" s="12">
        <f t="shared" si="12"/>
        <v>763561.57443846494</v>
      </c>
      <c r="K90" s="12">
        <f t="shared" si="7"/>
        <v>100000000</v>
      </c>
      <c r="L90" s="12">
        <f t="shared" si="13"/>
        <v>2880000000</v>
      </c>
      <c r="M90" s="14">
        <f t="shared" si="8"/>
        <v>4.166666666666667</v>
      </c>
      <c r="N90" s="11" t="str">
        <f t="shared" si="9"/>
        <v>CAP-1 — Healthy</v>
      </c>
      <c r="O90" s="12">
        <f t="shared" si="14"/>
        <v>11383200000</v>
      </c>
      <c r="P90" s="12">
        <f t="shared" si="15"/>
        <v>234778500</v>
      </c>
      <c r="Q90" s="12">
        <f t="shared" si="16"/>
        <v>244088033.9059779</v>
      </c>
    </row>
    <row r="91" spans="1:17" x14ac:dyDescent="0.25">
      <c r="A91" s="7">
        <v>58</v>
      </c>
      <c r="B91" s="8">
        <f t="shared" si="10"/>
        <v>10000</v>
      </c>
      <c r="C91" s="8">
        <f t="shared" si="11"/>
        <v>298000</v>
      </c>
      <c r="D91" s="8">
        <f t="shared" si="1"/>
        <v>4000</v>
      </c>
      <c r="E91" s="9">
        <f t="shared" si="2"/>
        <v>0.6</v>
      </c>
      <c r="F91" s="8">
        <f t="shared" si="3"/>
        <v>715200000</v>
      </c>
      <c r="G91" s="8">
        <f t="shared" si="4"/>
        <v>29502000</v>
      </c>
      <c r="H91" s="8">
        <f t="shared" si="5"/>
        <v>14751000</v>
      </c>
      <c r="I91" s="8">
        <f t="shared" si="6"/>
        <v>14751000</v>
      </c>
      <c r="J91" s="8">
        <f t="shared" si="12"/>
        <v>813626.7796865931</v>
      </c>
      <c r="K91" s="8">
        <f t="shared" si="7"/>
        <v>100000000</v>
      </c>
      <c r="L91" s="8">
        <f t="shared" si="13"/>
        <v>2980000000</v>
      </c>
      <c r="M91" s="10">
        <f t="shared" si="8"/>
        <v>4.166666666666667</v>
      </c>
      <c r="N91" s="7" t="str">
        <f t="shared" si="9"/>
        <v>CAP-1 — Healthy</v>
      </c>
      <c r="O91" s="8">
        <f t="shared" si="14"/>
        <v>12098400000</v>
      </c>
      <c r="P91" s="8">
        <f t="shared" si="15"/>
        <v>249529500</v>
      </c>
      <c r="Q91" s="8">
        <f t="shared" si="16"/>
        <v>259652660.6856645</v>
      </c>
    </row>
    <row r="92" spans="1:17" x14ac:dyDescent="0.25">
      <c r="A92" s="11">
        <v>59</v>
      </c>
      <c r="B92" s="12">
        <f t="shared" si="10"/>
        <v>10000</v>
      </c>
      <c r="C92" s="12">
        <f t="shared" si="11"/>
        <v>308000</v>
      </c>
      <c r="D92" s="12">
        <f t="shared" si="1"/>
        <v>4000</v>
      </c>
      <c r="E92" s="13">
        <f t="shared" si="2"/>
        <v>0.6</v>
      </c>
      <c r="F92" s="12">
        <f t="shared" si="3"/>
        <v>739200000</v>
      </c>
      <c r="G92" s="12">
        <f t="shared" si="4"/>
        <v>30492000</v>
      </c>
      <c r="H92" s="12">
        <f t="shared" si="5"/>
        <v>15246000</v>
      </c>
      <c r="I92" s="12">
        <f t="shared" si="6"/>
        <v>15246000</v>
      </c>
      <c r="J92" s="12">
        <f t="shared" si="12"/>
        <v>865508.86895221507</v>
      </c>
      <c r="K92" s="12">
        <f t="shared" si="7"/>
        <v>100000000</v>
      </c>
      <c r="L92" s="12">
        <f t="shared" si="13"/>
        <v>3080000000</v>
      </c>
      <c r="M92" s="14">
        <f t="shared" si="8"/>
        <v>4.166666666666667</v>
      </c>
      <c r="N92" s="11" t="str">
        <f t="shared" si="9"/>
        <v>CAP-1 — Healthy</v>
      </c>
      <c r="O92" s="12">
        <f t="shared" si="14"/>
        <v>12837600000</v>
      </c>
      <c r="P92" s="12">
        <f t="shared" si="15"/>
        <v>264775500</v>
      </c>
      <c r="Q92" s="12">
        <f t="shared" si="16"/>
        <v>275764169.55461675</v>
      </c>
    </row>
    <row r="93" spans="1:17" x14ac:dyDescent="0.25">
      <c r="A93" s="7">
        <v>60</v>
      </c>
      <c r="B93" s="8">
        <f t="shared" si="10"/>
        <v>10000</v>
      </c>
      <c r="C93" s="8">
        <f t="shared" si="11"/>
        <v>318000</v>
      </c>
      <c r="D93" s="8">
        <f t="shared" si="1"/>
        <v>4000</v>
      </c>
      <c r="E93" s="9">
        <f t="shared" si="2"/>
        <v>0.6</v>
      </c>
      <c r="F93" s="8">
        <f t="shared" si="3"/>
        <v>763200000</v>
      </c>
      <c r="G93" s="8">
        <f t="shared" si="4"/>
        <v>31482000</v>
      </c>
      <c r="H93" s="8">
        <f t="shared" si="5"/>
        <v>15741000</v>
      </c>
      <c r="I93" s="8">
        <f t="shared" si="6"/>
        <v>15741000</v>
      </c>
      <c r="J93" s="8">
        <f t="shared" si="12"/>
        <v>919213.89851538918</v>
      </c>
      <c r="K93" s="8">
        <f t="shared" si="7"/>
        <v>100000000</v>
      </c>
      <c r="L93" s="8">
        <f t="shared" si="13"/>
        <v>3180000000</v>
      </c>
      <c r="M93" s="10">
        <f t="shared" si="8"/>
        <v>4.166666666666667</v>
      </c>
      <c r="N93" s="7" t="str">
        <f t="shared" si="9"/>
        <v>CAP-1 — Healthy</v>
      </c>
      <c r="O93" s="8">
        <f t="shared" si="14"/>
        <v>13600800000</v>
      </c>
      <c r="P93" s="8">
        <f t="shared" si="15"/>
        <v>280516500</v>
      </c>
      <c r="Q93" s="8">
        <f t="shared" si="16"/>
        <v>292424383.45313215</v>
      </c>
    </row>
    <row r="94" spans="1:17" x14ac:dyDescent="0.25">
      <c r="A94" s="11">
        <v>61</v>
      </c>
      <c r="B94" s="12">
        <f t="shared" si="10"/>
        <v>10000</v>
      </c>
      <c r="C94" s="12">
        <f t="shared" si="11"/>
        <v>328000</v>
      </c>
      <c r="D94" s="12">
        <f t="shared" si="1"/>
        <v>4000</v>
      </c>
      <c r="E94" s="13">
        <f t="shared" si="2"/>
        <v>0.6</v>
      </c>
      <c r="F94" s="12">
        <f t="shared" si="3"/>
        <v>787200000</v>
      </c>
      <c r="G94" s="12">
        <f t="shared" si="4"/>
        <v>32472000</v>
      </c>
      <c r="H94" s="12">
        <f t="shared" si="5"/>
        <v>16236000</v>
      </c>
      <c r="I94" s="12">
        <f t="shared" si="6"/>
        <v>16236000</v>
      </c>
      <c r="J94" s="12">
        <f t="shared" si="12"/>
        <v>974747.94484377385</v>
      </c>
      <c r="K94" s="12">
        <f t="shared" si="7"/>
        <v>100000000</v>
      </c>
      <c r="L94" s="12">
        <f t="shared" si="13"/>
        <v>3280000000</v>
      </c>
      <c r="M94" s="14">
        <f t="shared" si="8"/>
        <v>4.166666666666667</v>
      </c>
      <c r="N94" s="11" t="str">
        <f t="shared" si="9"/>
        <v>CAP-1 — Healthy</v>
      </c>
      <c r="O94" s="12">
        <f t="shared" si="14"/>
        <v>14388000000</v>
      </c>
      <c r="P94" s="12">
        <f t="shared" si="15"/>
        <v>296752500</v>
      </c>
      <c r="Q94" s="12">
        <f t="shared" si="16"/>
        <v>309635131.39797592</v>
      </c>
    </row>
    <row r="95" spans="1:17" x14ac:dyDescent="0.25">
      <c r="A95" s="7">
        <v>62</v>
      </c>
      <c r="B95" s="8">
        <f t="shared" si="10"/>
        <v>10000</v>
      </c>
      <c r="C95" s="8">
        <f t="shared" si="11"/>
        <v>338000</v>
      </c>
      <c r="D95" s="8">
        <f t="shared" si="1"/>
        <v>4000</v>
      </c>
      <c r="E95" s="9">
        <f t="shared" si="2"/>
        <v>0.6</v>
      </c>
      <c r="F95" s="8">
        <f t="shared" si="3"/>
        <v>811200000</v>
      </c>
      <c r="G95" s="8">
        <f t="shared" si="4"/>
        <v>33462000</v>
      </c>
      <c r="H95" s="8">
        <f t="shared" si="5"/>
        <v>16731000</v>
      </c>
      <c r="I95" s="8">
        <f t="shared" si="6"/>
        <v>16731000</v>
      </c>
      <c r="J95" s="8">
        <f t="shared" si="12"/>
        <v>1032117.1046599199</v>
      </c>
      <c r="K95" s="8">
        <f t="shared" si="7"/>
        <v>100000000</v>
      </c>
      <c r="L95" s="8">
        <f t="shared" si="13"/>
        <v>3380000000</v>
      </c>
      <c r="M95" s="10">
        <f t="shared" si="8"/>
        <v>4.166666666666667</v>
      </c>
      <c r="N95" s="7" t="str">
        <f t="shared" si="9"/>
        <v>CAP-1 — Healthy</v>
      </c>
      <c r="O95" s="8">
        <f t="shared" si="14"/>
        <v>15199200000</v>
      </c>
      <c r="P95" s="8">
        <f t="shared" si="15"/>
        <v>313483500</v>
      </c>
      <c r="Q95" s="8">
        <f t="shared" si="16"/>
        <v>327398248.50263584</v>
      </c>
    </row>
    <row r="96" spans="1:17" x14ac:dyDescent="0.25">
      <c r="A96" s="11">
        <v>63</v>
      </c>
      <c r="B96" s="12">
        <f t="shared" si="10"/>
        <v>10000</v>
      </c>
      <c r="C96" s="12">
        <f t="shared" si="11"/>
        <v>348000</v>
      </c>
      <c r="D96" s="12">
        <f t="shared" si="1"/>
        <v>4000</v>
      </c>
      <c r="E96" s="13">
        <f t="shared" si="2"/>
        <v>0.6</v>
      </c>
      <c r="F96" s="12">
        <f t="shared" si="3"/>
        <v>835200000</v>
      </c>
      <c r="G96" s="12">
        <f t="shared" si="4"/>
        <v>34452000</v>
      </c>
      <c r="H96" s="12">
        <f t="shared" si="5"/>
        <v>17226000</v>
      </c>
      <c r="I96" s="12">
        <f t="shared" si="6"/>
        <v>17226000</v>
      </c>
      <c r="J96" s="12">
        <f t="shared" si="12"/>
        <v>1091327.4950087862</v>
      </c>
      <c r="K96" s="12">
        <f t="shared" si="7"/>
        <v>100000000</v>
      </c>
      <c r="L96" s="12">
        <f t="shared" si="13"/>
        <v>3480000000</v>
      </c>
      <c r="M96" s="14">
        <f t="shared" si="8"/>
        <v>4.166666666666667</v>
      </c>
      <c r="N96" s="11" t="str">
        <f t="shared" si="9"/>
        <v>CAP-1 — Healthy</v>
      </c>
      <c r="O96" s="12">
        <f t="shared" si="14"/>
        <v>16034400000</v>
      </c>
      <c r="P96" s="12">
        <f t="shared" si="15"/>
        <v>330709500</v>
      </c>
      <c r="Q96" s="12">
        <f t="shared" si="16"/>
        <v>345715575.9976446</v>
      </c>
    </row>
    <row r="97" spans="1:17" x14ac:dyDescent="0.25">
      <c r="A97" s="7">
        <v>64</v>
      </c>
      <c r="B97" s="8">
        <f t="shared" si="10"/>
        <v>10000</v>
      </c>
      <c r="C97" s="8">
        <f t="shared" si="11"/>
        <v>358000</v>
      </c>
      <c r="D97" s="8">
        <f t="shared" si="1"/>
        <v>4000</v>
      </c>
      <c r="E97" s="9">
        <f t="shared" si="2"/>
        <v>0.6</v>
      </c>
      <c r="F97" s="8">
        <f t="shared" si="3"/>
        <v>859200000</v>
      </c>
      <c r="G97" s="8">
        <f t="shared" si="4"/>
        <v>35442000</v>
      </c>
      <c r="H97" s="8">
        <f t="shared" si="5"/>
        <v>17721000</v>
      </c>
      <c r="I97" s="8">
        <f t="shared" si="6"/>
        <v>17721000</v>
      </c>
      <c r="J97" s="8">
        <f t="shared" si="12"/>
        <v>1152385.2533254821</v>
      </c>
      <c r="K97" s="8">
        <f t="shared" si="7"/>
        <v>100000000</v>
      </c>
      <c r="L97" s="8">
        <f t="shared" si="13"/>
        <v>3580000000</v>
      </c>
      <c r="M97" s="10">
        <f t="shared" si="8"/>
        <v>4.166666666666667</v>
      </c>
      <c r="N97" s="7" t="str">
        <f t="shared" si="9"/>
        <v>CAP-1 — Healthy</v>
      </c>
      <c r="O97" s="8">
        <f t="shared" si="14"/>
        <v>16893600000</v>
      </c>
      <c r="P97" s="8">
        <f t="shared" si="15"/>
        <v>348430500</v>
      </c>
      <c r="Q97" s="8">
        <f t="shared" si="16"/>
        <v>364588961.25097007</v>
      </c>
    </row>
    <row r="98" spans="1:17" x14ac:dyDescent="0.25">
      <c r="A98" s="11">
        <v>65</v>
      </c>
      <c r="B98" s="12">
        <f t="shared" si="10"/>
        <v>10000</v>
      </c>
      <c r="C98" s="12">
        <f t="shared" si="11"/>
        <v>368000</v>
      </c>
      <c r="D98" s="12">
        <f t="shared" ref="D98:D161" si="17">$D$4</f>
        <v>4000</v>
      </c>
      <c r="E98" s="13">
        <f t="shared" ref="E98:E161" si="18">$D$8</f>
        <v>0.6</v>
      </c>
      <c r="F98" s="12">
        <f t="shared" ref="F98:F161" si="19">C98*D98*E98</f>
        <v>883200000</v>
      </c>
      <c r="G98" s="12">
        <f t="shared" ref="G98:G161" si="20">C98*$D$5</f>
        <v>36432000</v>
      </c>
      <c r="H98" s="12">
        <f t="shared" ref="H98:H161" si="21">G98*$D$6</f>
        <v>18216000</v>
      </c>
      <c r="I98" s="12">
        <f t="shared" ref="I98:I161" si="22">G98*$D$7</f>
        <v>18216000</v>
      </c>
      <c r="J98" s="12">
        <f t="shared" si="12"/>
        <v>1215296.5375032336</v>
      </c>
      <c r="K98" s="12">
        <f t="shared" ref="K98:K161" si="23">INDEX($J$5:$J$29,MIN(INT((A98-1)/12)+1,25))</f>
        <v>100000000</v>
      </c>
      <c r="L98" s="12">
        <f t="shared" si="13"/>
        <v>3680000000</v>
      </c>
      <c r="M98" s="14">
        <f t="shared" ref="M98:M161" si="24">IF(F98=0,0,L98/F98)</f>
        <v>4.166666666666667</v>
      </c>
      <c r="N98" s="11" t="str">
        <f t="shared" ref="N98:N161" si="25">IF(M98&gt;=2,"CAP-1 — Healthy",IF(M98&gt;=1.5,"CAP-2 — Watch",IF(M98&gt;=1.2,"CAP-3 — Caution","CAP-4 — Protect")))</f>
        <v>CAP-1 — Healthy</v>
      </c>
      <c r="O98" s="12">
        <f t="shared" si="14"/>
        <v>17776800000</v>
      </c>
      <c r="P98" s="12">
        <f t="shared" si="15"/>
        <v>366646500</v>
      </c>
      <c r="Q98" s="12">
        <f t="shared" si="16"/>
        <v>384020257.78847331</v>
      </c>
    </row>
    <row r="99" spans="1:17" x14ac:dyDescent="0.25">
      <c r="A99" s="7">
        <v>66</v>
      </c>
      <c r="B99" s="8">
        <f t="shared" ref="B99:B162" si="26">MAX(0,MIN(INDEX($G$5:$G$29,MIN(INT((A99-1)/12)+1,25)),MAX(0,INT((L98+INDEX($J$5:$J$29,MIN(INT((A99-1)/12)+1,25)))/(2*$D$4*$D$8))-C98),IF($D$11&gt;C98,INT($D$11-C98),0)))</f>
        <v>10000</v>
      </c>
      <c r="C99" s="8">
        <f t="shared" ref="C99:C162" si="27">MIN(C98+B99,$D$11)</f>
        <v>378000</v>
      </c>
      <c r="D99" s="8">
        <f t="shared" si="17"/>
        <v>4000</v>
      </c>
      <c r="E99" s="9">
        <f t="shared" si="18"/>
        <v>0.6</v>
      </c>
      <c r="F99" s="8">
        <f t="shared" si="19"/>
        <v>907200000</v>
      </c>
      <c r="G99" s="8">
        <f t="shared" si="20"/>
        <v>37422000</v>
      </c>
      <c r="H99" s="8">
        <f t="shared" si="21"/>
        <v>18711000</v>
      </c>
      <c r="I99" s="8">
        <f t="shared" si="22"/>
        <v>18711000</v>
      </c>
      <c r="J99" s="8">
        <f t="shared" ref="J99:J162" si="28">Q98*($D$9/12)</f>
        <v>1280067.5259615777</v>
      </c>
      <c r="K99" s="8">
        <f t="shared" si="23"/>
        <v>100000000</v>
      </c>
      <c r="L99" s="8">
        <f t="shared" ref="L99:L162" si="29">L98+K99</f>
        <v>3780000000</v>
      </c>
      <c r="M99" s="10">
        <f t="shared" si="24"/>
        <v>4.166666666666667</v>
      </c>
      <c r="N99" s="7" t="str">
        <f t="shared" si="25"/>
        <v>CAP-1 — Healthy</v>
      </c>
      <c r="O99" s="8">
        <f t="shared" ref="O99:O162" si="30">O98+F99</f>
        <v>18684000000</v>
      </c>
      <c r="P99" s="8">
        <f t="shared" ref="P99:P162" si="31">P98+H99</f>
        <v>385357500</v>
      </c>
      <c r="Q99" s="8">
        <f t="shared" ref="Q99:Q162" si="32">Q98+I99+J99</f>
        <v>404011325.31443489</v>
      </c>
    </row>
    <row r="100" spans="1:17" x14ac:dyDescent="0.25">
      <c r="A100" s="11">
        <v>67</v>
      </c>
      <c r="B100" s="12">
        <f t="shared" si="26"/>
        <v>10000</v>
      </c>
      <c r="C100" s="12">
        <f t="shared" si="27"/>
        <v>388000</v>
      </c>
      <c r="D100" s="12">
        <f t="shared" si="17"/>
        <v>4000</v>
      </c>
      <c r="E100" s="13">
        <f t="shared" si="18"/>
        <v>0.6</v>
      </c>
      <c r="F100" s="12">
        <f t="shared" si="19"/>
        <v>931200000</v>
      </c>
      <c r="G100" s="12">
        <f t="shared" si="20"/>
        <v>38412000</v>
      </c>
      <c r="H100" s="12">
        <f t="shared" si="21"/>
        <v>19206000</v>
      </c>
      <c r="I100" s="12">
        <f t="shared" si="22"/>
        <v>19206000</v>
      </c>
      <c r="J100" s="12">
        <f t="shared" si="28"/>
        <v>1346704.417714783</v>
      </c>
      <c r="K100" s="12">
        <f t="shared" si="23"/>
        <v>100000000</v>
      </c>
      <c r="L100" s="12">
        <f t="shared" si="29"/>
        <v>3880000000</v>
      </c>
      <c r="M100" s="14">
        <f t="shared" si="24"/>
        <v>4.166666666666667</v>
      </c>
      <c r="N100" s="11" t="str">
        <f t="shared" si="25"/>
        <v>CAP-1 — Healthy</v>
      </c>
      <c r="O100" s="12">
        <f t="shared" si="30"/>
        <v>19615200000</v>
      </c>
      <c r="P100" s="12">
        <f t="shared" si="31"/>
        <v>404563500</v>
      </c>
      <c r="Q100" s="12">
        <f t="shared" si="32"/>
        <v>424564029.73214966</v>
      </c>
    </row>
    <row r="101" spans="1:17" x14ac:dyDescent="0.25">
      <c r="A101" s="7">
        <v>68</v>
      </c>
      <c r="B101" s="8">
        <f t="shared" si="26"/>
        <v>10000</v>
      </c>
      <c r="C101" s="8">
        <f t="shared" si="27"/>
        <v>398000</v>
      </c>
      <c r="D101" s="8">
        <f t="shared" si="17"/>
        <v>4000</v>
      </c>
      <c r="E101" s="9">
        <f t="shared" si="18"/>
        <v>0.6</v>
      </c>
      <c r="F101" s="8">
        <f t="shared" si="19"/>
        <v>955200000</v>
      </c>
      <c r="G101" s="8">
        <f t="shared" si="20"/>
        <v>39402000</v>
      </c>
      <c r="H101" s="8">
        <f t="shared" si="21"/>
        <v>19701000</v>
      </c>
      <c r="I101" s="8">
        <f t="shared" si="22"/>
        <v>19701000</v>
      </c>
      <c r="J101" s="8">
        <f t="shared" si="28"/>
        <v>1415213.4324404988</v>
      </c>
      <c r="K101" s="8">
        <f t="shared" si="23"/>
        <v>100000000</v>
      </c>
      <c r="L101" s="8">
        <f t="shared" si="29"/>
        <v>3980000000</v>
      </c>
      <c r="M101" s="10">
        <f t="shared" si="24"/>
        <v>4.166666666666667</v>
      </c>
      <c r="N101" s="7" t="str">
        <f t="shared" si="25"/>
        <v>CAP-1 — Healthy</v>
      </c>
      <c r="O101" s="8">
        <f t="shared" si="30"/>
        <v>20570400000</v>
      </c>
      <c r="P101" s="8">
        <f t="shared" si="31"/>
        <v>424264500</v>
      </c>
      <c r="Q101" s="8">
        <f t="shared" si="32"/>
        <v>445680243.16459018</v>
      </c>
    </row>
    <row r="102" spans="1:17" x14ac:dyDescent="0.25">
      <c r="A102" s="11">
        <v>69</v>
      </c>
      <c r="B102" s="12">
        <f t="shared" si="26"/>
        <v>10000</v>
      </c>
      <c r="C102" s="12">
        <f t="shared" si="27"/>
        <v>408000</v>
      </c>
      <c r="D102" s="12">
        <f t="shared" si="17"/>
        <v>4000</v>
      </c>
      <c r="E102" s="13">
        <f t="shared" si="18"/>
        <v>0.6</v>
      </c>
      <c r="F102" s="12">
        <f t="shared" si="19"/>
        <v>979200000</v>
      </c>
      <c r="G102" s="12">
        <f t="shared" si="20"/>
        <v>40392000</v>
      </c>
      <c r="H102" s="12">
        <f t="shared" si="21"/>
        <v>20196000</v>
      </c>
      <c r="I102" s="12">
        <f t="shared" si="22"/>
        <v>20196000</v>
      </c>
      <c r="J102" s="12">
        <f t="shared" si="28"/>
        <v>1485600.810548634</v>
      </c>
      <c r="K102" s="12">
        <f t="shared" si="23"/>
        <v>100000000</v>
      </c>
      <c r="L102" s="12">
        <f t="shared" si="29"/>
        <v>4080000000</v>
      </c>
      <c r="M102" s="14">
        <f t="shared" si="24"/>
        <v>4.166666666666667</v>
      </c>
      <c r="N102" s="11" t="str">
        <f t="shared" si="25"/>
        <v>CAP-1 — Healthy</v>
      </c>
      <c r="O102" s="12">
        <f t="shared" si="30"/>
        <v>21549600000</v>
      </c>
      <c r="P102" s="12">
        <f t="shared" si="31"/>
        <v>444460500</v>
      </c>
      <c r="Q102" s="12">
        <f t="shared" si="32"/>
        <v>467361843.97513884</v>
      </c>
    </row>
    <row r="103" spans="1:17" x14ac:dyDescent="0.25">
      <c r="A103" s="7">
        <v>70</v>
      </c>
      <c r="B103" s="8">
        <f t="shared" si="26"/>
        <v>10000</v>
      </c>
      <c r="C103" s="8">
        <f t="shared" si="27"/>
        <v>418000</v>
      </c>
      <c r="D103" s="8">
        <f t="shared" si="17"/>
        <v>4000</v>
      </c>
      <c r="E103" s="9">
        <f t="shared" si="18"/>
        <v>0.6</v>
      </c>
      <c r="F103" s="8">
        <f t="shared" si="19"/>
        <v>1003200000</v>
      </c>
      <c r="G103" s="8">
        <f t="shared" si="20"/>
        <v>41382000</v>
      </c>
      <c r="H103" s="8">
        <f t="shared" si="21"/>
        <v>20691000</v>
      </c>
      <c r="I103" s="8">
        <f t="shared" si="22"/>
        <v>20691000</v>
      </c>
      <c r="J103" s="8">
        <f t="shared" si="28"/>
        <v>1557872.813250463</v>
      </c>
      <c r="K103" s="8">
        <f t="shared" si="23"/>
        <v>100000000</v>
      </c>
      <c r="L103" s="8">
        <f t="shared" si="29"/>
        <v>4180000000</v>
      </c>
      <c r="M103" s="10">
        <f t="shared" si="24"/>
        <v>4.166666666666667</v>
      </c>
      <c r="N103" s="7" t="str">
        <f t="shared" si="25"/>
        <v>CAP-1 — Healthy</v>
      </c>
      <c r="O103" s="8">
        <f t="shared" si="30"/>
        <v>22552800000</v>
      </c>
      <c r="P103" s="8">
        <f t="shared" si="31"/>
        <v>465151500</v>
      </c>
      <c r="Q103" s="8">
        <f t="shared" si="32"/>
        <v>489610716.78838933</v>
      </c>
    </row>
    <row r="104" spans="1:17" x14ac:dyDescent="0.25">
      <c r="A104" s="11">
        <v>71</v>
      </c>
      <c r="B104" s="12">
        <f t="shared" si="26"/>
        <v>10000</v>
      </c>
      <c r="C104" s="12">
        <f t="shared" si="27"/>
        <v>428000</v>
      </c>
      <c r="D104" s="12">
        <f t="shared" si="17"/>
        <v>4000</v>
      </c>
      <c r="E104" s="13">
        <f t="shared" si="18"/>
        <v>0.6</v>
      </c>
      <c r="F104" s="12">
        <f t="shared" si="19"/>
        <v>1027200000</v>
      </c>
      <c r="G104" s="12">
        <f t="shared" si="20"/>
        <v>42372000</v>
      </c>
      <c r="H104" s="12">
        <f t="shared" si="21"/>
        <v>21186000</v>
      </c>
      <c r="I104" s="12">
        <f t="shared" si="22"/>
        <v>21186000</v>
      </c>
      <c r="J104" s="12">
        <f t="shared" si="28"/>
        <v>1632035.7226279646</v>
      </c>
      <c r="K104" s="12">
        <f t="shared" si="23"/>
        <v>100000000</v>
      </c>
      <c r="L104" s="12">
        <f t="shared" si="29"/>
        <v>4280000000</v>
      </c>
      <c r="M104" s="14">
        <f t="shared" si="24"/>
        <v>4.166666666666667</v>
      </c>
      <c r="N104" s="11" t="str">
        <f t="shared" si="25"/>
        <v>CAP-1 — Healthy</v>
      </c>
      <c r="O104" s="12">
        <f t="shared" si="30"/>
        <v>23580000000</v>
      </c>
      <c r="P104" s="12">
        <f t="shared" si="31"/>
        <v>486337500</v>
      </c>
      <c r="Q104" s="12">
        <f t="shared" si="32"/>
        <v>512428752.51101726</v>
      </c>
    </row>
    <row r="105" spans="1:17" x14ac:dyDescent="0.25">
      <c r="A105" s="7">
        <v>72</v>
      </c>
      <c r="B105" s="8">
        <f t="shared" si="26"/>
        <v>10000</v>
      </c>
      <c r="C105" s="8">
        <f t="shared" si="27"/>
        <v>438000</v>
      </c>
      <c r="D105" s="8">
        <f t="shared" si="17"/>
        <v>4000</v>
      </c>
      <c r="E105" s="9">
        <f t="shared" si="18"/>
        <v>0.6</v>
      </c>
      <c r="F105" s="8">
        <f t="shared" si="19"/>
        <v>1051200000</v>
      </c>
      <c r="G105" s="8">
        <f t="shared" si="20"/>
        <v>43362000</v>
      </c>
      <c r="H105" s="8">
        <f t="shared" si="21"/>
        <v>21681000</v>
      </c>
      <c r="I105" s="8">
        <f t="shared" si="22"/>
        <v>21681000</v>
      </c>
      <c r="J105" s="8">
        <f t="shared" si="28"/>
        <v>1708095.8417033909</v>
      </c>
      <c r="K105" s="8">
        <f t="shared" si="23"/>
        <v>100000000</v>
      </c>
      <c r="L105" s="8">
        <f t="shared" si="29"/>
        <v>4380000000</v>
      </c>
      <c r="M105" s="10">
        <f t="shared" si="24"/>
        <v>4.166666666666667</v>
      </c>
      <c r="N105" s="7" t="str">
        <f t="shared" si="25"/>
        <v>CAP-1 — Healthy</v>
      </c>
      <c r="O105" s="8">
        <f t="shared" si="30"/>
        <v>24631200000</v>
      </c>
      <c r="P105" s="8">
        <f t="shared" si="31"/>
        <v>508018500</v>
      </c>
      <c r="Q105" s="8">
        <f t="shared" si="32"/>
        <v>535817848.35272068</v>
      </c>
    </row>
    <row r="106" spans="1:17" x14ac:dyDescent="0.25">
      <c r="A106" s="11">
        <v>73</v>
      </c>
      <c r="B106" s="12">
        <f t="shared" si="26"/>
        <v>10000</v>
      </c>
      <c r="C106" s="12">
        <f t="shared" si="27"/>
        <v>448000</v>
      </c>
      <c r="D106" s="12">
        <f t="shared" si="17"/>
        <v>4000</v>
      </c>
      <c r="E106" s="13">
        <f t="shared" si="18"/>
        <v>0.6</v>
      </c>
      <c r="F106" s="12">
        <f t="shared" si="19"/>
        <v>1075200000</v>
      </c>
      <c r="G106" s="12">
        <f t="shared" si="20"/>
        <v>44352000</v>
      </c>
      <c r="H106" s="12">
        <f t="shared" si="21"/>
        <v>22176000</v>
      </c>
      <c r="I106" s="12">
        <f t="shared" si="22"/>
        <v>22176000</v>
      </c>
      <c r="J106" s="12">
        <f t="shared" si="28"/>
        <v>1786059.494509069</v>
      </c>
      <c r="K106" s="12">
        <f t="shared" si="23"/>
        <v>100000000</v>
      </c>
      <c r="L106" s="12">
        <f t="shared" si="29"/>
        <v>4480000000</v>
      </c>
      <c r="M106" s="14">
        <f t="shared" si="24"/>
        <v>4.166666666666667</v>
      </c>
      <c r="N106" s="11" t="str">
        <f t="shared" si="25"/>
        <v>CAP-1 — Healthy</v>
      </c>
      <c r="O106" s="12">
        <f t="shared" si="30"/>
        <v>25706400000</v>
      </c>
      <c r="P106" s="12">
        <f t="shared" si="31"/>
        <v>530194500</v>
      </c>
      <c r="Q106" s="12">
        <f t="shared" si="32"/>
        <v>559779907.84722984</v>
      </c>
    </row>
    <row r="107" spans="1:17" x14ac:dyDescent="0.25">
      <c r="A107" s="7">
        <v>74</v>
      </c>
      <c r="B107" s="8">
        <f t="shared" si="26"/>
        <v>10000</v>
      </c>
      <c r="C107" s="8">
        <f t="shared" si="27"/>
        <v>458000</v>
      </c>
      <c r="D107" s="8">
        <f t="shared" si="17"/>
        <v>4000</v>
      </c>
      <c r="E107" s="9">
        <f t="shared" si="18"/>
        <v>0.6</v>
      </c>
      <c r="F107" s="8">
        <f t="shared" si="19"/>
        <v>1099200000</v>
      </c>
      <c r="G107" s="8">
        <f t="shared" si="20"/>
        <v>45342000</v>
      </c>
      <c r="H107" s="8">
        <f t="shared" si="21"/>
        <v>22671000</v>
      </c>
      <c r="I107" s="8">
        <f t="shared" si="22"/>
        <v>22671000</v>
      </c>
      <c r="J107" s="8">
        <f t="shared" si="28"/>
        <v>1865933.0261574329</v>
      </c>
      <c r="K107" s="8">
        <f t="shared" si="23"/>
        <v>100000000</v>
      </c>
      <c r="L107" s="8">
        <f t="shared" si="29"/>
        <v>4580000000</v>
      </c>
      <c r="M107" s="10">
        <f t="shared" si="24"/>
        <v>4.166666666666667</v>
      </c>
      <c r="N107" s="7" t="str">
        <f t="shared" si="25"/>
        <v>CAP-1 — Healthy</v>
      </c>
      <c r="O107" s="8">
        <f t="shared" si="30"/>
        <v>26805600000</v>
      </c>
      <c r="P107" s="8">
        <f t="shared" si="31"/>
        <v>552865500</v>
      </c>
      <c r="Q107" s="8">
        <f t="shared" si="32"/>
        <v>584316840.87338722</v>
      </c>
    </row>
    <row r="108" spans="1:17" x14ac:dyDescent="0.25">
      <c r="A108" s="11">
        <v>75</v>
      </c>
      <c r="B108" s="12">
        <f t="shared" si="26"/>
        <v>10000</v>
      </c>
      <c r="C108" s="12">
        <f t="shared" si="27"/>
        <v>468000</v>
      </c>
      <c r="D108" s="12">
        <f t="shared" si="17"/>
        <v>4000</v>
      </c>
      <c r="E108" s="13">
        <f t="shared" si="18"/>
        <v>0.6</v>
      </c>
      <c r="F108" s="12">
        <f t="shared" si="19"/>
        <v>1123200000</v>
      </c>
      <c r="G108" s="12">
        <f t="shared" si="20"/>
        <v>46332000</v>
      </c>
      <c r="H108" s="12">
        <f t="shared" si="21"/>
        <v>23166000</v>
      </c>
      <c r="I108" s="12">
        <f t="shared" si="22"/>
        <v>23166000</v>
      </c>
      <c r="J108" s="12">
        <f t="shared" si="28"/>
        <v>1947722.8029112909</v>
      </c>
      <c r="K108" s="12">
        <f t="shared" si="23"/>
        <v>100000000</v>
      </c>
      <c r="L108" s="12">
        <f t="shared" si="29"/>
        <v>4680000000</v>
      </c>
      <c r="M108" s="14">
        <f t="shared" si="24"/>
        <v>4.166666666666667</v>
      </c>
      <c r="N108" s="11" t="str">
        <f t="shared" si="25"/>
        <v>CAP-1 — Healthy</v>
      </c>
      <c r="O108" s="12">
        <f t="shared" si="30"/>
        <v>27928800000</v>
      </c>
      <c r="P108" s="12">
        <f t="shared" si="31"/>
        <v>576031500</v>
      </c>
      <c r="Q108" s="12">
        <f t="shared" si="32"/>
        <v>609430563.6762985</v>
      </c>
    </row>
    <row r="109" spans="1:17" x14ac:dyDescent="0.25">
      <c r="A109" s="7">
        <v>76</v>
      </c>
      <c r="B109" s="8">
        <f t="shared" si="26"/>
        <v>10000</v>
      </c>
      <c r="C109" s="8">
        <f t="shared" si="27"/>
        <v>478000</v>
      </c>
      <c r="D109" s="8">
        <f t="shared" si="17"/>
        <v>4000</v>
      </c>
      <c r="E109" s="9">
        <f t="shared" si="18"/>
        <v>0.6</v>
      </c>
      <c r="F109" s="8">
        <f t="shared" si="19"/>
        <v>1147200000</v>
      </c>
      <c r="G109" s="8">
        <f t="shared" si="20"/>
        <v>47322000</v>
      </c>
      <c r="H109" s="8">
        <f t="shared" si="21"/>
        <v>23661000</v>
      </c>
      <c r="I109" s="8">
        <f t="shared" si="22"/>
        <v>23661000</v>
      </c>
      <c r="J109" s="8">
        <f t="shared" si="28"/>
        <v>2031435.2122543284</v>
      </c>
      <c r="K109" s="8">
        <f t="shared" si="23"/>
        <v>100000000</v>
      </c>
      <c r="L109" s="8">
        <f t="shared" si="29"/>
        <v>4780000000</v>
      </c>
      <c r="M109" s="10">
        <f t="shared" si="24"/>
        <v>4.166666666666667</v>
      </c>
      <c r="N109" s="7" t="str">
        <f t="shared" si="25"/>
        <v>CAP-1 — Healthy</v>
      </c>
      <c r="O109" s="8">
        <f t="shared" si="30"/>
        <v>29076000000</v>
      </c>
      <c r="P109" s="8">
        <f t="shared" si="31"/>
        <v>599692500</v>
      </c>
      <c r="Q109" s="8">
        <f t="shared" si="32"/>
        <v>635122998.88855278</v>
      </c>
    </row>
    <row r="110" spans="1:17" x14ac:dyDescent="0.25">
      <c r="A110" s="11">
        <v>77</v>
      </c>
      <c r="B110" s="12">
        <f t="shared" si="26"/>
        <v>10000</v>
      </c>
      <c r="C110" s="12">
        <f t="shared" si="27"/>
        <v>488000</v>
      </c>
      <c r="D110" s="12">
        <f t="shared" si="17"/>
        <v>4000</v>
      </c>
      <c r="E110" s="13">
        <f t="shared" si="18"/>
        <v>0.6</v>
      </c>
      <c r="F110" s="12">
        <f t="shared" si="19"/>
        <v>1171200000</v>
      </c>
      <c r="G110" s="12">
        <f t="shared" si="20"/>
        <v>48312000</v>
      </c>
      <c r="H110" s="12">
        <f t="shared" si="21"/>
        <v>24156000</v>
      </c>
      <c r="I110" s="12">
        <f t="shared" si="22"/>
        <v>24156000</v>
      </c>
      <c r="J110" s="12">
        <f t="shared" si="28"/>
        <v>2117076.662961843</v>
      </c>
      <c r="K110" s="12">
        <f t="shared" si="23"/>
        <v>100000000</v>
      </c>
      <c r="L110" s="12">
        <f t="shared" si="29"/>
        <v>4880000000</v>
      </c>
      <c r="M110" s="14">
        <f t="shared" si="24"/>
        <v>4.166666666666667</v>
      </c>
      <c r="N110" s="11" t="str">
        <f t="shared" si="25"/>
        <v>CAP-1 — Healthy</v>
      </c>
      <c r="O110" s="12">
        <f t="shared" si="30"/>
        <v>30247200000</v>
      </c>
      <c r="P110" s="12">
        <f t="shared" si="31"/>
        <v>623848500</v>
      </c>
      <c r="Q110" s="12">
        <f t="shared" si="32"/>
        <v>661396075.55151463</v>
      </c>
    </row>
    <row r="111" spans="1:17" x14ac:dyDescent="0.25">
      <c r="A111" s="7">
        <v>78</v>
      </c>
      <c r="B111" s="8">
        <f t="shared" si="26"/>
        <v>10000</v>
      </c>
      <c r="C111" s="8">
        <f t="shared" si="27"/>
        <v>498000</v>
      </c>
      <c r="D111" s="8">
        <f t="shared" si="17"/>
        <v>4000</v>
      </c>
      <c r="E111" s="9">
        <f t="shared" si="18"/>
        <v>0.6</v>
      </c>
      <c r="F111" s="8">
        <f t="shared" si="19"/>
        <v>1195200000</v>
      </c>
      <c r="G111" s="8">
        <f t="shared" si="20"/>
        <v>49302000</v>
      </c>
      <c r="H111" s="8">
        <f t="shared" si="21"/>
        <v>24651000</v>
      </c>
      <c r="I111" s="8">
        <f t="shared" si="22"/>
        <v>24651000</v>
      </c>
      <c r="J111" s="8">
        <f t="shared" si="28"/>
        <v>2204653.5851717154</v>
      </c>
      <c r="K111" s="8">
        <f t="shared" si="23"/>
        <v>100000000</v>
      </c>
      <c r="L111" s="8">
        <f t="shared" si="29"/>
        <v>4980000000</v>
      </c>
      <c r="M111" s="10">
        <f t="shared" si="24"/>
        <v>4.166666666666667</v>
      </c>
      <c r="N111" s="7" t="str">
        <f t="shared" si="25"/>
        <v>CAP-1 — Healthy</v>
      </c>
      <c r="O111" s="8">
        <f t="shared" si="30"/>
        <v>31442400000</v>
      </c>
      <c r="P111" s="8">
        <f t="shared" si="31"/>
        <v>648499500</v>
      </c>
      <c r="Q111" s="8">
        <f t="shared" si="32"/>
        <v>688251729.13668633</v>
      </c>
    </row>
    <row r="112" spans="1:17" x14ac:dyDescent="0.25">
      <c r="A112" s="11">
        <v>79</v>
      </c>
      <c r="B112" s="12">
        <f t="shared" si="26"/>
        <v>10000</v>
      </c>
      <c r="C112" s="12">
        <f t="shared" si="27"/>
        <v>508000</v>
      </c>
      <c r="D112" s="12">
        <f t="shared" si="17"/>
        <v>4000</v>
      </c>
      <c r="E112" s="13">
        <f t="shared" si="18"/>
        <v>0.6</v>
      </c>
      <c r="F112" s="12">
        <f t="shared" si="19"/>
        <v>1219200000</v>
      </c>
      <c r="G112" s="12">
        <f t="shared" si="20"/>
        <v>50292000</v>
      </c>
      <c r="H112" s="12">
        <f t="shared" si="21"/>
        <v>25146000</v>
      </c>
      <c r="I112" s="12">
        <f t="shared" si="22"/>
        <v>25146000</v>
      </c>
      <c r="J112" s="12">
        <f t="shared" si="28"/>
        <v>2294172.4304556213</v>
      </c>
      <c r="K112" s="12">
        <f t="shared" si="23"/>
        <v>100000000</v>
      </c>
      <c r="L112" s="12">
        <f t="shared" si="29"/>
        <v>5080000000</v>
      </c>
      <c r="M112" s="14">
        <f t="shared" si="24"/>
        <v>4.166666666666667</v>
      </c>
      <c r="N112" s="11" t="str">
        <f t="shared" si="25"/>
        <v>CAP-1 — Healthy</v>
      </c>
      <c r="O112" s="12">
        <f t="shared" si="30"/>
        <v>32661600000</v>
      </c>
      <c r="P112" s="12">
        <f t="shared" si="31"/>
        <v>673645500</v>
      </c>
      <c r="Q112" s="12">
        <f t="shared" si="32"/>
        <v>715691901.56714189</v>
      </c>
    </row>
    <row r="113" spans="1:17" x14ac:dyDescent="0.25">
      <c r="A113" s="7">
        <v>80</v>
      </c>
      <c r="B113" s="8">
        <f t="shared" si="26"/>
        <v>10000</v>
      </c>
      <c r="C113" s="8">
        <f t="shared" si="27"/>
        <v>518000</v>
      </c>
      <c r="D113" s="8">
        <f t="shared" si="17"/>
        <v>4000</v>
      </c>
      <c r="E113" s="9">
        <f t="shared" si="18"/>
        <v>0.6</v>
      </c>
      <c r="F113" s="8">
        <f t="shared" si="19"/>
        <v>1243200000</v>
      </c>
      <c r="G113" s="8">
        <f t="shared" si="20"/>
        <v>51282000</v>
      </c>
      <c r="H113" s="8">
        <f t="shared" si="21"/>
        <v>25641000</v>
      </c>
      <c r="I113" s="8">
        <f t="shared" si="22"/>
        <v>25641000</v>
      </c>
      <c r="J113" s="8">
        <f t="shared" si="28"/>
        <v>2385639.671890473</v>
      </c>
      <c r="K113" s="8">
        <f t="shared" si="23"/>
        <v>100000000</v>
      </c>
      <c r="L113" s="8">
        <f t="shared" si="29"/>
        <v>5180000000</v>
      </c>
      <c r="M113" s="10">
        <f t="shared" si="24"/>
        <v>4.166666666666667</v>
      </c>
      <c r="N113" s="7" t="str">
        <f t="shared" si="25"/>
        <v>CAP-1 — Healthy</v>
      </c>
      <c r="O113" s="8">
        <f t="shared" si="30"/>
        <v>33904800000</v>
      </c>
      <c r="P113" s="8">
        <f t="shared" si="31"/>
        <v>699286500</v>
      </c>
      <c r="Q113" s="8">
        <f t="shared" si="32"/>
        <v>743718541.23903239</v>
      </c>
    </row>
    <row r="114" spans="1:17" x14ac:dyDescent="0.25">
      <c r="A114" s="11">
        <v>81</v>
      </c>
      <c r="B114" s="12">
        <f t="shared" si="26"/>
        <v>10000</v>
      </c>
      <c r="C114" s="12">
        <f t="shared" si="27"/>
        <v>528000</v>
      </c>
      <c r="D114" s="12">
        <f t="shared" si="17"/>
        <v>4000</v>
      </c>
      <c r="E114" s="13">
        <f t="shared" si="18"/>
        <v>0.6</v>
      </c>
      <c r="F114" s="12">
        <f t="shared" si="19"/>
        <v>1267200000</v>
      </c>
      <c r="G114" s="12">
        <f t="shared" si="20"/>
        <v>52272000</v>
      </c>
      <c r="H114" s="12">
        <f t="shared" si="21"/>
        <v>26136000</v>
      </c>
      <c r="I114" s="12">
        <f t="shared" si="22"/>
        <v>26136000</v>
      </c>
      <c r="J114" s="12">
        <f t="shared" si="28"/>
        <v>2479061.8041301081</v>
      </c>
      <c r="K114" s="12">
        <f t="shared" si="23"/>
        <v>100000000</v>
      </c>
      <c r="L114" s="12">
        <f t="shared" si="29"/>
        <v>5280000000</v>
      </c>
      <c r="M114" s="14">
        <f t="shared" si="24"/>
        <v>4.166666666666667</v>
      </c>
      <c r="N114" s="11" t="str">
        <f t="shared" si="25"/>
        <v>CAP-1 — Healthy</v>
      </c>
      <c r="O114" s="12">
        <f t="shared" si="30"/>
        <v>35172000000</v>
      </c>
      <c r="P114" s="12">
        <f t="shared" si="31"/>
        <v>725422500</v>
      </c>
      <c r="Q114" s="12">
        <f t="shared" si="32"/>
        <v>772333603.04316247</v>
      </c>
    </row>
    <row r="115" spans="1:17" x14ac:dyDescent="0.25">
      <c r="A115" s="7">
        <v>82</v>
      </c>
      <c r="B115" s="8">
        <f t="shared" si="26"/>
        <v>10000</v>
      </c>
      <c r="C115" s="8">
        <f t="shared" si="27"/>
        <v>538000</v>
      </c>
      <c r="D115" s="8">
        <f t="shared" si="17"/>
        <v>4000</v>
      </c>
      <c r="E115" s="9">
        <f t="shared" si="18"/>
        <v>0.6</v>
      </c>
      <c r="F115" s="8">
        <f t="shared" si="19"/>
        <v>1291200000</v>
      </c>
      <c r="G115" s="8">
        <f t="shared" si="20"/>
        <v>53262000</v>
      </c>
      <c r="H115" s="8">
        <f t="shared" si="21"/>
        <v>26631000</v>
      </c>
      <c r="I115" s="8">
        <f t="shared" si="22"/>
        <v>26631000</v>
      </c>
      <c r="J115" s="8">
        <f t="shared" si="28"/>
        <v>2574445.3434772082</v>
      </c>
      <c r="K115" s="8">
        <f t="shared" si="23"/>
        <v>100000000</v>
      </c>
      <c r="L115" s="8">
        <f t="shared" si="29"/>
        <v>5380000000</v>
      </c>
      <c r="M115" s="10">
        <f t="shared" si="24"/>
        <v>4.166666666666667</v>
      </c>
      <c r="N115" s="7" t="str">
        <f t="shared" si="25"/>
        <v>CAP-1 — Healthy</v>
      </c>
      <c r="O115" s="8">
        <f t="shared" si="30"/>
        <v>36463200000</v>
      </c>
      <c r="P115" s="8">
        <f t="shared" si="31"/>
        <v>752053500</v>
      </c>
      <c r="Q115" s="8">
        <f t="shared" si="32"/>
        <v>801539048.38663971</v>
      </c>
    </row>
    <row r="116" spans="1:17" x14ac:dyDescent="0.25">
      <c r="A116" s="11">
        <v>83</v>
      </c>
      <c r="B116" s="12">
        <f t="shared" si="26"/>
        <v>10000</v>
      </c>
      <c r="C116" s="12">
        <f t="shared" si="27"/>
        <v>548000</v>
      </c>
      <c r="D116" s="12">
        <f t="shared" si="17"/>
        <v>4000</v>
      </c>
      <c r="E116" s="13">
        <f t="shared" si="18"/>
        <v>0.6</v>
      </c>
      <c r="F116" s="12">
        <f t="shared" si="19"/>
        <v>1315200000</v>
      </c>
      <c r="G116" s="12">
        <f t="shared" si="20"/>
        <v>54252000</v>
      </c>
      <c r="H116" s="12">
        <f t="shared" si="21"/>
        <v>27126000</v>
      </c>
      <c r="I116" s="12">
        <f t="shared" si="22"/>
        <v>27126000</v>
      </c>
      <c r="J116" s="12">
        <f t="shared" si="28"/>
        <v>2671796.8279554658</v>
      </c>
      <c r="K116" s="12">
        <f t="shared" si="23"/>
        <v>100000000</v>
      </c>
      <c r="L116" s="12">
        <f t="shared" si="29"/>
        <v>5480000000</v>
      </c>
      <c r="M116" s="14">
        <f t="shared" si="24"/>
        <v>4.166666666666667</v>
      </c>
      <c r="N116" s="11" t="str">
        <f t="shared" si="25"/>
        <v>CAP-1 — Healthy</v>
      </c>
      <c r="O116" s="12">
        <f t="shared" si="30"/>
        <v>37778400000</v>
      </c>
      <c r="P116" s="12">
        <f t="shared" si="31"/>
        <v>779179500</v>
      </c>
      <c r="Q116" s="12">
        <f t="shared" si="32"/>
        <v>831336845.2145952</v>
      </c>
    </row>
    <row r="117" spans="1:17" x14ac:dyDescent="0.25">
      <c r="A117" s="7">
        <v>84</v>
      </c>
      <c r="B117" s="8">
        <f t="shared" si="26"/>
        <v>10000</v>
      </c>
      <c r="C117" s="8">
        <f t="shared" si="27"/>
        <v>558000</v>
      </c>
      <c r="D117" s="8">
        <f t="shared" si="17"/>
        <v>4000</v>
      </c>
      <c r="E117" s="9">
        <f t="shared" si="18"/>
        <v>0.6</v>
      </c>
      <c r="F117" s="8">
        <f t="shared" si="19"/>
        <v>1339200000</v>
      </c>
      <c r="G117" s="8">
        <f t="shared" si="20"/>
        <v>55242000</v>
      </c>
      <c r="H117" s="8">
        <f t="shared" si="21"/>
        <v>27621000</v>
      </c>
      <c r="I117" s="8">
        <f t="shared" si="22"/>
        <v>27621000</v>
      </c>
      <c r="J117" s="8">
        <f t="shared" si="28"/>
        <v>2771122.8173819841</v>
      </c>
      <c r="K117" s="8">
        <f t="shared" si="23"/>
        <v>100000000</v>
      </c>
      <c r="L117" s="8">
        <f t="shared" si="29"/>
        <v>5580000000</v>
      </c>
      <c r="M117" s="10">
        <f t="shared" si="24"/>
        <v>4.166666666666667</v>
      </c>
      <c r="N117" s="7" t="str">
        <f t="shared" si="25"/>
        <v>CAP-1 — Healthy</v>
      </c>
      <c r="O117" s="8">
        <f t="shared" si="30"/>
        <v>39117600000</v>
      </c>
      <c r="P117" s="8">
        <f t="shared" si="31"/>
        <v>806800500</v>
      </c>
      <c r="Q117" s="8">
        <f t="shared" si="32"/>
        <v>861728968.03197718</v>
      </c>
    </row>
    <row r="118" spans="1:17" x14ac:dyDescent="0.25">
      <c r="A118" s="11">
        <v>85</v>
      </c>
      <c r="B118" s="12">
        <f t="shared" si="26"/>
        <v>10000</v>
      </c>
      <c r="C118" s="12">
        <f t="shared" si="27"/>
        <v>568000</v>
      </c>
      <c r="D118" s="12">
        <f t="shared" si="17"/>
        <v>4000</v>
      </c>
      <c r="E118" s="13">
        <f t="shared" si="18"/>
        <v>0.6</v>
      </c>
      <c r="F118" s="12">
        <f t="shared" si="19"/>
        <v>1363200000</v>
      </c>
      <c r="G118" s="12">
        <f t="shared" si="20"/>
        <v>56232000</v>
      </c>
      <c r="H118" s="12">
        <f t="shared" si="21"/>
        <v>28116000</v>
      </c>
      <c r="I118" s="12">
        <f t="shared" si="22"/>
        <v>28116000</v>
      </c>
      <c r="J118" s="12">
        <f t="shared" si="28"/>
        <v>2872429.8934399239</v>
      </c>
      <c r="K118" s="12">
        <f t="shared" si="23"/>
        <v>100000000</v>
      </c>
      <c r="L118" s="12">
        <f t="shared" si="29"/>
        <v>5680000000</v>
      </c>
      <c r="M118" s="14">
        <f t="shared" si="24"/>
        <v>4.166666666666667</v>
      </c>
      <c r="N118" s="11" t="str">
        <f t="shared" si="25"/>
        <v>CAP-1 — Healthy</v>
      </c>
      <c r="O118" s="12">
        <f t="shared" si="30"/>
        <v>40480800000</v>
      </c>
      <c r="P118" s="12">
        <f t="shared" si="31"/>
        <v>834916500</v>
      </c>
      <c r="Q118" s="12">
        <f t="shared" si="32"/>
        <v>892717397.92541707</v>
      </c>
    </row>
    <row r="119" spans="1:17" x14ac:dyDescent="0.25">
      <c r="A119" s="7">
        <v>86</v>
      </c>
      <c r="B119" s="8">
        <f t="shared" si="26"/>
        <v>10000</v>
      </c>
      <c r="C119" s="8">
        <f t="shared" si="27"/>
        <v>578000</v>
      </c>
      <c r="D119" s="8">
        <f t="shared" si="17"/>
        <v>4000</v>
      </c>
      <c r="E119" s="9">
        <f t="shared" si="18"/>
        <v>0.6</v>
      </c>
      <c r="F119" s="8">
        <f t="shared" si="19"/>
        <v>1387200000</v>
      </c>
      <c r="G119" s="8">
        <f t="shared" si="20"/>
        <v>57222000</v>
      </c>
      <c r="H119" s="8">
        <f t="shared" si="21"/>
        <v>28611000</v>
      </c>
      <c r="I119" s="8">
        <f t="shared" si="22"/>
        <v>28611000</v>
      </c>
      <c r="J119" s="8">
        <f t="shared" si="28"/>
        <v>2975724.6597513906</v>
      </c>
      <c r="K119" s="8">
        <f t="shared" si="23"/>
        <v>100000000</v>
      </c>
      <c r="L119" s="8">
        <f t="shared" si="29"/>
        <v>5780000000</v>
      </c>
      <c r="M119" s="10">
        <f t="shared" si="24"/>
        <v>4.166666666666667</v>
      </c>
      <c r="N119" s="7" t="str">
        <f t="shared" si="25"/>
        <v>CAP-1 — Healthy</v>
      </c>
      <c r="O119" s="8">
        <f t="shared" si="30"/>
        <v>41868000000</v>
      </c>
      <c r="P119" s="8">
        <f t="shared" si="31"/>
        <v>863527500</v>
      </c>
      <c r="Q119" s="8">
        <f t="shared" si="32"/>
        <v>924304122.58516848</v>
      </c>
    </row>
    <row r="120" spans="1:17" x14ac:dyDescent="0.25">
      <c r="A120" s="11">
        <v>87</v>
      </c>
      <c r="B120" s="12">
        <f t="shared" si="26"/>
        <v>10000</v>
      </c>
      <c r="C120" s="12">
        <f t="shared" si="27"/>
        <v>588000</v>
      </c>
      <c r="D120" s="12">
        <f t="shared" si="17"/>
        <v>4000</v>
      </c>
      <c r="E120" s="13">
        <f t="shared" si="18"/>
        <v>0.6</v>
      </c>
      <c r="F120" s="12">
        <f t="shared" si="19"/>
        <v>1411200000</v>
      </c>
      <c r="G120" s="12">
        <f t="shared" si="20"/>
        <v>58212000</v>
      </c>
      <c r="H120" s="12">
        <f t="shared" si="21"/>
        <v>29106000</v>
      </c>
      <c r="I120" s="12">
        <f t="shared" si="22"/>
        <v>29106000</v>
      </c>
      <c r="J120" s="12">
        <f t="shared" si="28"/>
        <v>3081013.7419505618</v>
      </c>
      <c r="K120" s="12">
        <f t="shared" si="23"/>
        <v>100000000</v>
      </c>
      <c r="L120" s="12">
        <f t="shared" si="29"/>
        <v>5880000000</v>
      </c>
      <c r="M120" s="14">
        <f t="shared" si="24"/>
        <v>4.166666666666667</v>
      </c>
      <c r="N120" s="11" t="str">
        <f t="shared" si="25"/>
        <v>CAP-1 — Healthy</v>
      </c>
      <c r="O120" s="12">
        <f t="shared" si="30"/>
        <v>43279200000</v>
      </c>
      <c r="P120" s="12">
        <f t="shared" si="31"/>
        <v>892633500</v>
      </c>
      <c r="Q120" s="12">
        <f t="shared" si="32"/>
        <v>956491136.32711899</v>
      </c>
    </row>
    <row r="121" spans="1:17" x14ac:dyDescent="0.25">
      <c r="A121" s="7">
        <v>88</v>
      </c>
      <c r="B121" s="8">
        <f t="shared" si="26"/>
        <v>10000</v>
      </c>
      <c r="C121" s="8">
        <f t="shared" si="27"/>
        <v>598000</v>
      </c>
      <c r="D121" s="8">
        <f t="shared" si="17"/>
        <v>4000</v>
      </c>
      <c r="E121" s="9">
        <f t="shared" si="18"/>
        <v>0.6</v>
      </c>
      <c r="F121" s="8">
        <f t="shared" si="19"/>
        <v>1435200000</v>
      </c>
      <c r="G121" s="8">
        <f t="shared" si="20"/>
        <v>59202000</v>
      </c>
      <c r="H121" s="8">
        <f t="shared" si="21"/>
        <v>29601000</v>
      </c>
      <c r="I121" s="8">
        <f t="shared" si="22"/>
        <v>29601000</v>
      </c>
      <c r="J121" s="8">
        <f t="shared" si="28"/>
        <v>3188303.7877570633</v>
      </c>
      <c r="K121" s="8">
        <f t="shared" si="23"/>
        <v>100000000</v>
      </c>
      <c r="L121" s="8">
        <f t="shared" si="29"/>
        <v>5980000000</v>
      </c>
      <c r="M121" s="10">
        <f t="shared" si="24"/>
        <v>4.166666666666667</v>
      </c>
      <c r="N121" s="7" t="str">
        <f t="shared" si="25"/>
        <v>CAP-1 — Healthy</v>
      </c>
      <c r="O121" s="8">
        <f t="shared" si="30"/>
        <v>44714400000</v>
      </c>
      <c r="P121" s="8">
        <f t="shared" si="31"/>
        <v>922234500</v>
      </c>
      <c r="Q121" s="8">
        <f t="shared" si="32"/>
        <v>989280440.11487603</v>
      </c>
    </row>
    <row r="122" spans="1:17" x14ac:dyDescent="0.25">
      <c r="A122" s="11">
        <v>89</v>
      </c>
      <c r="B122" s="12">
        <f t="shared" si="26"/>
        <v>10000</v>
      </c>
      <c r="C122" s="12">
        <f t="shared" si="27"/>
        <v>608000</v>
      </c>
      <c r="D122" s="12">
        <f t="shared" si="17"/>
        <v>4000</v>
      </c>
      <c r="E122" s="13">
        <f t="shared" si="18"/>
        <v>0.6</v>
      </c>
      <c r="F122" s="12">
        <f t="shared" si="19"/>
        <v>1459200000</v>
      </c>
      <c r="G122" s="12">
        <f t="shared" si="20"/>
        <v>60192000</v>
      </c>
      <c r="H122" s="12">
        <f t="shared" si="21"/>
        <v>30096000</v>
      </c>
      <c r="I122" s="12">
        <f t="shared" si="22"/>
        <v>30096000</v>
      </c>
      <c r="J122" s="12">
        <f t="shared" si="28"/>
        <v>3297601.4670495871</v>
      </c>
      <c r="K122" s="12">
        <f t="shared" si="23"/>
        <v>100000000</v>
      </c>
      <c r="L122" s="12">
        <f t="shared" si="29"/>
        <v>6080000000</v>
      </c>
      <c r="M122" s="14">
        <f t="shared" si="24"/>
        <v>4.166666666666667</v>
      </c>
      <c r="N122" s="11" t="str">
        <f t="shared" si="25"/>
        <v>CAP-1 — Healthy</v>
      </c>
      <c r="O122" s="12">
        <f t="shared" si="30"/>
        <v>46173600000</v>
      </c>
      <c r="P122" s="12">
        <f t="shared" si="31"/>
        <v>952330500</v>
      </c>
      <c r="Q122" s="12">
        <f t="shared" si="32"/>
        <v>1022674041.5819256</v>
      </c>
    </row>
    <row r="123" spans="1:17" x14ac:dyDescent="0.25">
      <c r="A123" s="7">
        <v>90</v>
      </c>
      <c r="B123" s="8">
        <f t="shared" si="26"/>
        <v>10000</v>
      </c>
      <c r="C123" s="8">
        <f t="shared" si="27"/>
        <v>618000</v>
      </c>
      <c r="D123" s="8">
        <f t="shared" si="17"/>
        <v>4000</v>
      </c>
      <c r="E123" s="9">
        <f t="shared" si="18"/>
        <v>0.6</v>
      </c>
      <c r="F123" s="8">
        <f t="shared" si="19"/>
        <v>1483200000</v>
      </c>
      <c r="G123" s="8">
        <f t="shared" si="20"/>
        <v>61182000</v>
      </c>
      <c r="H123" s="8">
        <f t="shared" si="21"/>
        <v>30591000</v>
      </c>
      <c r="I123" s="8">
        <f t="shared" si="22"/>
        <v>30591000</v>
      </c>
      <c r="J123" s="8">
        <f t="shared" si="28"/>
        <v>3408913.4719397523</v>
      </c>
      <c r="K123" s="8">
        <f t="shared" si="23"/>
        <v>100000000</v>
      </c>
      <c r="L123" s="8">
        <f t="shared" si="29"/>
        <v>6180000000</v>
      </c>
      <c r="M123" s="10">
        <f t="shared" si="24"/>
        <v>4.166666666666667</v>
      </c>
      <c r="N123" s="7" t="str">
        <f t="shared" si="25"/>
        <v>CAP-1 — Healthy</v>
      </c>
      <c r="O123" s="8">
        <f t="shared" si="30"/>
        <v>47656800000</v>
      </c>
      <c r="P123" s="8">
        <f t="shared" si="31"/>
        <v>982921500</v>
      </c>
      <c r="Q123" s="8">
        <f t="shared" si="32"/>
        <v>1056673955.0538654</v>
      </c>
    </row>
    <row r="124" spans="1:17" x14ac:dyDescent="0.25">
      <c r="A124" s="11">
        <v>91</v>
      </c>
      <c r="B124" s="12">
        <f t="shared" si="26"/>
        <v>10000</v>
      </c>
      <c r="C124" s="12">
        <f t="shared" si="27"/>
        <v>628000</v>
      </c>
      <c r="D124" s="12">
        <f t="shared" si="17"/>
        <v>4000</v>
      </c>
      <c r="E124" s="13">
        <f t="shared" si="18"/>
        <v>0.6</v>
      </c>
      <c r="F124" s="12">
        <f t="shared" si="19"/>
        <v>1507200000</v>
      </c>
      <c r="G124" s="12">
        <f t="shared" si="20"/>
        <v>62172000</v>
      </c>
      <c r="H124" s="12">
        <f t="shared" si="21"/>
        <v>31086000</v>
      </c>
      <c r="I124" s="12">
        <f t="shared" si="22"/>
        <v>31086000</v>
      </c>
      <c r="J124" s="12">
        <f t="shared" si="28"/>
        <v>3522246.5168462181</v>
      </c>
      <c r="K124" s="12">
        <f t="shared" si="23"/>
        <v>100000000</v>
      </c>
      <c r="L124" s="12">
        <f t="shared" si="29"/>
        <v>6280000000</v>
      </c>
      <c r="M124" s="14">
        <f t="shared" si="24"/>
        <v>4.166666666666667</v>
      </c>
      <c r="N124" s="11" t="str">
        <f t="shared" si="25"/>
        <v>CAP-1 — Healthy</v>
      </c>
      <c r="O124" s="12">
        <f t="shared" si="30"/>
        <v>49164000000</v>
      </c>
      <c r="P124" s="12">
        <f t="shared" si="31"/>
        <v>1014007500</v>
      </c>
      <c r="Q124" s="12">
        <f t="shared" si="32"/>
        <v>1091282201.5707116</v>
      </c>
    </row>
    <row r="125" spans="1:17" x14ac:dyDescent="0.25">
      <c r="A125" s="7">
        <v>92</v>
      </c>
      <c r="B125" s="8">
        <f t="shared" si="26"/>
        <v>10000</v>
      </c>
      <c r="C125" s="8">
        <f t="shared" si="27"/>
        <v>638000</v>
      </c>
      <c r="D125" s="8">
        <f t="shared" si="17"/>
        <v>4000</v>
      </c>
      <c r="E125" s="9">
        <f t="shared" si="18"/>
        <v>0.6</v>
      </c>
      <c r="F125" s="8">
        <f t="shared" si="19"/>
        <v>1531200000</v>
      </c>
      <c r="G125" s="8">
        <f t="shared" si="20"/>
        <v>63162000</v>
      </c>
      <c r="H125" s="8">
        <f t="shared" si="21"/>
        <v>31581000</v>
      </c>
      <c r="I125" s="8">
        <f t="shared" si="22"/>
        <v>31581000</v>
      </c>
      <c r="J125" s="8">
        <f t="shared" si="28"/>
        <v>3637607.338569039</v>
      </c>
      <c r="K125" s="8">
        <f t="shared" si="23"/>
        <v>100000000</v>
      </c>
      <c r="L125" s="8">
        <f t="shared" si="29"/>
        <v>6380000000</v>
      </c>
      <c r="M125" s="10">
        <f t="shared" si="24"/>
        <v>4.166666666666667</v>
      </c>
      <c r="N125" s="7" t="str">
        <f t="shared" si="25"/>
        <v>CAP-1 — Healthy</v>
      </c>
      <c r="O125" s="8">
        <f t="shared" si="30"/>
        <v>50695200000</v>
      </c>
      <c r="P125" s="8">
        <f t="shared" si="31"/>
        <v>1045588500</v>
      </c>
      <c r="Q125" s="8">
        <f t="shared" si="32"/>
        <v>1126500808.9092805</v>
      </c>
    </row>
    <row r="126" spans="1:17" x14ac:dyDescent="0.25">
      <c r="A126" s="11">
        <v>93</v>
      </c>
      <c r="B126" s="12">
        <f t="shared" si="26"/>
        <v>10000</v>
      </c>
      <c r="C126" s="12">
        <f t="shared" si="27"/>
        <v>648000</v>
      </c>
      <c r="D126" s="12">
        <f t="shared" si="17"/>
        <v>4000</v>
      </c>
      <c r="E126" s="13">
        <f t="shared" si="18"/>
        <v>0.6</v>
      </c>
      <c r="F126" s="12">
        <f t="shared" si="19"/>
        <v>1555200000</v>
      </c>
      <c r="G126" s="12">
        <f t="shared" si="20"/>
        <v>64152000</v>
      </c>
      <c r="H126" s="12">
        <f t="shared" si="21"/>
        <v>32076000</v>
      </c>
      <c r="I126" s="12">
        <f t="shared" si="22"/>
        <v>32076000</v>
      </c>
      <c r="J126" s="12">
        <f t="shared" si="28"/>
        <v>3755002.6963642687</v>
      </c>
      <c r="K126" s="12">
        <f t="shared" si="23"/>
        <v>100000000</v>
      </c>
      <c r="L126" s="12">
        <f t="shared" si="29"/>
        <v>6480000000</v>
      </c>
      <c r="M126" s="14">
        <f t="shared" si="24"/>
        <v>4.166666666666667</v>
      </c>
      <c r="N126" s="11" t="str">
        <f t="shared" si="25"/>
        <v>CAP-1 — Healthy</v>
      </c>
      <c r="O126" s="12">
        <f t="shared" si="30"/>
        <v>52250400000</v>
      </c>
      <c r="P126" s="12">
        <f t="shared" si="31"/>
        <v>1077664500</v>
      </c>
      <c r="Q126" s="12">
        <f t="shared" si="32"/>
        <v>1162331811.6056447</v>
      </c>
    </row>
    <row r="127" spans="1:17" x14ac:dyDescent="0.25">
      <c r="A127" s="7">
        <v>94</v>
      </c>
      <c r="B127" s="8">
        <f t="shared" si="26"/>
        <v>10000</v>
      </c>
      <c r="C127" s="8">
        <f t="shared" si="27"/>
        <v>658000</v>
      </c>
      <c r="D127" s="8">
        <f t="shared" si="17"/>
        <v>4000</v>
      </c>
      <c r="E127" s="9">
        <f t="shared" si="18"/>
        <v>0.6</v>
      </c>
      <c r="F127" s="8">
        <f t="shared" si="19"/>
        <v>1579200000</v>
      </c>
      <c r="G127" s="8">
        <f t="shared" si="20"/>
        <v>65142000</v>
      </c>
      <c r="H127" s="8">
        <f t="shared" si="21"/>
        <v>32571000</v>
      </c>
      <c r="I127" s="8">
        <f t="shared" si="22"/>
        <v>32571000</v>
      </c>
      <c r="J127" s="8">
        <f t="shared" si="28"/>
        <v>3874439.3720188159</v>
      </c>
      <c r="K127" s="8">
        <f t="shared" si="23"/>
        <v>100000000</v>
      </c>
      <c r="L127" s="8">
        <f t="shared" si="29"/>
        <v>6580000000</v>
      </c>
      <c r="M127" s="10">
        <f t="shared" si="24"/>
        <v>4.166666666666667</v>
      </c>
      <c r="N127" s="7" t="str">
        <f t="shared" si="25"/>
        <v>CAP-1 — Healthy</v>
      </c>
      <c r="O127" s="8">
        <f t="shared" si="30"/>
        <v>53829600000</v>
      </c>
      <c r="P127" s="8">
        <f t="shared" si="31"/>
        <v>1110235500</v>
      </c>
      <c r="Q127" s="8">
        <f t="shared" si="32"/>
        <v>1198777250.9776635</v>
      </c>
    </row>
    <row r="128" spans="1:17" x14ac:dyDescent="0.25">
      <c r="A128" s="11">
        <v>95</v>
      </c>
      <c r="B128" s="12">
        <f t="shared" si="26"/>
        <v>10000</v>
      </c>
      <c r="C128" s="12">
        <f t="shared" si="27"/>
        <v>668000</v>
      </c>
      <c r="D128" s="12">
        <f t="shared" si="17"/>
        <v>4000</v>
      </c>
      <c r="E128" s="13">
        <f t="shared" si="18"/>
        <v>0.6</v>
      </c>
      <c r="F128" s="12">
        <f t="shared" si="19"/>
        <v>1603200000</v>
      </c>
      <c r="G128" s="12">
        <f t="shared" si="20"/>
        <v>66132000</v>
      </c>
      <c r="H128" s="12">
        <f t="shared" si="21"/>
        <v>33066000</v>
      </c>
      <c r="I128" s="12">
        <f t="shared" si="22"/>
        <v>33066000</v>
      </c>
      <c r="J128" s="12">
        <f t="shared" si="28"/>
        <v>3995924.1699255453</v>
      </c>
      <c r="K128" s="12">
        <f t="shared" si="23"/>
        <v>100000000</v>
      </c>
      <c r="L128" s="12">
        <f t="shared" si="29"/>
        <v>6680000000</v>
      </c>
      <c r="M128" s="14">
        <f t="shared" si="24"/>
        <v>4.166666666666667</v>
      </c>
      <c r="N128" s="11" t="str">
        <f t="shared" si="25"/>
        <v>CAP-1 — Healthy</v>
      </c>
      <c r="O128" s="12">
        <f t="shared" si="30"/>
        <v>55432800000</v>
      </c>
      <c r="P128" s="12">
        <f t="shared" si="31"/>
        <v>1143301500</v>
      </c>
      <c r="Q128" s="12">
        <f t="shared" si="32"/>
        <v>1235839175.147589</v>
      </c>
    </row>
    <row r="129" spans="1:17" x14ac:dyDescent="0.25">
      <c r="A129" s="7">
        <v>96</v>
      </c>
      <c r="B129" s="8">
        <f t="shared" si="26"/>
        <v>10000</v>
      </c>
      <c r="C129" s="8">
        <f t="shared" si="27"/>
        <v>678000</v>
      </c>
      <c r="D129" s="8">
        <f t="shared" si="17"/>
        <v>4000</v>
      </c>
      <c r="E129" s="9">
        <f t="shared" si="18"/>
        <v>0.6</v>
      </c>
      <c r="F129" s="8">
        <f t="shared" si="19"/>
        <v>1627200000</v>
      </c>
      <c r="G129" s="8">
        <f t="shared" si="20"/>
        <v>67122000</v>
      </c>
      <c r="H129" s="8">
        <f t="shared" si="21"/>
        <v>33561000</v>
      </c>
      <c r="I129" s="8">
        <f t="shared" si="22"/>
        <v>33561000</v>
      </c>
      <c r="J129" s="8">
        <f t="shared" si="28"/>
        <v>4119463.9171586302</v>
      </c>
      <c r="K129" s="8">
        <f t="shared" si="23"/>
        <v>100000000</v>
      </c>
      <c r="L129" s="8">
        <f t="shared" si="29"/>
        <v>6780000000</v>
      </c>
      <c r="M129" s="10">
        <f t="shared" si="24"/>
        <v>4.166666666666667</v>
      </c>
      <c r="N129" s="7" t="str">
        <f t="shared" si="25"/>
        <v>CAP-1 — Healthy</v>
      </c>
      <c r="O129" s="8">
        <f t="shared" si="30"/>
        <v>57060000000</v>
      </c>
      <c r="P129" s="8">
        <f t="shared" si="31"/>
        <v>1176862500</v>
      </c>
      <c r="Q129" s="8">
        <f t="shared" si="32"/>
        <v>1273519639.0647476</v>
      </c>
    </row>
    <row r="130" spans="1:17" x14ac:dyDescent="0.25">
      <c r="A130" s="11">
        <v>97</v>
      </c>
      <c r="B130" s="12">
        <f t="shared" si="26"/>
        <v>10000</v>
      </c>
      <c r="C130" s="12">
        <f t="shared" si="27"/>
        <v>688000</v>
      </c>
      <c r="D130" s="12">
        <f t="shared" si="17"/>
        <v>4000</v>
      </c>
      <c r="E130" s="13">
        <f t="shared" si="18"/>
        <v>0.6</v>
      </c>
      <c r="F130" s="12">
        <f t="shared" si="19"/>
        <v>1651200000</v>
      </c>
      <c r="G130" s="12">
        <f t="shared" si="20"/>
        <v>68112000</v>
      </c>
      <c r="H130" s="12">
        <f t="shared" si="21"/>
        <v>34056000</v>
      </c>
      <c r="I130" s="12">
        <f t="shared" si="22"/>
        <v>34056000</v>
      </c>
      <c r="J130" s="12">
        <f t="shared" si="28"/>
        <v>4245065.4635491585</v>
      </c>
      <c r="K130" s="12">
        <f t="shared" si="23"/>
        <v>100000000</v>
      </c>
      <c r="L130" s="12">
        <f t="shared" si="29"/>
        <v>6880000000</v>
      </c>
      <c r="M130" s="14">
        <f t="shared" si="24"/>
        <v>4.166666666666667</v>
      </c>
      <c r="N130" s="11" t="str">
        <f t="shared" si="25"/>
        <v>CAP-1 — Healthy</v>
      </c>
      <c r="O130" s="12">
        <f t="shared" si="30"/>
        <v>58711200000</v>
      </c>
      <c r="P130" s="12">
        <f t="shared" si="31"/>
        <v>1210918500</v>
      </c>
      <c r="Q130" s="12">
        <f t="shared" si="32"/>
        <v>1311820704.5282967</v>
      </c>
    </row>
    <row r="131" spans="1:17" x14ac:dyDescent="0.25">
      <c r="A131" s="7">
        <v>98</v>
      </c>
      <c r="B131" s="8">
        <f t="shared" si="26"/>
        <v>10000</v>
      </c>
      <c r="C131" s="8">
        <f t="shared" si="27"/>
        <v>698000</v>
      </c>
      <c r="D131" s="8">
        <f t="shared" si="17"/>
        <v>4000</v>
      </c>
      <c r="E131" s="9">
        <f t="shared" si="18"/>
        <v>0.6</v>
      </c>
      <c r="F131" s="8">
        <f t="shared" si="19"/>
        <v>1675200000</v>
      </c>
      <c r="G131" s="8">
        <f t="shared" si="20"/>
        <v>69102000</v>
      </c>
      <c r="H131" s="8">
        <f t="shared" si="21"/>
        <v>34551000</v>
      </c>
      <c r="I131" s="8">
        <f t="shared" si="22"/>
        <v>34551000</v>
      </c>
      <c r="J131" s="8">
        <f t="shared" si="28"/>
        <v>4372735.6817609891</v>
      </c>
      <c r="K131" s="8">
        <f t="shared" si="23"/>
        <v>100000000</v>
      </c>
      <c r="L131" s="8">
        <f t="shared" si="29"/>
        <v>6980000000</v>
      </c>
      <c r="M131" s="10">
        <f t="shared" si="24"/>
        <v>4.166666666666667</v>
      </c>
      <c r="N131" s="7" t="str">
        <f t="shared" si="25"/>
        <v>CAP-1 — Healthy</v>
      </c>
      <c r="O131" s="8">
        <f t="shared" si="30"/>
        <v>60386400000</v>
      </c>
      <c r="P131" s="8">
        <f t="shared" si="31"/>
        <v>1245469500</v>
      </c>
      <c r="Q131" s="8">
        <f t="shared" si="32"/>
        <v>1350744440.2100577</v>
      </c>
    </row>
    <row r="132" spans="1:17" x14ac:dyDescent="0.25">
      <c r="A132" s="11">
        <v>99</v>
      </c>
      <c r="B132" s="12">
        <f t="shared" si="26"/>
        <v>10000</v>
      </c>
      <c r="C132" s="12">
        <f t="shared" si="27"/>
        <v>708000</v>
      </c>
      <c r="D132" s="12">
        <f t="shared" si="17"/>
        <v>4000</v>
      </c>
      <c r="E132" s="13">
        <f t="shared" si="18"/>
        <v>0.6</v>
      </c>
      <c r="F132" s="12">
        <f t="shared" si="19"/>
        <v>1699200000</v>
      </c>
      <c r="G132" s="12">
        <f t="shared" si="20"/>
        <v>70092000</v>
      </c>
      <c r="H132" s="12">
        <f t="shared" si="21"/>
        <v>35046000</v>
      </c>
      <c r="I132" s="12">
        <f t="shared" si="22"/>
        <v>35046000</v>
      </c>
      <c r="J132" s="12">
        <f t="shared" si="28"/>
        <v>4502481.4673668593</v>
      </c>
      <c r="K132" s="12">
        <f t="shared" si="23"/>
        <v>100000000</v>
      </c>
      <c r="L132" s="12">
        <f t="shared" si="29"/>
        <v>7080000000</v>
      </c>
      <c r="M132" s="14">
        <f t="shared" si="24"/>
        <v>4.166666666666667</v>
      </c>
      <c r="N132" s="11" t="str">
        <f t="shared" si="25"/>
        <v>CAP-1 — Healthy</v>
      </c>
      <c r="O132" s="12">
        <f t="shared" si="30"/>
        <v>62085600000</v>
      </c>
      <c r="P132" s="12">
        <f t="shared" si="31"/>
        <v>1280515500</v>
      </c>
      <c r="Q132" s="12">
        <f t="shared" si="32"/>
        <v>1390292921.6774247</v>
      </c>
    </row>
    <row r="133" spans="1:17" x14ac:dyDescent="0.25">
      <c r="A133" s="7">
        <v>100</v>
      </c>
      <c r="B133" s="8">
        <f t="shared" si="26"/>
        <v>10000</v>
      </c>
      <c r="C133" s="8">
        <f t="shared" si="27"/>
        <v>718000</v>
      </c>
      <c r="D133" s="8">
        <f t="shared" si="17"/>
        <v>4000</v>
      </c>
      <c r="E133" s="9">
        <f t="shared" si="18"/>
        <v>0.6</v>
      </c>
      <c r="F133" s="8">
        <f t="shared" si="19"/>
        <v>1723200000</v>
      </c>
      <c r="G133" s="8">
        <f t="shared" si="20"/>
        <v>71082000</v>
      </c>
      <c r="H133" s="8">
        <f t="shared" si="21"/>
        <v>35541000</v>
      </c>
      <c r="I133" s="8">
        <f t="shared" si="22"/>
        <v>35541000</v>
      </c>
      <c r="J133" s="8">
        <f t="shared" si="28"/>
        <v>4634309.7389247492</v>
      </c>
      <c r="K133" s="8">
        <f t="shared" si="23"/>
        <v>100000000</v>
      </c>
      <c r="L133" s="8">
        <f t="shared" si="29"/>
        <v>7180000000</v>
      </c>
      <c r="M133" s="10">
        <f t="shared" si="24"/>
        <v>4.166666666666667</v>
      </c>
      <c r="N133" s="7" t="str">
        <f t="shared" si="25"/>
        <v>CAP-1 — Healthy</v>
      </c>
      <c r="O133" s="8">
        <f t="shared" si="30"/>
        <v>63808800000</v>
      </c>
      <c r="P133" s="8">
        <f t="shared" si="31"/>
        <v>1316056500</v>
      </c>
      <c r="Q133" s="8">
        <f t="shared" si="32"/>
        <v>1430468231.4163494</v>
      </c>
    </row>
    <row r="134" spans="1:17" x14ac:dyDescent="0.25">
      <c r="A134" s="11">
        <v>101</v>
      </c>
      <c r="B134" s="12">
        <f t="shared" si="26"/>
        <v>10000</v>
      </c>
      <c r="C134" s="12">
        <f t="shared" si="27"/>
        <v>728000</v>
      </c>
      <c r="D134" s="12">
        <f t="shared" si="17"/>
        <v>4000</v>
      </c>
      <c r="E134" s="13">
        <f t="shared" si="18"/>
        <v>0.6</v>
      </c>
      <c r="F134" s="12">
        <f t="shared" si="19"/>
        <v>1747200000</v>
      </c>
      <c r="G134" s="12">
        <f t="shared" si="20"/>
        <v>72072000</v>
      </c>
      <c r="H134" s="12">
        <f t="shared" si="21"/>
        <v>36036000</v>
      </c>
      <c r="I134" s="12">
        <f t="shared" si="22"/>
        <v>36036000</v>
      </c>
      <c r="J134" s="12">
        <f t="shared" si="28"/>
        <v>4768227.4380544983</v>
      </c>
      <c r="K134" s="12">
        <f t="shared" si="23"/>
        <v>100000000</v>
      </c>
      <c r="L134" s="12">
        <f t="shared" si="29"/>
        <v>7280000000</v>
      </c>
      <c r="M134" s="14">
        <f t="shared" si="24"/>
        <v>4.166666666666667</v>
      </c>
      <c r="N134" s="11" t="str">
        <f t="shared" si="25"/>
        <v>CAP-1 — Healthy</v>
      </c>
      <c r="O134" s="12">
        <f t="shared" si="30"/>
        <v>65556000000</v>
      </c>
      <c r="P134" s="12">
        <f t="shared" si="31"/>
        <v>1352092500</v>
      </c>
      <c r="Q134" s="12">
        <f t="shared" si="32"/>
        <v>1471272458.854404</v>
      </c>
    </row>
    <row r="135" spans="1:17" x14ac:dyDescent="0.25">
      <c r="A135" s="7">
        <v>102</v>
      </c>
      <c r="B135" s="8">
        <f t="shared" si="26"/>
        <v>10000</v>
      </c>
      <c r="C135" s="8">
        <f t="shared" si="27"/>
        <v>738000</v>
      </c>
      <c r="D135" s="8">
        <f t="shared" si="17"/>
        <v>4000</v>
      </c>
      <c r="E135" s="9">
        <f t="shared" si="18"/>
        <v>0.6</v>
      </c>
      <c r="F135" s="8">
        <f t="shared" si="19"/>
        <v>1771200000</v>
      </c>
      <c r="G135" s="8">
        <f t="shared" si="20"/>
        <v>73062000</v>
      </c>
      <c r="H135" s="8">
        <f t="shared" si="21"/>
        <v>36531000</v>
      </c>
      <c r="I135" s="8">
        <f t="shared" si="22"/>
        <v>36531000</v>
      </c>
      <c r="J135" s="8">
        <f t="shared" si="28"/>
        <v>4904241.5295146806</v>
      </c>
      <c r="K135" s="8">
        <f t="shared" si="23"/>
        <v>100000000</v>
      </c>
      <c r="L135" s="8">
        <f t="shared" si="29"/>
        <v>7380000000</v>
      </c>
      <c r="M135" s="10">
        <f t="shared" si="24"/>
        <v>4.166666666666667</v>
      </c>
      <c r="N135" s="7" t="str">
        <f t="shared" si="25"/>
        <v>CAP-1 — Healthy</v>
      </c>
      <c r="O135" s="8">
        <f t="shared" si="30"/>
        <v>67327200000</v>
      </c>
      <c r="P135" s="8">
        <f t="shared" si="31"/>
        <v>1388623500</v>
      </c>
      <c r="Q135" s="8">
        <f t="shared" si="32"/>
        <v>1512707700.3839188</v>
      </c>
    </row>
    <row r="136" spans="1:17" x14ac:dyDescent="0.25">
      <c r="A136" s="11">
        <v>103</v>
      </c>
      <c r="B136" s="12">
        <f t="shared" si="26"/>
        <v>10000</v>
      </c>
      <c r="C136" s="12">
        <f t="shared" si="27"/>
        <v>748000</v>
      </c>
      <c r="D136" s="12">
        <f t="shared" si="17"/>
        <v>4000</v>
      </c>
      <c r="E136" s="13">
        <f t="shared" si="18"/>
        <v>0.6</v>
      </c>
      <c r="F136" s="12">
        <f t="shared" si="19"/>
        <v>1795200000</v>
      </c>
      <c r="G136" s="12">
        <f t="shared" si="20"/>
        <v>74052000</v>
      </c>
      <c r="H136" s="12">
        <f t="shared" si="21"/>
        <v>37026000</v>
      </c>
      <c r="I136" s="12">
        <f t="shared" si="22"/>
        <v>37026000</v>
      </c>
      <c r="J136" s="12">
        <f t="shared" si="28"/>
        <v>5042359.0012797294</v>
      </c>
      <c r="K136" s="12">
        <f t="shared" si="23"/>
        <v>100000000</v>
      </c>
      <c r="L136" s="12">
        <f t="shared" si="29"/>
        <v>7480000000</v>
      </c>
      <c r="M136" s="14">
        <f t="shared" si="24"/>
        <v>4.166666666666667</v>
      </c>
      <c r="N136" s="11" t="str">
        <f t="shared" si="25"/>
        <v>CAP-1 — Healthy</v>
      </c>
      <c r="O136" s="12">
        <f t="shared" si="30"/>
        <v>69122400000</v>
      </c>
      <c r="P136" s="12">
        <f t="shared" si="31"/>
        <v>1425649500</v>
      </c>
      <c r="Q136" s="12">
        <f t="shared" si="32"/>
        <v>1554776059.3851986</v>
      </c>
    </row>
    <row r="137" spans="1:17" x14ac:dyDescent="0.25">
      <c r="A137" s="7">
        <v>104</v>
      </c>
      <c r="B137" s="8">
        <f t="shared" si="26"/>
        <v>10000</v>
      </c>
      <c r="C137" s="8">
        <f t="shared" si="27"/>
        <v>758000</v>
      </c>
      <c r="D137" s="8">
        <f t="shared" si="17"/>
        <v>4000</v>
      </c>
      <c r="E137" s="9">
        <f t="shared" si="18"/>
        <v>0.6</v>
      </c>
      <c r="F137" s="8">
        <f t="shared" si="19"/>
        <v>1819200000</v>
      </c>
      <c r="G137" s="8">
        <f t="shared" si="20"/>
        <v>75042000</v>
      </c>
      <c r="H137" s="8">
        <f t="shared" si="21"/>
        <v>37521000</v>
      </c>
      <c r="I137" s="8">
        <f t="shared" si="22"/>
        <v>37521000</v>
      </c>
      <c r="J137" s="8">
        <f t="shared" si="28"/>
        <v>5182586.8646173291</v>
      </c>
      <c r="K137" s="8">
        <f t="shared" si="23"/>
        <v>100000000</v>
      </c>
      <c r="L137" s="8">
        <f t="shared" si="29"/>
        <v>7580000000</v>
      </c>
      <c r="M137" s="10">
        <f t="shared" si="24"/>
        <v>4.166666666666667</v>
      </c>
      <c r="N137" s="7" t="str">
        <f t="shared" si="25"/>
        <v>CAP-1 — Healthy</v>
      </c>
      <c r="O137" s="8">
        <f t="shared" si="30"/>
        <v>70941600000</v>
      </c>
      <c r="P137" s="8">
        <f t="shared" si="31"/>
        <v>1463170500</v>
      </c>
      <c r="Q137" s="8">
        <f t="shared" si="32"/>
        <v>1597479646.2498159</v>
      </c>
    </row>
    <row r="138" spans="1:17" x14ac:dyDescent="0.25">
      <c r="A138" s="11">
        <v>105</v>
      </c>
      <c r="B138" s="12">
        <f t="shared" si="26"/>
        <v>10000</v>
      </c>
      <c r="C138" s="12">
        <f t="shared" si="27"/>
        <v>768000</v>
      </c>
      <c r="D138" s="12">
        <f t="shared" si="17"/>
        <v>4000</v>
      </c>
      <c r="E138" s="13">
        <f t="shared" si="18"/>
        <v>0.6</v>
      </c>
      <c r="F138" s="12">
        <f t="shared" si="19"/>
        <v>1843200000</v>
      </c>
      <c r="G138" s="12">
        <f t="shared" si="20"/>
        <v>76032000</v>
      </c>
      <c r="H138" s="12">
        <f t="shared" si="21"/>
        <v>38016000</v>
      </c>
      <c r="I138" s="12">
        <f t="shared" si="22"/>
        <v>38016000</v>
      </c>
      <c r="J138" s="12">
        <f t="shared" si="28"/>
        <v>5324932.154166053</v>
      </c>
      <c r="K138" s="12">
        <f t="shared" si="23"/>
        <v>100000000</v>
      </c>
      <c r="L138" s="12">
        <f t="shared" si="29"/>
        <v>7680000000</v>
      </c>
      <c r="M138" s="14">
        <f t="shared" si="24"/>
        <v>4.166666666666667</v>
      </c>
      <c r="N138" s="11" t="str">
        <f t="shared" si="25"/>
        <v>CAP-1 — Healthy</v>
      </c>
      <c r="O138" s="12">
        <f t="shared" si="30"/>
        <v>72784800000</v>
      </c>
      <c r="P138" s="12">
        <f t="shared" si="31"/>
        <v>1501186500</v>
      </c>
      <c r="Q138" s="12">
        <f t="shared" si="32"/>
        <v>1640820578.4039819</v>
      </c>
    </row>
    <row r="139" spans="1:17" x14ac:dyDescent="0.25">
      <c r="A139" s="7">
        <v>106</v>
      </c>
      <c r="B139" s="8">
        <f t="shared" si="26"/>
        <v>10000</v>
      </c>
      <c r="C139" s="8">
        <f t="shared" si="27"/>
        <v>778000</v>
      </c>
      <c r="D139" s="8">
        <f t="shared" si="17"/>
        <v>4000</v>
      </c>
      <c r="E139" s="9">
        <f t="shared" si="18"/>
        <v>0.6</v>
      </c>
      <c r="F139" s="8">
        <f t="shared" si="19"/>
        <v>1867200000</v>
      </c>
      <c r="G139" s="8">
        <f t="shared" si="20"/>
        <v>77022000</v>
      </c>
      <c r="H139" s="8">
        <f t="shared" si="21"/>
        <v>38511000</v>
      </c>
      <c r="I139" s="8">
        <f t="shared" si="22"/>
        <v>38511000</v>
      </c>
      <c r="J139" s="8">
        <f t="shared" si="28"/>
        <v>5469401.9280132735</v>
      </c>
      <c r="K139" s="8">
        <f t="shared" si="23"/>
        <v>100000000</v>
      </c>
      <c r="L139" s="8">
        <f t="shared" si="29"/>
        <v>7780000000</v>
      </c>
      <c r="M139" s="10">
        <f t="shared" si="24"/>
        <v>4.166666666666667</v>
      </c>
      <c r="N139" s="7" t="str">
        <f t="shared" si="25"/>
        <v>CAP-1 — Healthy</v>
      </c>
      <c r="O139" s="8">
        <f t="shared" si="30"/>
        <v>74652000000</v>
      </c>
      <c r="P139" s="8">
        <f t="shared" si="31"/>
        <v>1539697500</v>
      </c>
      <c r="Q139" s="8">
        <f t="shared" si="32"/>
        <v>1684800980.3319952</v>
      </c>
    </row>
    <row r="140" spans="1:17" x14ac:dyDescent="0.25">
      <c r="A140" s="11">
        <v>107</v>
      </c>
      <c r="B140" s="12">
        <f t="shared" si="26"/>
        <v>10000</v>
      </c>
      <c r="C140" s="12">
        <f t="shared" si="27"/>
        <v>788000</v>
      </c>
      <c r="D140" s="12">
        <f t="shared" si="17"/>
        <v>4000</v>
      </c>
      <c r="E140" s="13">
        <f t="shared" si="18"/>
        <v>0.6</v>
      </c>
      <c r="F140" s="12">
        <f t="shared" si="19"/>
        <v>1891200000</v>
      </c>
      <c r="G140" s="12">
        <f t="shared" si="20"/>
        <v>78012000</v>
      </c>
      <c r="H140" s="12">
        <f t="shared" si="21"/>
        <v>39006000</v>
      </c>
      <c r="I140" s="12">
        <f t="shared" si="22"/>
        <v>39006000</v>
      </c>
      <c r="J140" s="12">
        <f t="shared" si="28"/>
        <v>5616003.2677733181</v>
      </c>
      <c r="K140" s="12">
        <f t="shared" si="23"/>
        <v>100000000</v>
      </c>
      <c r="L140" s="12">
        <f t="shared" si="29"/>
        <v>7880000000</v>
      </c>
      <c r="M140" s="14">
        <f t="shared" si="24"/>
        <v>4.166666666666667</v>
      </c>
      <c r="N140" s="11" t="str">
        <f t="shared" si="25"/>
        <v>CAP-1 — Healthy</v>
      </c>
      <c r="O140" s="12">
        <f t="shared" si="30"/>
        <v>76543200000</v>
      </c>
      <c r="P140" s="12">
        <f t="shared" si="31"/>
        <v>1578703500</v>
      </c>
      <c r="Q140" s="12">
        <f t="shared" si="32"/>
        <v>1729422983.5997686</v>
      </c>
    </row>
    <row r="141" spans="1:17" x14ac:dyDescent="0.25">
      <c r="A141" s="7">
        <v>108</v>
      </c>
      <c r="B141" s="8">
        <f t="shared" si="26"/>
        <v>10000</v>
      </c>
      <c r="C141" s="8">
        <f t="shared" si="27"/>
        <v>798000</v>
      </c>
      <c r="D141" s="8">
        <f t="shared" si="17"/>
        <v>4000</v>
      </c>
      <c r="E141" s="9">
        <f t="shared" si="18"/>
        <v>0.6</v>
      </c>
      <c r="F141" s="8">
        <f t="shared" si="19"/>
        <v>1915200000</v>
      </c>
      <c r="G141" s="8">
        <f t="shared" si="20"/>
        <v>79002000</v>
      </c>
      <c r="H141" s="8">
        <f t="shared" si="21"/>
        <v>39501000</v>
      </c>
      <c r="I141" s="8">
        <f t="shared" si="22"/>
        <v>39501000</v>
      </c>
      <c r="J141" s="8">
        <f t="shared" si="28"/>
        <v>5764743.2786658956</v>
      </c>
      <c r="K141" s="8">
        <f t="shared" si="23"/>
        <v>100000000</v>
      </c>
      <c r="L141" s="8">
        <f t="shared" si="29"/>
        <v>7980000000</v>
      </c>
      <c r="M141" s="10">
        <f t="shared" si="24"/>
        <v>4.166666666666667</v>
      </c>
      <c r="N141" s="7" t="str">
        <f t="shared" si="25"/>
        <v>CAP-1 — Healthy</v>
      </c>
      <c r="O141" s="8">
        <f t="shared" si="30"/>
        <v>78458400000</v>
      </c>
      <c r="P141" s="8">
        <f t="shared" si="31"/>
        <v>1618204500</v>
      </c>
      <c r="Q141" s="8">
        <f t="shared" si="32"/>
        <v>1774688726.8784344</v>
      </c>
    </row>
    <row r="142" spans="1:17" x14ac:dyDescent="0.25">
      <c r="A142" s="11">
        <v>109</v>
      </c>
      <c r="B142" s="12">
        <f t="shared" si="26"/>
        <v>50000</v>
      </c>
      <c r="C142" s="12">
        <f t="shared" si="27"/>
        <v>848000</v>
      </c>
      <c r="D142" s="12">
        <f t="shared" si="17"/>
        <v>4000</v>
      </c>
      <c r="E142" s="13">
        <f t="shared" si="18"/>
        <v>0.6</v>
      </c>
      <c r="F142" s="12">
        <f t="shared" si="19"/>
        <v>2035200000</v>
      </c>
      <c r="G142" s="12">
        <f t="shared" si="20"/>
        <v>83952000</v>
      </c>
      <c r="H142" s="12">
        <f t="shared" si="21"/>
        <v>41976000</v>
      </c>
      <c r="I142" s="12">
        <f t="shared" si="22"/>
        <v>41976000</v>
      </c>
      <c r="J142" s="12">
        <f t="shared" si="28"/>
        <v>5915629.0895947814</v>
      </c>
      <c r="K142" s="12">
        <f t="shared" si="23"/>
        <v>500000000</v>
      </c>
      <c r="L142" s="12">
        <f t="shared" si="29"/>
        <v>8480000000</v>
      </c>
      <c r="M142" s="14">
        <f t="shared" si="24"/>
        <v>4.166666666666667</v>
      </c>
      <c r="N142" s="11" t="str">
        <f t="shared" si="25"/>
        <v>CAP-1 — Healthy</v>
      </c>
      <c r="O142" s="12">
        <f t="shared" si="30"/>
        <v>80493600000</v>
      </c>
      <c r="P142" s="12">
        <f t="shared" si="31"/>
        <v>1660180500</v>
      </c>
      <c r="Q142" s="12">
        <f t="shared" si="32"/>
        <v>1822580355.9680293</v>
      </c>
    </row>
    <row r="143" spans="1:17" x14ac:dyDescent="0.25">
      <c r="A143" s="7">
        <v>110</v>
      </c>
      <c r="B143" s="8">
        <f t="shared" si="26"/>
        <v>50000</v>
      </c>
      <c r="C143" s="8">
        <f t="shared" si="27"/>
        <v>898000</v>
      </c>
      <c r="D143" s="8">
        <f t="shared" si="17"/>
        <v>4000</v>
      </c>
      <c r="E143" s="9">
        <f t="shared" si="18"/>
        <v>0.6</v>
      </c>
      <c r="F143" s="8">
        <f t="shared" si="19"/>
        <v>2155200000</v>
      </c>
      <c r="G143" s="8">
        <f t="shared" si="20"/>
        <v>88902000</v>
      </c>
      <c r="H143" s="8">
        <f t="shared" si="21"/>
        <v>44451000</v>
      </c>
      <c r="I143" s="8">
        <f t="shared" si="22"/>
        <v>44451000</v>
      </c>
      <c r="J143" s="8">
        <f t="shared" si="28"/>
        <v>6075267.8532267641</v>
      </c>
      <c r="K143" s="8">
        <f t="shared" si="23"/>
        <v>500000000</v>
      </c>
      <c r="L143" s="8">
        <f t="shared" si="29"/>
        <v>8980000000</v>
      </c>
      <c r="M143" s="10">
        <f t="shared" si="24"/>
        <v>4.166666666666667</v>
      </c>
      <c r="N143" s="7" t="str">
        <f t="shared" si="25"/>
        <v>CAP-1 — Healthy</v>
      </c>
      <c r="O143" s="8">
        <f t="shared" si="30"/>
        <v>82648800000</v>
      </c>
      <c r="P143" s="8">
        <f t="shared" si="31"/>
        <v>1704631500</v>
      </c>
      <c r="Q143" s="8">
        <f t="shared" si="32"/>
        <v>1873106623.8212559</v>
      </c>
    </row>
    <row r="144" spans="1:17" x14ac:dyDescent="0.25">
      <c r="A144" s="11">
        <v>111</v>
      </c>
      <c r="B144" s="12">
        <f t="shared" si="26"/>
        <v>50000</v>
      </c>
      <c r="C144" s="12">
        <f t="shared" si="27"/>
        <v>948000</v>
      </c>
      <c r="D144" s="12">
        <f t="shared" si="17"/>
        <v>4000</v>
      </c>
      <c r="E144" s="13">
        <f t="shared" si="18"/>
        <v>0.6</v>
      </c>
      <c r="F144" s="12">
        <f t="shared" si="19"/>
        <v>2275200000</v>
      </c>
      <c r="G144" s="12">
        <f t="shared" si="20"/>
        <v>93852000</v>
      </c>
      <c r="H144" s="12">
        <f t="shared" si="21"/>
        <v>46926000</v>
      </c>
      <c r="I144" s="12">
        <f t="shared" si="22"/>
        <v>46926000</v>
      </c>
      <c r="J144" s="12">
        <f t="shared" si="28"/>
        <v>6243688.7460708534</v>
      </c>
      <c r="K144" s="12">
        <f t="shared" si="23"/>
        <v>500000000</v>
      </c>
      <c r="L144" s="12">
        <f t="shared" si="29"/>
        <v>9480000000</v>
      </c>
      <c r="M144" s="14">
        <f t="shared" si="24"/>
        <v>4.166666666666667</v>
      </c>
      <c r="N144" s="11" t="str">
        <f t="shared" si="25"/>
        <v>CAP-1 — Healthy</v>
      </c>
      <c r="O144" s="12">
        <f t="shared" si="30"/>
        <v>84924000000</v>
      </c>
      <c r="P144" s="12">
        <f t="shared" si="31"/>
        <v>1751557500</v>
      </c>
      <c r="Q144" s="12">
        <f t="shared" si="32"/>
        <v>1926276312.5673268</v>
      </c>
    </row>
    <row r="145" spans="1:17" x14ac:dyDescent="0.25">
      <c r="A145" s="7">
        <v>112</v>
      </c>
      <c r="B145" s="8">
        <f t="shared" si="26"/>
        <v>50000</v>
      </c>
      <c r="C145" s="8">
        <f t="shared" si="27"/>
        <v>998000</v>
      </c>
      <c r="D145" s="8">
        <f t="shared" si="17"/>
        <v>4000</v>
      </c>
      <c r="E145" s="9">
        <f t="shared" si="18"/>
        <v>0.6</v>
      </c>
      <c r="F145" s="8">
        <f t="shared" si="19"/>
        <v>2395200000</v>
      </c>
      <c r="G145" s="8">
        <f t="shared" si="20"/>
        <v>98802000</v>
      </c>
      <c r="H145" s="8">
        <f t="shared" si="21"/>
        <v>49401000</v>
      </c>
      <c r="I145" s="8">
        <f t="shared" si="22"/>
        <v>49401000</v>
      </c>
      <c r="J145" s="8">
        <f t="shared" si="28"/>
        <v>6420921.0418910896</v>
      </c>
      <c r="K145" s="8">
        <f t="shared" si="23"/>
        <v>500000000</v>
      </c>
      <c r="L145" s="8">
        <f t="shared" si="29"/>
        <v>9980000000</v>
      </c>
      <c r="M145" s="10">
        <f t="shared" si="24"/>
        <v>4.166666666666667</v>
      </c>
      <c r="N145" s="7" t="str">
        <f t="shared" si="25"/>
        <v>CAP-1 — Healthy</v>
      </c>
      <c r="O145" s="8">
        <f t="shared" si="30"/>
        <v>87319200000</v>
      </c>
      <c r="P145" s="8">
        <f t="shared" si="31"/>
        <v>1800958500</v>
      </c>
      <c r="Q145" s="8">
        <f t="shared" si="32"/>
        <v>1982098233.6092179</v>
      </c>
    </row>
    <row r="146" spans="1:17" x14ac:dyDescent="0.25">
      <c r="A146" s="11">
        <v>113</v>
      </c>
      <c r="B146" s="12">
        <f t="shared" si="26"/>
        <v>50000</v>
      </c>
      <c r="C146" s="12">
        <f t="shared" si="27"/>
        <v>1048000</v>
      </c>
      <c r="D146" s="12">
        <f t="shared" si="17"/>
        <v>4000</v>
      </c>
      <c r="E146" s="13">
        <f t="shared" si="18"/>
        <v>0.6</v>
      </c>
      <c r="F146" s="12">
        <f t="shared" si="19"/>
        <v>2515200000</v>
      </c>
      <c r="G146" s="12">
        <f t="shared" si="20"/>
        <v>103752000</v>
      </c>
      <c r="H146" s="12">
        <f t="shared" si="21"/>
        <v>51876000</v>
      </c>
      <c r="I146" s="12">
        <f t="shared" si="22"/>
        <v>51876000</v>
      </c>
      <c r="J146" s="12">
        <f t="shared" si="28"/>
        <v>6606994.1120307269</v>
      </c>
      <c r="K146" s="12">
        <f t="shared" si="23"/>
        <v>500000000</v>
      </c>
      <c r="L146" s="12">
        <f t="shared" si="29"/>
        <v>10480000000</v>
      </c>
      <c r="M146" s="14">
        <f t="shared" si="24"/>
        <v>4.166666666666667</v>
      </c>
      <c r="N146" s="11" t="str">
        <f t="shared" si="25"/>
        <v>CAP-1 — Healthy</v>
      </c>
      <c r="O146" s="12">
        <f t="shared" si="30"/>
        <v>89834400000</v>
      </c>
      <c r="P146" s="12">
        <f t="shared" si="31"/>
        <v>1852834500</v>
      </c>
      <c r="Q146" s="12">
        <f t="shared" si="32"/>
        <v>2040581227.7212486</v>
      </c>
    </row>
    <row r="147" spans="1:17" x14ac:dyDescent="0.25">
      <c r="A147" s="7">
        <v>114</v>
      </c>
      <c r="B147" s="8">
        <f t="shared" si="26"/>
        <v>50000</v>
      </c>
      <c r="C147" s="8">
        <f t="shared" si="27"/>
        <v>1098000</v>
      </c>
      <c r="D147" s="8">
        <f t="shared" si="17"/>
        <v>4000</v>
      </c>
      <c r="E147" s="9">
        <f t="shared" si="18"/>
        <v>0.6</v>
      </c>
      <c r="F147" s="8">
        <f t="shared" si="19"/>
        <v>2635200000</v>
      </c>
      <c r="G147" s="8">
        <f t="shared" si="20"/>
        <v>108702000</v>
      </c>
      <c r="H147" s="8">
        <f t="shared" si="21"/>
        <v>54351000</v>
      </c>
      <c r="I147" s="8">
        <f t="shared" si="22"/>
        <v>54351000</v>
      </c>
      <c r="J147" s="8">
        <f t="shared" si="28"/>
        <v>6801937.4257374955</v>
      </c>
      <c r="K147" s="8">
        <f t="shared" si="23"/>
        <v>500000000</v>
      </c>
      <c r="L147" s="8">
        <f t="shared" si="29"/>
        <v>10980000000</v>
      </c>
      <c r="M147" s="10">
        <f t="shared" si="24"/>
        <v>4.166666666666667</v>
      </c>
      <c r="N147" s="7" t="str">
        <f t="shared" si="25"/>
        <v>CAP-1 — Healthy</v>
      </c>
      <c r="O147" s="8">
        <f t="shared" si="30"/>
        <v>92469600000</v>
      </c>
      <c r="P147" s="8">
        <f t="shared" si="31"/>
        <v>1907185500</v>
      </c>
      <c r="Q147" s="8">
        <f t="shared" si="32"/>
        <v>2101734165.146986</v>
      </c>
    </row>
    <row r="148" spans="1:17" x14ac:dyDescent="0.25">
      <c r="A148" s="11">
        <v>115</v>
      </c>
      <c r="B148" s="12">
        <f t="shared" si="26"/>
        <v>50000</v>
      </c>
      <c r="C148" s="12">
        <f t="shared" si="27"/>
        <v>1148000</v>
      </c>
      <c r="D148" s="12">
        <f t="shared" si="17"/>
        <v>4000</v>
      </c>
      <c r="E148" s="13">
        <f t="shared" si="18"/>
        <v>0.6</v>
      </c>
      <c r="F148" s="12">
        <f t="shared" si="19"/>
        <v>2755200000</v>
      </c>
      <c r="G148" s="12">
        <f t="shared" si="20"/>
        <v>113652000</v>
      </c>
      <c r="H148" s="12">
        <f t="shared" si="21"/>
        <v>56826000</v>
      </c>
      <c r="I148" s="12">
        <f t="shared" si="22"/>
        <v>56826000</v>
      </c>
      <c r="J148" s="12">
        <f t="shared" si="28"/>
        <v>7005780.5504899537</v>
      </c>
      <c r="K148" s="12">
        <f t="shared" si="23"/>
        <v>500000000</v>
      </c>
      <c r="L148" s="12">
        <f t="shared" si="29"/>
        <v>11480000000</v>
      </c>
      <c r="M148" s="14">
        <f t="shared" si="24"/>
        <v>4.166666666666667</v>
      </c>
      <c r="N148" s="11" t="str">
        <f t="shared" si="25"/>
        <v>CAP-1 — Healthy</v>
      </c>
      <c r="O148" s="12">
        <f t="shared" si="30"/>
        <v>95224800000</v>
      </c>
      <c r="P148" s="12">
        <f t="shared" si="31"/>
        <v>1964011500</v>
      </c>
      <c r="Q148" s="12">
        <f t="shared" si="32"/>
        <v>2165565945.6974759</v>
      </c>
    </row>
    <row r="149" spans="1:17" x14ac:dyDescent="0.25">
      <c r="A149" s="7">
        <v>116</v>
      </c>
      <c r="B149" s="8">
        <f t="shared" si="26"/>
        <v>50000</v>
      </c>
      <c r="C149" s="8">
        <f t="shared" si="27"/>
        <v>1198000</v>
      </c>
      <c r="D149" s="8">
        <f t="shared" si="17"/>
        <v>4000</v>
      </c>
      <c r="E149" s="9">
        <f t="shared" si="18"/>
        <v>0.6</v>
      </c>
      <c r="F149" s="8">
        <f t="shared" si="19"/>
        <v>2875200000</v>
      </c>
      <c r="G149" s="8">
        <f t="shared" si="20"/>
        <v>118602000</v>
      </c>
      <c r="H149" s="8">
        <f t="shared" si="21"/>
        <v>59301000</v>
      </c>
      <c r="I149" s="8">
        <f t="shared" si="22"/>
        <v>59301000</v>
      </c>
      <c r="J149" s="8">
        <f t="shared" si="28"/>
        <v>7218553.1523249205</v>
      </c>
      <c r="K149" s="8">
        <f t="shared" si="23"/>
        <v>500000000</v>
      </c>
      <c r="L149" s="8">
        <f t="shared" si="29"/>
        <v>11980000000</v>
      </c>
      <c r="M149" s="10">
        <f t="shared" si="24"/>
        <v>4.166666666666667</v>
      </c>
      <c r="N149" s="7" t="str">
        <f t="shared" si="25"/>
        <v>CAP-1 — Healthy</v>
      </c>
      <c r="O149" s="8">
        <f t="shared" si="30"/>
        <v>98100000000</v>
      </c>
      <c r="P149" s="8">
        <f t="shared" si="31"/>
        <v>2023312500</v>
      </c>
      <c r="Q149" s="8">
        <f t="shared" si="32"/>
        <v>2232085498.8498011</v>
      </c>
    </row>
    <row r="150" spans="1:17" x14ac:dyDescent="0.25">
      <c r="A150" s="11">
        <v>117</v>
      </c>
      <c r="B150" s="12">
        <f t="shared" si="26"/>
        <v>50000</v>
      </c>
      <c r="C150" s="12">
        <f t="shared" si="27"/>
        <v>1248000</v>
      </c>
      <c r="D150" s="12">
        <f t="shared" si="17"/>
        <v>4000</v>
      </c>
      <c r="E150" s="13">
        <f t="shared" si="18"/>
        <v>0.6</v>
      </c>
      <c r="F150" s="12">
        <f t="shared" si="19"/>
        <v>2995200000</v>
      </c>
      <c r="G150" s="12">
        <f t="shared" si="20"/>
        <v>123552000</v>
      </c>
      <c r="H150" s="12">
        <f t="shared" si="21"/>
        <v>61776000</v>
      </c>
      <c r="I150" s="12">
        <f t="shared" si="22"/>
        <v>61776000</v>
      </c>
      <c r="J150" s="12">
        <f t="shared" si="28"/>
        <v>7440284.9961660039</v>
      </c>
      <c r="K150" s="12">
        <f t="shared" si="23"/>
        <v>500000000</v>
      </c>
      <c r="L150" s="12">
        <f t="shared" si="29"/>
        <v>12480000000</v>
      </c>
      <c r="M150" s="14">
        <f t="shared" si="24"/>
        <v>4.166666666666667</v>
      </c>
      <c r="N150" s="11" t="str">
        <f t="shared" si="25"/>
        <v>CAP-1 — Healthy</v>
      </c>
      <c r="O150" s="12">
        <f t="shared" si="30"/>
        <v>101095200000</v>
      </c>
      <c r="P150" s="12">
        <f t="shared" si="31"/>
        <v>2085088500</v>
      </c>
      <c r="Q150" s="12">
        <f t="shared" si="32"/>
        <v>2301301783.8459673</v>
      </c>
    </row>
    <row r="151" spans="1:17" x14ac:dyDescent="0.25">
      <c r="A151" s="7">
        <v>118</v>
      </c>
      <c r="B151" s="8">
        <f t="shared" si="26"/>
        <v>50000</v>
      </c>
      <c r="C151" s="8">
        <f t="shared" si="27"/>
        <v>1298000</v>
      </c>
      <c r="D151" s="8">
        <f t="shared" si="17"/>
        <v>4000</v>
      </c>
      <c r="E151" s="9">
        <f t="shared" si="18"/>
        <v>0.6</v>
      </c>
      <c r="F151" s="8">
        <f t="shared" si="19"/>
        <v>3115200000</v>
      </c>
      <c r="G151" s="8">
        <f t="shared" si="20"/>
        <v>128502000</v>
      </c>
      <c r="H151" s="8">
        <f t="shared" si="21"/>
        <v>64251000</v>
      </c>
      <c r="I151" s="8">
        <f t="shared" si="22"/>
        <v>64251000</v>
      </c>
      <c r="J151" s="8">
        <f t="shared" si="28"/>
        <v>7671005.9461532244</v>
      </c>
      <c r="K151" s="8">
        <f t="shared" si="23"/>
        <v>500000000</v>
      </c>
      <c r="L151" s="8">
        <f t="shared" si="29"/>
        <v>12980000000</v>
      </c>
      <c r="M151" s="10">
        <f t="shared" si="24"/>
        <v>4.166666666666667</v>
      </c>
      <c r="N151" s="7" t="str">
        <f t="shared" si="25"/>
        <v>CAP-1 — Healthy</v>
      </c>
      <c r="O151" s="8">
        <f t="shared" si="30"/>
        <v>104210400000</v>
      </c>
      <c r="P151" s="8">
        <f t="shared" si="31"/>
        <v>2149339500</v>
      </c>
      <c r="Q151" s="8">
        <f t="shared" si="32"/>
        <v>2373223789.7921205</v>
      </c>
    </row>
    <row r="152" spans="1:17" x14ac:dyDescent="0.25">
      <c r="A152" s="11">
        <v>119</v>
      </c>
      <c r="B152" s="12">
        <f t="shared" si="26"/>
        <v>50000</v>
      </c>
      <c r="C152" s="12">
        <f t="shared" si="27"/>
        <v>1348000</v>
      </c>
      <c r="D152" s="12">
        <f t="shared" si="17"/>
        <v>4000</v>
      </c>
      <c r="E152" s="13">
        <f t="shared" si="18"/>
        <v>0.6</v>
      </c>
      <c r="F152" s="12">
        <f t="shared" si="19"/>
        <v>3235200000</v>
      </c>
      <c r="G152" s="12">
        <f t="shared" si="20"/>
        <v>133452000</v>
      </c>
      <c r="H152" s="12">
        <f t="shared" si="21"/>
        <v>66726000</v>
      </c>
      <c r="I152" s="12">
        <f t="shared" si="22"/>
        <v>66726000</v>
      </c>
      <c r="J152" s="12">
        <f t="shared" si="28"/>
        <v>7910745.9659737358</v>
      </c>
      <c r="K152" s="12">
        <f t="shared" si="23"/>
        <v>500000000</v>
      </c>
      <c r="L152" s="12">
        <f t="shared" si="29"/>
        <v>13480000000</v>
      </c>
      <c r="M152" s="14">
        <f t="shared" si="24"/>
        <v>4.166666666666667</v>
      </c>
      <c r="N152" s="11" t="str">
        <f t="shared" si="25"/>
        <v>CAP-1 — Healthy</v>
      </c>
      <c r="O152" s="12">
        <f t="shared" si="30"/>
        <v>107445600000</v>
      </c>
      <c r="P152" s="12">
        <f t="shared" si="31"/>
        <v>2216065500</v>
      </c>
      <c r="Q152" s="12">
        <f t="shared" si="32"/>
        <v>2447860535.7580943</v>
      </c>
    </row>
    <row r="153" spans="1:17" x14ac:dyDescent="0.25">
      <c r="A153" s="7">
        <v>120</v>
      </c>
      <c r="B153" s="8">
        <f t="shared" si="26"/>
        <v>50000</v>
      </c>
      <c r="C153" s="8">
        <f t="shared" si="27"/>
        <v>1398000</v>
      </c>
      <c r="D153" s="8">
        <f t="shared" si="17"/>
        <v>4000</v>
      </c>
      <c r="E153" s="9">
        <f t="shared" si="18"/>
        <v>0.6</v>
      </c>
      <c r="F153" s="8">
        <f t="shared" si="19"/>
        <v>3355200000</v>
      </c>
      <c r="G153" s="8">
        <f t="shared" si="20"/>
        <v>138402000</v>
      </c>
      <c r="H153" s="8">
        <f t="shared" si="21"/>
        <v>69201000</v>
      </c>
      <c r="I153" s="8">
        <f t="shared" si="22"/>
        <v>69201000</v>
      </c>
      <c r="J153" s="8">
        <f t="shared" si="28"/>
        <v>8159535.119193648</v>
      </c>
      <c r="K153" s="8">
        <f t="shared" si="23"/>
        <v>500000000</v>
      </c>
      <c r="L153" s="8">
        <f t="shared" si="29"/>
        <v>13980000000</v>
      </c>
      <c r="M153" s="10">
        <f t="shared" si="24"/>
        <v>4.166666666666667</v>
      </c>
      <c r="N153" s="7" t="str">
        <f t="shared" si="25"/>
        <v>CAP-1 — Healthy</v>
      </c>
      <c r="O153" s="8">
        <f t="shared" si="30"/>
        <v>110800800000</v>
      </c>
      <c r="P153" s="8">
        <f t="shared" si="31"/>
        <v>2285266500</v>
      </c>
      <c r="Q153" s="8">
        <f t="shared" si="32"/>
        <v>2525221070.8772879</v>
      </c>
    </row>
    <row r="154" spans="1:17" x14ac:dyDescent="0.25">
      <c r="A154" s="11">
        <v>121</v>
      </c>
      <c r="B154" s="12">
        <f t="shared" si="26"/>
        <v>50000</v>
      </c>
      <c r="C154" s="12">
        <f t="shared" si="27"/>
        <v>1448000</v>
      </c>
      <c r="D154" s="12">
        <f t="shared" si="17"/>
        <v>4000</v>
      </c>
      <c r="E154" s="13">
        <f t="shared" si="18"/>
        <v>0.6</v>
      </c>
      <c r="F154" s="12">
        <f t="shared" si="19"/>
        <v>3475200000</v>
      </c>
      <c r="G154" s="12">
        <f t="shared" si="20"/>
        <v>143352000</v>
      </c>
      <c r="H154" s="12">
        <f t="shared" si="21"/>
        <v>71676000</v>
      </c>
      <c r="I154" s="12">
        <f t="shared" si="22"/>
        <v>71676000</v>
      </c>
      <c r="J154" s="12">
        <f t="shared" si="28"/>
        <v>8417403.5695909597</v>
      </c>
      <c r="K154" s="12">
        <f t="shared" si="23"/>
        <v>500000000</v>
      </c>
      <c r="L154" s="12">
        <f t="shared" si="29"/>
        <v>14480000000</v>
      </c>
      <c r="M154" s="14">
        <f t="shared" si="24"/>
        <v>4.166666666666667</v>
      </c>
      <c r="N154" s="11" t="str">
        <f t="shared" si="25"/>
        <v>CAP-1 — Healthy</v>
      </c>
      <c r="O154" s="12">
        <f t="shared" si="30"/>
        <v>114276000000</v>
      </c>
      <c r="P154" s="12">
        <f t="shared" si="31"/>
        <v>2356942500</v>
      </c>
      <c r="Q154" s="12">
        <f t="shared" si="32"/>
        <v>2605314474.4468789</v>
      </c>
    </row>
    <row r="155" spans="1:17" x14ac:dyDescent="0.25">
      <c r="A155" s="7">
        <v>122</v>
      </c>
      <c r="B155" s="8">
        <f t="shared" si="26"/>
        <v>50000</v>
      </c>
      <c r="C155" s="8">
        <f t="shared" si="27"/>
        <v>1498000</v>
      </c>
      <c r="D155" s="8">
        <f t="shared" si="17"/>
        <v>4000</v>
      </c>
      <c r="E155" s="9">
        <f t="shared" si="18"/>
        <v>0.6</v>
      </c>
      <c r="F155" s="8">
        <f t="shared" si="19"/>
        <v>3595200000</v>
      </c>
      <c r="G155" s="8">
        <f t="shared" si="20"/>
        <v>148302000</v>
      </c>
      <c r="H155" s="8">
        <f t="shared" si="21"/>
        <v>74151000</v>
      </c>
      <c r="I155" s="8">
        <f t="shared" si="22"/>
        <v>74151000</v>
      </c>
      <c r="J155" s="8">
        <f t="shared" si="28"/>
        <v>8684381.5814895965</v>
      </c>
      <c r="K155" s="8">
        <f t="shared" si="23"/>
        <v>500000000</v>
      </c>
      <c r="L155" s="8">
        <f t="shared" si="29"/>
        <v>14980000000</v>
      </c>
      <c r="M155" s="10">
        <f t="shared" si="24"/>
        <v>4.166666666666667</v>
      </c>
      <c r="N155" s="7" t="str">
        <f t="shared" si="25"/>
        <v>CAP-1 — Healthy</v>
      </c>
      <c r="O155" s="8">
        <f t="shared" si="30"/>
        <v>117871200000</v>
      </c>
      <c r="P155" s="8">
        <f t="shared" si="31"/>
        <v>2431093500</v>
      </c>
      <c r="Q155" s="8">
        <f t="shared" si="32"/>
        <v>2688149856.0283685</v>
      </c>
    </row>
    <row r="156" spans="1:17" x14ac:dyDescent="0.25">
      <c r="A156" s="11">
        <v>123</v>
      </c>
      <c r="B156" s="12">
        <f t="shared" si="26"/>
        <v>50000</v>
      </c>
      <c r="C156" s="12">
        <f t="shared" si="27"/>
        <v>1548000</v>
      </c>
      <c r="D156" s="12">
        <f t="shared" si="17"/>
        <v>4000</v>
      </c>
      <c r="E156" s="13">
        <f t="shared" si="18"/>
        <v>0.6</v>
      </c>
      <c r="F156" s="12">
        <f t="shared" si="19"/>
        <v>3715200000</v>
      </c>
      <c r="G156" s="12">
        <f t="shared" si="20"/>
        <v>153252000</v>
      </c>
      <c r="H156" s="12">
        <f t="shared" si="21"/>
        <v>76626000</v>
      </c>
      <c r="I156" s="12">
        <f t="shared" si="22"/>
        <v>76626000</v>
      </c>
      <c r="J156" s="12">
        <f t="shared" si="28"/>
        <v>8960499.5200945623</v>
      </c>
      <c r="K156" s="12">
        <f t="shared" si="23"/>
        <v>500000000</v>
      </c>
      <c r="L156" s="12">
        <f t="shared" si="29"/>
        <v>15480000000</v>
      </c>
      <c r="M156" s="14">
        <f t="shared" si="24"/>
        <v>4.166666666666667</v>
      </c>
      <c r="N156" s="11" t="str">
        <f t="shared" si="25"/>
        <v>CAP-1 — Healthy</v>
      </c>
      <c r="O156" s="12">
        <f t="shared" si="30"/>
        <v>121586400000</v>
      </c>
      <c r="P156" s="12">
        <f t="shared" si="31"/>
        <v>2507719500</v>
      </c>
      <c r="Q156" s="12">
        <f t="shared" si="32"/>
        <v>2773736355.5484629</v>
      </c>
    </row>
    <row r="157" spans="1:17" x14ac:dyDescent="0.25">
      <c r="A157" s="7">
        <v>124</v>
      </c>
      <c r="B157" s="8">
        <f t="shared" si="26"/>
        <v>50000</v>
      </c>
      <c r="C157" s="8">
        <f t="shared" si="27"/>
        <v>1598000</v>
      </c>
      <c r="D157" s="8">
        <f t="shared" si="17"/>
        <v>4000</v>
      </c>
      <c r="E157" s="9">
        <f t="shared" si="18"/>
        <v>0.6</v>
      </c>
      <c r="F157" s="8">
        <f t="shared" si="19"/>
        <v>3835200000</v>
      </c>
      <c r="G157" s="8">
        <f t="shared" si="20"/>
        <v>158202000</v>
      </c>
      <c r="H157" s="8">
        <f t="shared" si="21"/>
        <v>79101000</v>
      </c>
      <c r="I157" s="8">
        <f t="shared" si="22"/>
        <v>79101000</v>
      </c>
      <c r="J157" s="8">
        <f t="shared" si="28"/>
        <v>9245787.8518282101</v>
      </c>
      <c r="K157" s="8">
        <f t="shared" si="23"/>
        <v>500000000</v>
      </c>
      <c r="L157" s="8">
        <f t="shared" si="29"/>
        <v>15980000000</v>
      </c>
      <c r="M157" s="10">
        <f t="shared" si="24"/>
        <v>4.166666666666667</v>
      </c>
      <c r="N157" s="7" t="str">
        <f t="shared" si="25"/>
        <v>CAP-1 — Healthy</v>
      </c>
      <c r="O157" s="8">
        <f t="shared" si="30"/>
        <v>125421600000</v>
      </c>
      <c r="P157" s="8">
        <f t="shared" si="31"/>
        <v>2586820500</v>
      </c>
      <c r="Q157" s="8">
        <f t="shared" si="32"/>
        <v>2862083143.400291</v>
      </c>
    </row>
    <row r="158" spans="1:17" x14ac:dyDescent="0.25">
      <c r="A158" s="11">
        <v>125</v>
      </c>
      <c r="B158" s="12">
        <f t="shared" si="26"/>
        <v>50000</v>
      </c>
      <c r="C158" s="12">
        <f t="shared" si="27"/>
        <v>1648000</v>
      </c>
      <c r="D158" s="12">
        <f t="shared" si="17"/>
        <v>4000</v>
      </c>
      <c r="E158" s="13">
        <f t="shared" si="18"/>
        <v>0.6</v>
      </c>
      <c r="F158" s="12">
        <f t="shared" si="19"/>
        <v>3955200000</v>
      </c>
      <c r="G158" s="12">
        <f t="shared" si="20"/>
        <v>163152000</v>
      </c>
      <c r="H158" s="12">
        <f t="shared" si="21"/>
        <v>81576000</v>
      </c>
      <c r="I158" s="12">
        <f t="shared" si="22"/>
        <v>81576000</v>
      </c>
      <c r="J158" s="12">
        <f t="shared" si="28"/>
        <v>9540277.1446676366</v>
      </c>
      <c r="K158" s="12">
        <f t="shared" si="23"/>
        <v>500000000</v>
      </c>
      <c r="L158" s="12">
        <f t="shared" si="29"/>
        <v>16480000000</v>
      </c>
      <c r="M158" s="14">
        <f t="shared" si="24"/>
        <v>4.166666666666667</v>
      </c>
      <c r="N158" s="11" t="str">
        <f t="shared" si="25"/>
        <v>CAP-1 — Healthy</v>
      </c>
      <c r="O158" s="12">
        <f t="shared" si="30"/>
        <v>129376800000</v>
      </c>
      <c r="P158" s="12">
        <f t="shared" si="31"/>
        <v>2668396500</v>
      </c>
      <c r="Q158" s="12">
        <f t="shared" si="32"/>
        <v>2953199420.5449586</v>
      </c>
    </row>
    <row r="159" spans="1:17" x14ac:dyDescent="0.25">
      <c r="A159" s="7">
        <v>126</v>
      </c>
      <c r="B159" s="8">
        <f t="shared" si="26"/>
        <v>50000</v>
      </c>
      <c r="C159" s="8">
        <f t="shared" si="27"/>
        <v>1698000</v>
      </c>
      <c r="D159" s="8">
        <f t="shared" si="17"/>
        <v>4000</v>
      </c>
      <c r="E159" s="9">
        <f t="shared" si="18"/>
        <v>0.6</v>
      </c>
      <c r="F159" s="8">
        <f t="shared" si="19"/>
        <v>4075200000</v>
      </c>
      <c r="G159" s="8">
        <f t="shared" si="20"/>
        <v>168102000</v>
      </c>
      <c r="H159" s="8">
        <f t="shared" si="21"/>
        <v>84051000</v>
      </c>
      <c r="I159" s="8">
        <f t="shared" si="22"/>
        <v>84051000</v>
      </c>
      <c r="J159" s="8">
        <f t="shared" si="28"/>
        <v>9843998.0684831962</v>
      </c>
      <c r="K159" s="8">
        <f t="shared" si="23"/>
        <v>500000000</v>
      </c>
      <c r="L159" s="8">
        <f t="shared" si="29"/>
        <v>16980000000</v>
      </c>
      <c r="M159" s="10">
        <f t="shared" si="24"/>
        <v>4.166666666666667</v>
      </c>
      <c r="N159" s="7" t="str">
        <f t="shared" si="25"/>
        <v>CAP-1 — Healthy</v>
      </c>
      <c r="O159" s="8">
        <f t="shared" si="30"/>
        <v>133452000000</v>
      </c>
      <c r="P159" s="8">
        <f t="shared" si="31"/>
        <v>2752447500</v>
      </c>
      <c r="Q159" s="8">
        <f t="shared" si="32"/>
        <v>3047094418.6134419</v>
      </c>
    </row>
    <row r="160" spans="1:17" x14ac:dyDescent="0.25">
      <c r="A160" s="11">
        <v>127</v>
      </c>
      <c r="B160" s="12">
        <f t="shared" si="26"/>
        <v>50000</v>
      </c>
      <c r="C160" s="12">
        <f t="shared" si="27"/>
        <v>1748000</v>
      </c>
      <c r="D160" s="12">
        <f t="shared" si="17"/>
        <v>4000</v>
      </c>
      <c r="E160" s="13">
        <f t="shared" si="18"/>
        <v>0.6</v>
      </c>
      <c r="F160" s="12">
        <f t="shared" si="19"/>
        <v>4195200000</v>
      </c>
      <c r="G160" s="12">
        <f t="shared" si="20"/>
        <v>173052000</v>
      </c>
      <c r="H160" s="12">
        <f t="shared" si="21"/>
        <v>86526000</v>
      </c>
      <c r="I160" s="12">
        <f t="shared" si="22"/>
        <v>86526000</v>
      </c>
      <c r="J160" s="12">
        <f t="shared" si="28"/>
        <v>10156981.395378141</v>
      </c>
      <c r="K160" s="12">
        <f t="shared" si="23"/>
        <v>500000000</v>
      </c>
      <c r="L160" s="12">
        <f t="shared" si="29"/>
        <v>17480000000</v>
      </c>
      <c r="M160" s="14">
        <f t="shared" si="24"/>
        <v>4.166666666666667</v>
      </c>
      <c r="N160" s="11" t="str">
        <f t="shared" si="25"/>
        <v>CAP-1 — Healthy</v>
      </c>
      <c r="O160" s="12">
        <f t="shared" si="30"/>
        <v>137647200000</v>
      </c>
      <c r="P160" s="12">
        <f t="shared" si="31"/>
        <v>2838973500</v>
      </c>
      <c r="Q160" s="12">
        <f t="shared" si="32"/>
        <v>3143777400.0088201</v>
      </c>
    </row>
    <row r="161" spans="1:17" x14ac:dyDescent="0.25">
      <c r="A161" s="7">
        <v>128</v>
      </c>
      <c r="B161" s="8">
        <f t="shared" si="26"/>
        <v>50000</v>
      </c>
      <c r="C161" s="8">
        <f t="shared" si="27"/>
        <v>1798000</v>
      </c>
      <c r="D161" s="8">
        <f t="shared" si="17"/>
        <v>4000</v>
      </c>
      <c r="E161" s="9">
        <f t="shared" si="18"/>
        <v>0.6</v>
      </c>
      <c r="F161" s="8">
        <f t="shared" si="19"/>
        <v>4315200000</v>
      </c>
      <c r="G161" s="8">
        <f t="shared" si="20"/>
        <v>178002000</v>
      </c>
      <c r="H161" s="8">
        <f t="shared" si="21"/>
        <v>89001000</v>
      </c>
      <c r="I161" s="8">
        <f t="shared" si="22"/>
        <v>89001000</v>
      </c>
      <c r="J161" s="8">
        <f t="shared" si="28"/>
        <v>10479258.0000294</v>
      </c>
      <c r="K161" s="8">
        <f t="shared" si="23"/>
        <v>500000000</v>
      </c>
      <c r="L161" s="8">
        <f t="shared" si="29"/>
        <v>17980000000</v>
      </c>
      <c r="M161" s="10">
        <f t="shared" si="24"/>
        <v>4.166666666666667</v>
      </c>
      <c r="N161" s="7" t="str">
        <f t="shared" si="25"/>
        <v>CAP-1 — Healthy</v>
      </c>
      <c r="O161" s="8">
        <f t="shared" si="30"/>
        <v>141962400000</v>
      </c>
      <c r="P161" s="8">
        <f t="shared" si="31"/>
        <v>2927974500</v>
      </c>
      <c r="Q161" s="8">
        <f t="shared" si="32"/>
        <v>3243257658.0088496</v>
      </c>
    </row>
    <row r="162" spans="1:17" x14ac:dyDescent="0.25">
      <c r="A162" s="11">
        <v>129</v>
      </c>
      <c r="B162" s="12">
        <f t="shared" si="26"/>
        <v>50000</v>
      </c>
      <c r="C162" s="12">
        <f t="shared" si="27"/>
        <v>1848000</v>
      </c>
      <c r="D162" s="12">
        <f t="shared" ref="D162:D225" si="33">$D$4</f>
        <v>4000</v>
      </c>
      <c r="E162" s="13">
        <f t="shared" ref="E162:E225" si="34">$D$8</f>
        <v>0.6</v>
      </c>
      <c r="F162" s="12">
        <f t="shared" ref="F162:F225" si="35">C162*D162*E162</f>
        <v>4435200000</v>
      </c>
      <c r="G162" s="12">
        <f t="shared" ref="G162:G225" si="36">C162*$D$5</f>
        <v>182952000</v>
      </c>
      <c r="H162" s="12">
        <f t="shared" ref="H162:H225" si="37">G162*$D$6</f>
        <v>91476000</v>
      </c>
      <c r="I162" s="12">
        <f t="shared" ref="I162:I225" si="38">G162*$D$7</f>
        <v>91476000</v>
      </c>
      <c r="J162" s="12">
        <f t="shared" si="28"/>
        <v>10810858.8600295</v>
      </c>
      <c r="K162" s="12">
        <f t="shared" ref="K162:K225" si="39">INDEX($J$5:$J$29,MIN(INT((A162-1)/12)+1,25))</f>
        <v>500000000</v>
      </c>
      <c r="L162" s="12">
        <f t="shared" si="29"/>
        <v>18480000000</v>
      </c>
      <c r="M162" s="14">
        <f t="shared" ref="M162:M225" si="40">IF(F162=0,0,L162/F162)</f>
        <v>4.166666666666667</v>
      </c>
      <c r="N162" s="11" t="str">
        <f t="shared" ref="N162:N225" si="41">IF(M162&gt;=2,"CAP-1 — Healthy",IF(M162&gt;=1.5,"CAP-2 — Watch",IF(M162&gt;=1.2,"CAP-3 — Caution","CAP-4 — Protect")))</f>
        <v>CAP-1 — Healthy</v>
      </c>
      <c r="O162" s="12">
        <f t="shared" si="30"/>
        <v>146397600000</v>
      </c>
      <c r="P162" s="12">
        <f t="shared" si="31"/>
        <v>3019450500</v>
      </c>
      <c r="Q162" s="12">
        <f t="shared" si="32"/>
        <v>3345544516.8688793</v>
      </c>
    </row>
    <row r="163" spans="1:17" x14ac:dyDescent="0.25">
      <c r="A163" s="7">
        <v>130</v>
      </c>
      <c r="B163" s="8">
        <f t="shared" ref="B163:B226" si="42">MAX(0,MIN(INDEX($G$5:$G$29,MIN(INT((A163-1)/12)+1,25)),MAX(0,INT((L162+INDEX($J$5:$J$29,MIN(INT((A163-1)/12)+1,25)))/(2*$D$4*$D$8))-C162),IF($D$11&gt;C162,INT($D$11-C162),0)))</f>
        <v>50000</v>
      </c>
      <c r="C163" s="8">
        <f t="shared" ref="C163:C226" si="43">MIN(C162+B163,$D$11)</f>
        <v>1898000</v>
      </c>
      <c r="D163" s="8">
        <f t="shared" si="33"/>
        <v>4000</v>
      </c>
      <c r="E163" s="9">
        <f t="shared" si="34"/>
        <v>0.6</v>
      </c>
      <c r="F163" s="8">
        <f t="shared" si="35"/>
        <v>4555200000</v>
      </c>
      <c r="G163" s="8">
        <f t="shared" si="36"/>
        <v>187902000</v>
      </c>
      <c r="H163" s="8">
        <f t="shared" si="37"/>
        <v>93951000</v>
      </c>
      <c r="I163" s="8">
        <f t="shared" si="38"/>
        <v>93951000</v>
      </c>
      <c r="J163" s="8">
        <f t="shared" ref="J163:J226" si="44">Q162*($D$9/12)</f>
        <v>11151815.056229599</v>
      </c>
      <c r="K163" s="8">
        <f t="shared" si="39"/>
        <v>500000000</v>
      </c>
      <c r="L163" s="8">
        <f t="shared" ref="L163:L226" si="45">L162+K163</f>
        <v>18980000000</v>
      </c>
      <c r="M163" s="10">
        <f t="shared" si="40"/>
        <v>4.166666666666667</v>
      </c>
      <c r="N163" s="7" t="str">
        <f t="shared" si="41"/>
        <v>CAP-1 — Healthy</v>
      </c>
      <c r="O163" s="8">
        <f t="shared" ref="O163:O226" si="46">O162+F163</f>
        <v>150952800000</v>
      </c>
      <c r="P163" s="8">
        <f t="shared" ref="P163:P226" si="47">P162+H163</f>
        <v>3113401500</v>
      </c>
      <c r="Q163" s="8">
        <f t="shared" ref="Q163:Q226" si="48">Q162+I163+J163</f>
        <v>3450647331.9251089</v>
      </c>
    </row>
    <row r="164" spans="1:17" x14ac:dyDescent="0.25">
      <c r="A164" s="11">
        <v>131</v>
      </c>
      <c r="B164" s="12">
        <f t="shared" si="42"/>
        <v>50000</v>
      </c>
      <c r="C164" s="12">
        <f t="shared" si="43"/>
        <v>1948000</v>
      </c>
      <c r="D164" s="12">
        <f t="shared" si="33"/>
        <v>4000</v>
      </c>
      <c r="E164" s="13">
        <f t="shared" si="34"/>
        <v>0.6</v>
      </c>
      <c r="F164" s="12">
        <f t="shared" si="35"/>
        <v>4675200000</v>
      </c>
      <c r="G164" s="12">
        <f t="shared" si="36"/>
        <v>192852000</v>
      </c>
      <c r="H164" s="12">
        <f t="shared" si="37"/>
        <v>96426000</v>
      </c>
      <c r="I164" s="12">
        <f t="shared" si="38"/>
        <v>96426000</v>
      </c>
      <c r="J164" s="12">
        <f t="shared" si="44"/>
        <v>11502157.773083698</v>
      </c>
      <c r="K164" s="12">
        <f t="shared" si="39"/>
        <v>500000000</v>
      </c>
      <c r="L164" s="12">
        <f t="shared" si="45"/>
        <v>19480000000</v>
      </c>
      <c r="M164" s="14">
        <f t="shared" si="40"/>
        <v>4.166666666666667</v>
      </c>
      <c r="N164" s="11" t="str">
        <f t="shared" si="41"/>
        <v>CAP-1 — Healthy</v>
      </c>
      <c r="O164" s="12">
        <f t="shared" si="46"/>
        <v>155628000000</v>
      </c>
      <c r="P164" s="12">
        <f t="shared" si="47"/>
        <v>3209827500</v>
      </c>
      <c r="Q164" s="12">
        <f t="shared" si="48"/>
        <v>3558575489.6981926</v>
      </c>
    </row>
    <row r="165" spans="1:17" x14ac:dyDescent="0.25">
      <c r="A165" s="7">
        <v>132</v>
      </c>
      <c r="B165" s="8">
        <f t="shared" si="42"/>
        <v>50000</v>
      </c>
      <c r="C165" s="8">
        <f t="shared" si="43"/>
        <v>1998000</v>
      </c>
      <c r="D165" s="8">
        <f t="shared" si="33"/>
        <v>4000</v>
      </c>
      <c r="E165" s="9">
        <f t="shared" si="34"/>
        <v>0.6</v>
      </c>
      <c r="F165" s="8">
        <f t="shared" si="35"/>
        <v>4795200000</v>
      </c>
      <c r="G165" s="8">
        <f t="shared" si="36"/>
        <v>197802000</v>
      </c>
      <c r="H165" s="8">
        <f t="shared" si="37"/>
        <v>98901000</v>
      </c>
      <c r="I165" s="8">
        <f t="shared" si="38"/>
        <v>98901000</v>
      </c>
      <c r="J165" s="8">
        <f t="shared" si="44"/>
        <v>11861918.298993977</v>
      </c>
      <c r="K165" s="8">
        <f t="shared" si="39"/>
        <v>500000000</v>
      </c>
      <c r="L165" s="8">
        <f t="shared" si="45"/>
        <v>19980000000</v>
      </c>
      <c r="M165" s="10">
        <f t="shared" si="40"/>
        <v>4.166666666666667</v>
      </c>
      <c r="N165" s="7" t="str">
        <f t="shared" si="41"/>
        <v>CAP-1 — Healthy</v>
      </c>
      <c r="O165" s="8">
        <f t="shared" si="46"/>
        <v>160423200000</v>
      </c>
      <c r="P165" s="8">
        <f t="shared" si="47"/>
        <v>3308728500</v>
      </c>
      <c r="Q165" s="8">
        <f t="shared" si="48"/>
        <v>3669338407.9971867</v>
      </c>
    </row>
    <row r="166" spans="1:17" x14ac:dyDescent="0.25">
      <c r="A166" s="11">
        <v>133</v>
      </c>
      <c r="B166" s="12">
        <f t="shared" si="42"/>
        <v>50000</v>
      </c>
      <c r="C166" s="12">
        <f t="shared" si="43"/>
        <v>2048000</v>
      </c>
      <c r="D166" s="12">
        <f t="shared" si="33"/>
        <v>4000</v>
      </c>
      <c r="E166" s="13">
        <f t="shared" si="34"/>
        <v>0.6</v>
      </c>
      <c r="F166" s="12">
        <f t="shared" si="35"/>
        <v>4915200000</v>
      </c>
      <c r="G166" s="12">
        <f t="shared" si="36"/>
        <v>202752000</v>
      </c>
      <c r="H166" s="12">
        <f t="shared" si="37"/>
        <v>101376000</v>
      </c>
      <c r="I166" s="12">
        <f t="shared" si="38"/>
        <v>101376000</v>
      </c>
      <c r="J166" s="12">
        <f t="shared" si="44"/>
        <v>12231128.026657289</v>
      </c>
      <c r="K166" s="12">
        <f t="shared" si="39"/>
        <v>500000000</v>
      </c>
      <c r="L166" s="12">
        <f t="shared" si="45"/>
        <v>20480000000</v>
      </c>
      <c r="M166" s="14">
        <f t="shared" si="40"/>
        <v>4.166666666666667</v>
      </c>
      <c r="N166" s="11" t="str">
        <f t="shared" si="41"/>
        <v>CAP-1 — Healthy</v>
      </c>
      <c r="O166" s="12">
        <f t="shared" si="46"/>
        <v>165338400000</v>
      </c>
      <c r="P166" s="12">
        <f t="shared" si="47"/>
        <v>3410104500</v>
      </c>
      <c r="Q166" s="12">
        <f t="shared" si="48"/>
        <v>3782945536.0238438</v>
      </c>
    </row>
    <row r="167" spans="1:17" x14ac:dyDescent="0.25">
      <c r="A167" s="7">
        <v>134</v>
      </c>
      <c r="B167" s="8">
        <f t="shared" si="42"/>
        <v>50000</v>
      </c>
      <c r="C167" s="8">
        <f t="shared" si="43"/>
        <v>2098000</v>
      </c>
      <c r="D167" s="8">
        <f t="shared" si="33"/>
        <v>4000</v>
      </c>
      <c r="E167" s="9">
        <f t="shared" si="34"/>
        <v>0.6</v>
      </c>
      <c r="F167" s="8">
        <f t="shared" si="35"/>
        <v>5035200000</v>
      </c>
      <c r="G167" s="8">
        <f t="shared" si="36"/>
        <v>207702000</v>
      </c>
      <c r="H167" s="8">
        <f t="shared" si="37"/>
        <v>103851000</v>
      </c>
      <c r="I167" s="8">
        <f t="shared" si="38"/>
        <v>103851000</v>
      </c>
      <c r="J167" s="8">
        <f t="shared" si="44"/>
        <v>12609818.453412814</v>
      </c>
      <c r="K167" s="8">
        <f t="shared" si="39"/>
        <v>500000000</v>
      </c>
      <c r="L167" s="8">
        <f t="shared" si="45"/>
        <v>20980000000</v>
      </c>
      <c r="M167" s="10">
        <f t="shared" si="40"/>
        <v>4.166666666666667</v>
      </c>
      <c r="N167" s="7" t="str">
        <f t="shared" si="41"/>
        <v>CAP-1 — Healthy</v>
      </c>
      <c r="O167" s="8">
        <f t="shared" si="46"/>
        <v>170373600000</v>
      </c>
      <c r="P167" s="8">
        <f t="shared" si="47"/>
        <v>3513955500</v>
      </c>
      <c r="Q167" s="8">
        <f t="shared" si="48"/>
        <v>3899406354.4772568</v>
      </c>
    </row>
    <row r="168" spans="1:17" x14ac:dyDescent="0.25">
      <c r="A168" s="11">
        <v>135</v>
      </c>
      <c r="B168" s="12">
        <f t="shared" si="42"/>
        <v>50000</v>
      </c>
      <c r="C168" s="12">
        <f t="shared" si="43"/>
        <v>2148000</v>
      </c>
      <c r="D168" s="12">
        <f t="shared" si="33"/>
        <v>4000</v>
      </c>
      <c r="E168" s="13">
        <f t="shared" si="34"/>
        <v>0.6</v>
      </c>
      <c r="F168" s="12">
        <f t="shared" si="35"/>
        <v>5155200000</v>
      </c>
      <c r="G168" s="12">
        <f t="shared" si="36"/>
        <v>212652000</v>
      </c>
      <c r="H168" s="12">
        <f t="shared" si="37"/>
        <v>106326000</v>
      </c>
      <c r="I168" s="12">
        <f t="shared" si="38"/>
        <v>106326000</v>
      </c>
      <c r="J168" s="12">
        <f t="shared" si="44"/>
        <v>12998021.181590857</v>
      </c>
      <c r="K168" s="12">
        <f t="shared" si="39"/>
        <v>500000000</v>
      </c>
      <c r="L168" s="12">
        <f t="shared" si="45"/>
        <v>21480000000</v>
      </c>
      <c r="M168" s="14">
        <f t="shared" si="40"/>
        <v>4.166666666666667</v>
      </c>
      <c r="N168" s="11" t="str">
        <f t="shared" si="41"/>
        <v>CAP-1 — Healthy</v>
      </c>
      <c r="O168" s="12">
        <f t="shared" si="46"/>
        <v>175528800000</v>
      </c>
      <c r="P168" s="12">
        <f t="shared" si="47"/>
        <v>3620281500</v>
      </c>
      <c r="Q168" s="12">
        <f t="shared" si="48"/>
        <v>4018730375.6588478</v>
      </c>
    </row>
    <row r="169" spans="1:17" x14ac:dyDescent="0.25">
      <c r="A169" s="7">
        <v>136</v>
      </c>
      <c r="B169" s="8">
        <f t="shared" si="42"/>
        <v>50000</v>
      </c>
      <c r="C169" s="8">
        <f t="shared" si="43"/>
        <v>2198000</v>
      </c>
      <c r="D169" s="8">
        <f t="shared" si="33"/>
        <v>4000</v>
      </c>
      <c r="E169" s="9">
        <f t="shared" si="34"/>
        <v>0.6</v>
      </c>
      <c r="F169" s="8">
        <f t="shared" si="35"/>
        <v>5275200000</v>
      </c>
      <c r="G169" s="8">
        <f t="shared" si="36"/>
        <v>217602000</v>
      </c>
      <c r="H169" s="8">
        <f t="shared" si="37"/>
        <v>108801000</v>
      </c>
      <c r="I169" s="8">
        <f t="shared" si="38"/>
        <v>108801000</v>
      </c>
      <c r="J169" s="8">
        <f t="shared" si="44"/>
        <v>13395767.918862827</v>
      </c>
      <c r="K169" s="8">
        <f t="shared" si="39"/>
        <v>500000000</v>
      </c>
      <c r="L169" s="8">
        <f t="shared" si="45"/>
        <v>21980000000</v>
      </c>
      <c r="M169" s="10">
        <f t="shared" si="40"/>
        <v>4.166666666666667</v>
      </c>
      <c r="N169" s="7" t="str">
        <f t="shared" si="41"/>
        <v>CAP-1 — Healthy</v>
      </c>
      <c r="O169" s="8">
        <f t="shared" si="46"/>
        <v>180804000000</v>
      </c>
      <c r="P169" s="8">
        <f t="shared" si="47"/>
        <v>3729082500</v>
      </c>
      <c r="Q169" s="8">
        <f t="shared" si="48"/>
        <v>4140927143.5777106</v>
      </c>
    </row>
    <row r="170" spans="1:17" x14ac:dyDescent="0.25">
      <c r="A170" s="11">
        <v>137</v>
      </c>
      <c r="B170" s="12">
        <f t="shared" si="42"/>
        <v>50000</v>
      </c>
      <c r="C170" s="12">
        <f t="shared" si="43"/>
        <v>2248000</v>
      </c>
      <c r="D170" s="12">
        <f t="shared" si="33"/>
        <v>4000</v>
      </c>
      <c r="E170" s="13">
        <f t="shared" si="34"/>
        <v>0.6</v>
      </c>
      <c r="F170" s="12">
        <f t="shared" si="35"/>
        <v>5395200000</v>
      </c>
      <c r="G170" s="12">
        <f t="shared" si="36"/>
        <v>222552000</v>
      </c>
      <c r="H170" s="12">
        <f t="shared" si="37"/>
        <v>111276000</v>
      </c>
      <c r="I170" s="12">
        <f t="shared" si="38"/>
        <v>111276000</v>
      </c>
      <c r="J170" s="12">
        <f t="shared" si="44"/>
        <v>13803090.47859237</v>
      </c>
      <c r="K170" s="12">
        <f t="shared" si="39"/>
        <v>500000000</v>
      </c>
      <c r="L170" s="12">
        <f t="shared" si="45"/>
        <v>22480000000</v>
      </c>
      <c r="M170" s="14">
        <f t="shared" si="40"/>
        <v>4.166666666666667</v>
      </c>
      <c r="N170" s="11" t="str">
        <f t="shared" si="41"/>
        <v>CAP-1 — Healthy</v>
      </c>
      <c r="O170" s="12">
        <f t="shared" si="46"/>
        <v>186199200000</v>
      </c>
      <c r="P170" s="12">
        <f t="shared" si="47"/>
        <v>3840358500</v>
      </c>
      <c r="Q170" s="12">
        <f t="shared" si="48"/>
        <v>4266006234.056303</v>
      </c>
    </row>
    <row r="171" spans="1:17" x14ac:dyDescent="0.25">
      <c r="A171" s="7">
        <v>138</v>
      </c>
      <c r="B171" s="8">
        <f t="shared" si="42"/>
        <v>50000</v>
      </c>
      <c r="C171" s="8">
        <f t="shared" si="43"/>
        <v>2298000</v>
      </c>
      <c r="D171" s="8">
        <f t="shared" si="33"/>
        <v>4000</v>
      </c>
      <c r="E171" s="9">
        <f t="shared" si="34"/>
        <v>0.6</v>
      </c>
      <c r="F171" s="8">
        <f t="shared" si="35"/>
        <v>5515200000</v>
      </c>
      <c r="G171" s="8">
        <f t="shared" si="36"/>
        <v>227502000</v>
      </c>
      <c r="H171" s="8">
        <f t="shared" si="37"/>
        <v>113751000</v>
      </c>
      <c r="I171" s="8">
        <f t="shared" si="38"/>
        <v>113751000</v>
      </c>
      <c r="J171" s="8">
        <f t="shared" si="44"/>
        <v>14220020.780187678</v>
      </c>
      <c r="K171" s="8">
        <f t="shared" si="39"/>
        <v>500000000</v>
      </c>
      <c r="L171" s="8">
        <f t="shared" si="45"/>
        <v>22980000000</v>
      </c>
      <c r="M171" s="10">
        <f t="shared" si="40"/>
        <v>4.166666666666667</v>
      </c>
      <c r="N171" s="7" t="str">
        <f t="shared" si="41"/>
        <v>CAP-1 — Healthy</v>
      </c>
      <c r="O171" s="8">
        <f t="shared" si="46"/>
        <v>191714400000</v>
      </c>
      <c r="P171" s="8">
        <f t="shared" si="47"/>
        <v>3954109500</v>
      </c>
      <c r="Q171" s="8">
        <f t="shared" si="48"/>
        <v>4393977254.8364906</v>
      </c>
    </row>
    <row r="172" spans="1:17" x14ac:dyDescent="0.25">
      <c r="A172" s="11">
        <v>139</v>
      </c>
      <c r="B172" s="12">
        <f t="shared" si="42"/>
        <v>50000</v>
      </c>
      <c r="C172" s="12">
        <f t="shared" si="43"/>
        <v>2348000</v>
      </c>
      <c r="D172" s="12">
        <f t="shared" si="33"/>
        <v>4000</v>
      </c>
      <c r="E172" s="13">
        <f t="shared" si="34"/>
        <v>0.6</v>
      </c>
      <c r="F172" s="12">
        <f t="shared" si="35"/>
        <v>5635200000</v>
      </c>
      <c r="G172" s="12">
        <f t="shared" si="36"/>
        <v>232452000</v>
      </c>
      <c r="H172" s="12">
        <f t="shared" si="37"/>
        <v>116226000</v>
      </c>
      <c r="I172" s="12">
        <f t="shared" si="38"/>
        <v>116226000</v>
      </c>
      <c r="J172" s="12">
        <f t="shared" si="44"/>
        <v>14646590.849454969</v>
      </c>
      <c r="K172" s="12">
        <f t="shared" si="39"/>
        <v>500000000</v>
      </c>
      <c r="L172" s="12">
        <f t="shared" si="45"/>
        <v>23480000000</v>
      </c>
      <c r="M172" s="14">
        <f t="shared" si="40"/>
        <v>4.166666666666667</v>
      </c>
      <c r="N172" s="11" t="str">
        <f t="shared" si="41"/>
        <v>CAP-1 — Healthy</v>
      </c>
      <c r="O172" s="12">
        <f t="shared" si="46"/>
        <v>197349600000</v>
      </c>
      <c r="P172" s="12">
        <f t="shared" si="47"/>
        <v>4070335500</v>
      </c>
      <c r="Q172" s="12">
        <f t="shared" si="48"/>
        <v>4524849845.6859455</v>
      </c>
    </row>
    <row r="173" spans="1:17" x14ac:dyDescent="0.25">
      <c r="A173" s="7">
        <v>140</v>
      </c>
      <c r="B173" s="8">
        <f t="shared" si="42"/>
        <v>50000</v>
      </c>
      <c r="C173" s="8">
        <f t="shared" si="43"/>
        <v>2398000</v>
      </c>
      <c r="D173" s="8">
        <f t="shared" si="33"/>
        <v>4000</v>
      </c>
      <c r="E173" s="9">
        <f t="shared" si="34"/>
        <v>0.6</v>
      </c>
      <c r="F173" s="8">
        <f t="shared" si="35"/>
        <v>5755200000</v>
      </c>
      <c r="G173" s="8">
        <f t="shared" si="36"/>
        <v>237402000</v>
      </c>
      <c r="H173" s="8">
        <f t="shared" si="37"/>
        <v>118701000</v>
      </c>
      <c r="I173" s="8">
        <f t="shared" si="38"/>
        <v>118701000</v>
      </c>
      <c r="J173" s="8">
        <f t="shared" si="44"/>
        <v>15082832.818953153</v>
      </c>
      <c r="K173" s="8">
        <f t="shared" si="39"/>
        <v>500000000</v>
      </c>
      <c r="L173" s="8">
        <f t="shared" si="45"/>
        <v>23980000000</v>
      </c>
      <c r="M173" s="10">
        <f t="shared" si="40"/>
        <v>4.166666666666667</v>
      </c>
      <c r="N173" s="7" t="str">
        <f t="shared" si="41"/>
        <v>CAP-1 — Healthy</v>
      </c>
      <c r="O173" s="8">
        <f t="shared" si="46"/>
        <v>203104800000</v>
      </c>
      <c r="P173" s="8">
        <f t="shared" si="47"/>
        <v>4189036500</v>
      </c>
      <c r="Q173" s="8">
        <f t="shared" si="48"/>
        <v>4658633678.504899</v>
      </c>
    </row>
    <row r="174" spans="1:17" x14ac:dyDescent="0.25">
      <c r="A174" s="11">
        <v>141</v>
      </c>
      <c r="B174" s="12">
        <f t="shared" si="42"/>
        <v>50000</v>
      </c>
      <c r="C174" s="12">
        <f t="shared" si="43"/>
        <v>2448000</v>
      </c>
      <c r="D174" s="12">
        <f t="shared" si="33"/>
        <v>4000</v>
      </c>
      <c r="E174" s="13">
        <f t="shared" si="34"/>
        <v>0.6</v>
      </c>
      <c r="F174" s="12">
        <f t="shared" si="35"/>
        <v>5875200000</v>
      </c>
      <c r="G174" s="12">
        <f t="shared" si="36"/>
        <v>242352000</v>
      </c>
      <c r="H174" s="12">
        <f t="shared" si="37"/>
        <v>121176000</v>
      </c>
      <c r="I174" s="12">
        <f t="shared" si="38"/>
        <v>121176000</v>
      </c>
      <c r="J174" s="12">
        <f t="shared" si="44"/>
        <v>15528778.928349664</v>
      </c>
      <c r="K174" s="12">
        <f t="shared" si="39"/>
        <v>500000000</v>
      </c>
      <c r="L174" s="12">
        <f t="shared" si="45"/>
        <v>24480000000</v>
      </c>
      <c r="M174" s="14">
        <f t="shared" si="40"/>
        <v>4.166666666666667</v>
      </c>
      <c r="N174" s="11" t="str">
        <f t="shared" si="41"/>
        <v>CAP-1 — Healthy</v>
      </c>
      <c r="O174" s="12">
        <f t="shared" si="46"/>
        <v>208980000000</v>
      </c>
      <c r="P174" s="12">
        <f t="shared" si="47"/>
        <v>4310212500</v>
      </c>
      <c r="Q174" s="12">
        <f t="shared" si="48"/>
        <v>4795338457.4332485</v>
      </c>
    </row>
    <row r="175" spans="1:17" x14ac:dyDescent="0.25">
      <c r="A175" s="7">
        <v>142</v>
      </c>
      <c r="B175" s="8">
        <f t="shared" si="42"/>
        <v>50000</v>
      </c>
      <c r="C175" s="8">
        <f t="shared" si="43"/>
        <v>2498000</v>
      </c>
      <c r="D175" s="8">
        <f t="shared" si="33"/>
        <v>4000</v>
      </c>
      <c r="E175" s="9">
        <f t="shared" si="34"/>
        <v>0.6</v>
      </c>
      <c r="F175" s="8">
        <f t="shared" si="35"/>
        <v>5995200000</v>
      </c>
      <c r="G175" s="8">
        <f t="shared" si="36"/>
        <v>247302000</v>
      </c>
      <c r="H175" s="8">
        <f t="shared" si="37"/>
        <v>123651000</v>
      </c>
      <c r="I175" s="8">
        <f t="shared" si="38"/>
        <v>123651000</v>
      </c>
      <c r="J175" s="8">
        <f t="shared" si="44"/>
        <v>15984461.524777496</v>
      </c>
      <c r="K175" s="8">
        <f t="shared" si="39"/>
        <v>500000000</v>
      </c>
      <c r="L175" s="8">
        <f t="shared" si="45"/>
        <v>24980000000</v>
      </c>
      <c r="M175" s="10">
        <f t="shared" si="40"/>
        <v>4.166666666666667</v>
      </c>
      <c r="N175" s="7" t="str">
        <f t="shared" si="41"/>
        <v>CAP-1 — Healthy</v>
      </c>
      <c r="O175" s="8">
        <f t="shared" si="46"/>
        <v>214975200000</v>
      </c>
      <c r="P175" s="8">
        <f t="shared" si="47"/>
        <v>4433863500</v>
      </c>
      <c r="Q175" s="8">
        <f t="shared" si="48"/>
        <v>4934973918.9580259</v>
      </c>
    </row>
    <row r="176" spans="1:17" x14ac:dyDescent="0.25">
      <c r="A176" s="11">
        <v>143</v>
      </c>
      <c r="B176" s="12">
        <f t="shared" si="42"/>
        <v>50000</v>
      </c>
      <c r="C176" s="12">
        <f t="shared" si="43"/>
        <v>2548000</v>
      </c>
      <c r="D176" s="12">
        <f t="shared" si="33"/>
        <v>4000</v>
      </c>
      <c r="E176" s="13">
        <f t="shared" si="34"/>
        <v>0.6</v>
      </c>
      <c r="F176" s="12">
        <f t="shared" si="35"/>
        <v>6115200000</v>
      </c>
      <c r="G176" s="12">
        <f t="shared" si="36"/>
        <v>252252000</v>
      </c>
      <c r="H176" s="12">
        <f t="shared" si="37"/>
        <v>126126000</v>
      </c>
      <c r="I176" s="12">
        <f t="shared" si="38"/>
        <v>126126000</v>
      </c>
      <c r="J176" s="12">
        <f t="shared" si="44"/>
        <v>16449913.06319342</v>
      </c>
      <c r="K176" s="12">
        <f t="shared" si="39"/>
        <v>500000000</v>
      </c>
      <c r="L176" s="12">
        <f t="shared" si="45"/>
        <v>25480000000</v>
      </c>
      <c r="M176" s="14">
        <f t="shared" si="40"/>
        <v>4.166666666666667</v>
      </c>
      <c r="N176" s="11" t="str">
        <f t="shared" si="41"/>
        <v>CAP-1 — Healthy</v>
      </c>
      <c r="O176" s="12">
        <f t="shared" si="46"/>
        <v>221090400000</v>
      </c>
      <c r="P176" s="12">
        <f t="shared" si="47"/>
        <v>4559989500</v>
      </c>
      <c r="Q176" s="12">
        <f t="shared" si="48"/>
        <v>5077549832.0212193</v>
      </c>
    </row>
    <row r="177" spans="1:17" x14ac:dyDescent="0.25">
      <c r="A177" s="7">
        <v>144</v>
      </c>
      <c r="B177" s="8">
        <f t="shared" si="42"/>
        <v>50000</v>
      </c>
      <c r="C177" s="8">
        <f t="shared" si="43"/>
        <v>2598000</v>
      </c>
      <c r="D177" s="8">
        <f t="shared" si="33"/>
        <v>4000</v>
      </c>
      <c r="E177" s="9">
        <f t="shared" si="34"/>
        <v>0.6</v>
      </c>
      <c r="F177" s="8">
        <f t="shared" si="35"/>
        <v>6235200000</v>
      </c>
      <c r="G177" s="8">
        <f t="shared" si="36"/>
        <v>257202000</v>
      </c>
      <c r="H177" s="8">
        <f t="shared" si="37"/>
        <v>128601000</v>
      </c>
      <c r="I177" s="8">
        <f t="shared" si="38"/>
        <v>128601000</v>
      </c>
      <c r="J177" s="8">
        <f t="shared" si="44"/>
        <v>16925166.106737398</v>
      </c>
      <c r="K177" s="8">
        <f t="shared" si="39"/>
        <v>500000000</v>
      </c>
      <c r="L177" s="8">
        <f t="shared" si="45"/>
        <v>25980000000</v>
      </c>
      <c r="M177" s="10">
        <f t="shared" si="40"/>
        <v>4.166666666666667</v>
      </c>
      <c r="N177" s="7" t="str">
        <f t="shared" si="41"/>
        <v>CAP-1 — Healthy</v>
      </c>
      <c r="O177" s="8">
        <f t="shared" si="46"/>
        <v>227325600000</v>
      </c>
      <c r="P177" s="8">
        <f t="shared" si="47"/>
        <v>4688590500</v>
      </c>
      <c r="Q177" s="8">
        <f t="shared" si="48"/>
        <v>5223075998.1279564</v>
      </c>
    </row>
    <row r="178" spans="1:17" x14ac:dyDescent="0.25">
      <c r="A178" s="11">
        <v>145</v>
      </c>
      <c r="B178" s="12">
        <f t="shared" si="42"/>
        <v>50000</v>
      </c>
      <c r="C178" s="12">
        <f t="shared" si="43"/>
        <v>2648000</v>
      </c>
      <c r="D178" s="12">
        <f t="shared" si="33"/>
        <v>4000</v>
      </c>
      <c r="E178" s="13">
        <f t="shared" si="34"/>
        <v>0.6</v>
      </c>
      <c r="F178" s="12">
        <f t="shared" si="35"/>
        <v>6355200000</v>
      </c>
      <c r="G178" s="12">
        <f t="shared" si="36"/>
        <v>262152000</v>
      </c>
      <c r="H178" s="12">
        <f t="shared" si="37"/>
        <v>131076000</v>
      </c>
      <c r="I178" s="12">
        <f t="shared" si="38"/>
        <v>131076000</v>
      </c>
      <c r="J178" s="12">
        <f t="shared" si="44"/>
        <v>17410253.327093188</v>
      </c>
      <c r="K178" s="12">
        <f t="shared" si="39"/>
        <v>500000000</v>
      </c>
      <c r="L178" s="12">
        <f t="shared" si="45"/>
        <v>26480000000</v>
      </c>
      <c r="M178" s="14">
        <f t="shared" si="40"/>
        <v>4.166666666666667</v>
      </c>
      <c r="N178" s="11" t="str">
        <f t="shared" si="41"/>
        <v>CAP-1 — Healthy</v>
      </c>
      <c r="O178" s="12">
        <f t="shared" si="46"/>
        <v>233680800000</v>
      </c>
      <c r="P178" s="12">
        <f t="shared" si="47"/>
        <v>4819666500</v>
      </c>
      <c r="Q178" s="12">
        <f t="shared" si="48"/>
        <v>5371562251.4550495</v>
      </c>
    </row>
    <row r="179" spans="1:17" x14ac:dyDescent="0.25">
      <c r="A179" s="7">
        <v>146</v>
      </c>
      <c r="B179" s="8">
        <f t="shared" si="42"/>
        <v>50000</v>
      </c>
      <c r="C179" s="8">
        <f t="shared" si="43"/>
        <v>2698000</v>
      </c>
      <c r="D179" s="8">
        <f t="shared" si="33"/>
        <v>4000</v>
      </c>
      <c r="E179" s="9">
        <f t="shared" si="34"/>
        <v>0.6</v>
      </c>
      <c r="F179" s="8">
        <f t="shared" si="35"/>
        <v>6475200000</v>
      </c>
      <c r="G179" s="8">
        <f t="shared" si="36"/>
        <v>267102000</v>
      </c>
      <c r="H179" s="8">
        <f t="shared" si="37"/>
        <v>133551000</v>
      </c>
      <c r="I179" s="8">
        <f t="shared" si="38"/>
        <v>133551000</v>
      </c>
      <c r="J179" s="8">
        <f t="shared" si="44"/>
        <v>17905207.504850168</v>
      </c>
      <c r="K179" s="8">
        <f t="shared" si="39"/>
        <v>500000000</v>
      </c>
      <c r="L179" s="8">
        <f t="shared" si="45"/>
        <v>26980000000</v>
      </c>
      <c r="M179" s="10">
        <f t="shared" si="40"/>
        <v>4.166666666666667</v>
      </c>
      <c r="N179" s="7" t="str">
        <f t="shared" si="41"/>
        <v>CAP-1 — Healthy</v>
      </c>
      <c r="O179" s="8">
        <f t="shared" si="46"/>
        <v>240156000000</v>
      </c>
      <c r="P179" s="8">
        <f t="shared" si="47"/>
        <v>4953217500</v>
      </c>
      <c r="Q179" s="8">
        <f t="shared" si="48"/>
        <v>5523018458.9598999</v>
      </c>
    </row>
    <row r="180" spans="1:17" x14ac:dyDescent="0.25">
      <c r="A180" s="11">
        <v>147</v>
      </c>
      <c r="B180" s="12">
        <f t="shared" si="42"/>
        <v>50000</v>
      </c>
      <c r="C180" s="12">
        <f t="shared" si="43"/>
        <v>2748000</v>
      </c>
      <c r="D180" s="12">
        <f t="shared" si="33"/>
        <v>4000</v>
      </c>
      <c r="E180" s="13">
        <f t="shared" si="34"/>
        <v>0.6</v>
      </c>
      <c r="F180" s="12">
        <f t="shared" si="35"/>
        <v>6595200000</v>
      </c>
      <c r="G180" s="12">
        <f t="shared" si="36"/>
        <v>272052000</v>
      </c>
      <c r="H180" s="12">
        <f t="shared" si="37"/>
        <v>136026000</v>
      </c>
      <c r="I180" s="12">
        <f t="shared" si="38"/>
        <v>136026000</v>
      </c>
      <c r="J180" s="12">
        <f t="shared" si="44"/>
        <v>18410061.529866334</v>
      </c>
      <c r="K180" s="12">
        <f t="shared" si="39"/>
        <v>500000000</v>
      </c>
      <c r="L180" s="12">
        <f t="shared" si="45"/>
        <v>27480000000</v>
      </c>
      <c r="M180" s="14">
        <f t="shared" si="40"/>
        <v>4.166666666666667</v>
      </c>
      <c r="N180" s="11" t="str">
        <f t="shared" si="41"/>
        <v>CAP-1 — Healthy</v>
      </c>
      <c r="O180" s="12">
        <f t="shared" si="46"/>
        <v>246751200000</v>
      </c>
      <c r="P180" s="12">
        <f t="shared" si="47"/>
        <v>5089243500</v>
      </c>
      <c r="Q180" s="12">
        <f t="shared" si="48"/>
        <v>5677454520.4897661</v>
      </c>
    </row>
    <row r="181" spans="1:17" x14ac:dyDescent="0.25">
      <c r="A181" s="7">
        <v>148</v>
      </c>
      <c r="B181" s="8">
        <f t="shared" si="42"/>
        <v>50000</v>
      </c>
      <c r="C181" s="8">
        <f t="shared" si="43"/>
        <v>2798000</v>
      </c>
      <c r="D181" s="8">
        <f t="shared" si="33"/>
        <v>4000</v>
      </c>
      <c r="E181" s="9">
        <f t="shared" si="34"/>
        <v>0.6</v>
      </c>
      <c r="F181" s="8">
        <f t="shared" si="35"/>
        <v>6715200000</v>
      </c>
      <c r="G181" s="8">
        <f t="shared" si="36"/>
        <v>277002000</v>
      </c>
      <c r="H181" s="8">
        <f t="shared" si="37"/>
        <v>138501000</v>
      </c>
      <c r="I181" s="8">
        <f t="shared" si="38"/>
        <v>138501000</v>
      </c>
      <c r="J181" s="8">
        <f t="shared" si="44"/>
        <v>18924848.401632555</v>
      </c>
      <c r="K181" s="8">
        <f t="shared" si="39"/>
        <v>500000000</v>
      </c>
      <c r="L181" s="8">
        <f t="shared" si="45"/>
        <v>27980000000</v>
      </c>
      <c r="M181" s="10">
        <f t="shared" si="40"/>
        <v>4.166666666666667</v>
      </c>
      <c r="N181" s="7" t="str">
        <f t="shared" si="41"/>
        <v>CAP-1 — Healthy</v>
      </c>
      <c r="O181" s="8">
        <f t="shared" si="46"/>
        <v>253466400000</v>
      </c>
      <c r="P181" s="8">
        <f t="shared" si="47"/>
        <v>5227744500</v>
      </c>
      <c r="Q181" s="8">
        <f t="shared" si="48"/>
        <v>5834880368.8913984</v>
      </c>
    </row>
    <row r="182" spans="1:17" x14ac:dyDescent="0.25">
      <c r="A182" s="11">
        <v>149</v>
      </c>
      <c r="B182" s="12">
        <f t="shared" si="42"/>
        <v>50000</v>
      </c>
      <c r="C182" s="12">
        <f t="shared" si="43"/>
        <v>2848000</v>
      </c>
      <c r="D182" s="12">
        <f t="shared" si="33"/>
        <v>4000</v>
      </c>
      <c r="E182" s="13">
        <f t="shared" si="34"/>
        <v>0.6</v>
      </c>
      <c r="F182" s="12">
        <f t="shared" si="35"/>
        <v>6835200000</v>
      </c>
      <c r="G182" s="12">
        <f t="shared" si="36"/>
        <v>281952000</v>
      </c>
      <c r="H182" s="12">
        <f t="shared" si="37"/>
        <v>140976000</v>
      </c>
      <c r="I182" s="12">
        <f t="shared" si="38"/>
        <v>140976000</v>
      </c>
      <c r="J182" s="12">
        <f t="shared" si="44"/>
        <v>19449601.229637995</v>
      </c>
      <c r="K182" s="12">
        <f t="shared" si="39"/>
        <v>500000000</v>
      </c>
      <c r="L182" s="12">
        <f t="shared" si="45"/>
        <v>28480000000</v>
      </c>
      <c r="M182" s="14">
        <f t="shared" si="40"/>
        <v>4.166666666666667</v>
      </c>
      <c r="N182" s="11" t="str">
        <f t="shared" si="41"/>
        <v>CAP-1 — Healthy</v>
      </c>
      <c r="O182" s="12">
        <f t="shared" si="46"/>
        <v>260301600000</v>
      </c>
      <c r="P182" s="12">
        <f t="shared" si="47"/>
        <v>5368720500</v>
      </c>
      <c r="Q182" s="12">
        <f t="shared" si="48"/>
        <v>5995305970.1210365</v>
      </c>
    </row>
    <row r="183" spans="1:17" x14ac:dyDescent="0.25">
      <c r="A183" s="7">
        <v>150</v>
      </c>
      <c r="B183" s="8">
        <f t="shared" si="42"/>
        <v>50000</v>
      </c>
      <c r="C183" s="8">
        <f t="shared" si="43"/>
        <v>2898000</v>
      </c>
      <c r="D183" s="8">
        <f t="shared" si="33"/>
        <v>4000</v>
      </c>
      <c r="E183" s="9">
        <f t="shared" si="34"/>
        <v>0.6</v>
      </c>
      <c r="F183" s="8">
        <f t="shared" si="35"/>
        <v>6955200000</v>
      </c>
      <c r="G183" s="8">
        <f t="shared" si="36"/>
        <v>286902000</v>
      </c>
      <c r="H183" s="8">
        <f t="shared" si="37"/>
        <v>143451000</v>
      </c>
      <c r="I183" s="8">
        <f t="shared" si="38"/>
        <v>143451000</v>
      </c>
      <c r="J183" s="8">
        <f t="shared" si="44"/>
        <v>19984353.233736791</v>
      </c>
      <c r="K183" s="8">
        <f t="shared" si="39"/>
        <v>500000000</v>
      </c>
      <c r="L183" s="8">
        <f t="shared" si="45"/>
        <v>28980000000</v>
      </c>
      <c r="M183" s="10">
        <f t="shared" si="40"/>
        <v>4.166666666666667</v>
      </c>
      <c r="N183" s="7" t="str">
        <f t="shared" si="41"/>
        <v>CAP-1 — Healthy</v>
      </c>
      <c r="O183" s="8">
        <f t="shared" si="46"/>
        <v>267256800000</v>
      </c>
      <c r="P183" s="8">
        <f t="shared" si="47"/>
        <v>5512171500</v>
      </c>
      <c r="Q183" s="8">
        <f t="shared" si="48"/>
        <v>6158741323.3547735</v>
      </c>
    </row>
    <row r="184" spans="1:17" x14ac:dyDescent="0.25">
      <c r="A184" s="11">
        <v>151</v>
      </c>
      <c r="B184" s="12">
        <f t="shared" si="42"/>
        <v>50000</v>
      </c>
      <c r="C184" s="12">
        <f t="shared" si="43"/>
        <v>2948000</v>
      </c>
      <c r="D184" s="12">
        <f t="shared" si="33"/>
        <v>4000</v>
      </c>
      <c r="E184" s="13">
        <f t="shared" si="34"/>
        <v>0.6</v>
      </c>
      <c r="F184" s="12">
        <f t="shared" si="35"/>
        <v>7075200000</v>
      </c>
      <c r="G184" s="12">
        <f t="shared" si="36"/>
        <v>291852000</v>
      </c>
      <c r="H184" s="12">
        <f t="shared" si="37"/>
        <v>145926000</v>
      </c>
      <c r="I184" s="12">
        <f t="shared" si="38"/>
        <v>145926000</v>
      </c>
      <c r="J184" s="12">
        <f t="shared" si="44"/>
        <v>20529137.744515914</v>
      </c>
      <c r="K184" s="12">
        <f t="shared" si="39"/>
        <v>500000000</v>
      </c>
      <c r="L184" s="12">
        <f t="shared" si="45"/>
        <v>29480000000</v>
      </c>
      <c r="M184" s="14">
        <f t="shared" si="40"/>
        <v>4.166666666666667</v>
      </c>
      <c r="N184" s="11" t="str">
        <f t="shared" si="41"/>
        <v>CAP-1 — Healthy</v>
      </c>
      <c r="O184" s="12">
        <f t="shared" si="46"/>
        <v>274332000000</v>
      </c>
      <c r="P184" s="12">
        <f t="shared" si="47"/>
        <v>5658097500</v>
      </c>
      <c r="Q184" s="12">
        <f t="shared" si="48"/>
        <v>6325196461.0992899</v>
      </c>
    </row>
    <row r="185" spans="1:17" x14ac:dyDescent="0.25">
      <c r="A185" s="7">
        <v>152</v>
      </c>
      <c r="B185" s="8">
        <f t="shared" si="42"/>
        <v>50000</v>
      </c>
      <c r="C185" s="8">
        <f t="shared" si="43"/>
        <v>2998000</v>
      </c>
      <c r="D185" s="8">
        <f t="shared" si="33"/>
        <v>4000</v>
      </c>
      <c r="E185" s="9">
        <f t="shared" si="34"/>
        <v>0.6</v>
      </c>
      <c r="F185" s="8">
        <f t="shared" si="35"/>
        <v>7195200000</v>
      </c>
      <c r="G185" s="8">
        <f t="shared" si="36"/>
        <v>296802000</v>
      </c>
      <c r="H185" s="8">
        <f t="shared" si="37"/>
        <v>148401000</v>
      </c>
      <c r="I185" s="8">
        <f t="shared" si="38"/>
        <v>148401000</v>
      </c>
      <c r="J185" s="8">
        <f t="shared" si="44"/>
        <v>21083988.203664303</v>
      </c>
      <c r="K185" s="8">
        <f t="shared" si="39"/>
        <v>500000000</v>
      </c>
      <c r="L185" s="8">
        <f t="shared" si="45"/>
        <v>29980000000</v>
      </c>
      <c r="M185" s="10">
        <f t="shared" si="40"/>
        <v>4.166666666666667</v>
      </c>
      <c r="N185" s="7" t="str">
        <f t="shared" si="41"/>
        <v>CAP-1 — Healthy</v>
      </c>
      <c r="O185" s="8">
        <f t="shared" si="46"/>
        <v>281527200000</v>
      </c>
      <c r="P185" s="8">
        <f t="shared" si="47"/>
        <v>5806498500</v>
      </c>
      <c r="Q185" s="8">
        <f t="shared" si="48"/>
        <v>6494681449.3029537</v>
      </c>
    </row>
    <row r="186" spans="1:17" x14ac:dyDescent="0.25">
      <c r="A186" s="11">
        <v>153</v>
      </c>
      <c r="B186" s="12">
        <f t="shared" si="42"/>
        <v>50000</v>
      </c>
      <c r="C186" s="12">
        <f t="shared" si="43"/>
        <v>3048000</v>
      </c>
      <c r="D186" s="12">
        <f t="shared" si="33"/>
        <v>4000</v>
      </c>
      <c r="E186" s="13">
        <f t="shared" si="34"/>
        <v>0.6</v>
      </c>
      <c r="F186" s="12">
        <f t="shared" si="35"/>
        <v>7315200000</v>
      </c>
      <c r="G186" s="12">
        <f t="shared" si="36"/>
        <v>301752000</v>
      </c>
      <c r="H186" s="12">
        <f t="shared" si="37"/>
        <v>150876000</v>
      </c>
      <c r="I186" s="12">
        <f t="shared" si="38"/>
        <v>150876000</v>
      </c>
      <c r="J186" s="12">
        <f t="shared" si="44"/>
        <v>21648938.164343182</v>
      </c>
      <c r="K186" s="12">
        <f t="shared" si="39"/>
        <v>500000000</v>
      </c>
      <c r="L186" s="12">
        <f t="shared" si="45"/>
        <v>30480000000</v>
      </c>
      <c r="M186" s="14">
        <f t="shared" si="40"/>
        <v>4.166666666666667</v>
      </c>
      <c r="N186" s="11" t="str">
        <f t="shared" si="41"/>
        <v>CAP-1 — Healthy</v>
      </c>
      <c r="O186" s="12">
        <f t="shared" si="46"/>
        <v>288842400000</v>
      </c>
      <c r="P186" s="12">
        <f t="shared" si="47"/>
        <v>5957374500</v>
      </c>
      <c r="Q186" s="12">
        <f t="shared" si="48"/>
        <v>6667206387.4672966</v>
      </c>
    </row>
    <row r="187" spans="1:17" x14ac:dyDescent="0.25">
      <c r="A187" s="7">
        <v>154</v>
      </c>
      <c r="B187" s="8">
        <f t="shared" si="42"/>
        <v>50000</v>
      </c>
      <c r="C187" s="8">
        <f t="shared" si="43"/>
        <v>3098000</v>
      </c>
      <c r="D187" s="8">
        <f t="shared" si="33"/>
        <v>4000</v>
      </c>
      <c r="E187" s="9">
        <f t="shared" si="34"/>
        <v>0.6</v>
      </c>
      <c r="F187" s="8">
        <f t="shared" si="35"/>
        <v>7435200000</v>
      </c>
      <c r="G187" s="8">
        <f t="shared" si="36"/>
        <v>306702000</v>
      </c>
      <c r="H187" s="8">
        <f t="shared" si="37"/>
        <v>153351000</v>
      </c>
      <c r="I187" s="8">
        <f t="shared" si="38"/>
        <v>153351000</v>
      </c>
      <c r="J187" s="8">
        <f t="shared" si="44"/>
        <v>22224021.291557658</v>
      </c>
      <c r="K187" s="8">
        <f t="shared" si="39"/>
        <v>500000000</v>
      </c>
      <c r="L187" s="8">
        <f t="shared" si="45"/>
        <v>30980000000</v>
      </c>
      <c r="M187" s="10">
        <f t="shared" si="40"/>
        <v>4.166666666666667</v>
      </c>
      <c r="N187" s="7" t="str">
        <f t="shared" si="41"/>
        <v>CAP-1 — Healthy</v>
      </c>
      <c r="O187" s="8">
        <f t="shared" si="46"/>
        <v>296277600000</v>
      </c>
      <c r="P187" s="8">
        <f t="shared" si="47"/>
        <v>6110725500</v>
      </c>
      <c r="Q187" s="8">
        <f t="shared" si="48"/>
        <v>6842781408.7588539</v>
      </c>
    </row>
    <row r="188" spans="1:17" x14ac:dyDescent="0.25">
      <c r="A188" s="11">
        <v>155</v>
      </c>
      <c r="B188" s="12">
        <f t="shared" si="42"/>
        <v>50000</v>
      </c>
      <c r="C188" s="12">
        <f t="shared" si="43"/>
        <v>3148000</v>
      </c>
      <c r="D188" s="12">
        <f t="shared" si="33"/>
        <v>4000</v>
      </c>
      <c r="E188" s="13">
        <f t="shared" si="34"/>
        <v>0.6</v>
      </c>
      <c r="F188" s="12">
        <f t="shared" si="35"/>
        <v>7555200000</v>
      </c>
      <c r="G188" s="12">
        <f t="shared" si="36"/>
        <v>311652000</v>
      </c>
      <c r="H188" s="12">
        <f t="shared" si="37"/>
        <v>155826000</v>
      </c>
      <c r="I188" s="12">
        <f t="shared" si="38"/>
        <v>155826000</v>
      </c>
      <c r="J188" s="12">
        <f t="shared" si="44"/>
        <v>22809271.362529516</v>
      </c>
      <c r="K188" s="12">
        <f t="shared" si="39"/>
        <v>500000000</v>
      </c>
      <c r="L188" s="12">
        <f t="shared" si="45"/>
        <v>31480000000</v>
      </c>
      <c r="M188" s="14">
        <f t="shared" si="40"/>
        <v>4.166666666666667</v>
      </c>
      <c r="N188" s="11" t="str">
        <f t="shared" si="41"/>
        <v>CAP-1 — Healthy</v>
      </c>
      <c r="O188" s="12">
        <f t="shared" si="46"/>
        <v>303832800000</v>
      </c>
      <c r="P188" s="12">
        <f t="shared" si="47"/>
        <v>6266551500</v>
      </c>
      <c r="Q188" s="12">
        <f t="shared" si="48"/>
        <v>7021416680.1213837</v>
      </c>
    </row>
    <row r="189" spans="1:17" x14ac:dyDescent="0.25">
      <c r="A189" s="7">
        <v>156</v>
      </c>
      <c r="B189" s="8">
        <f t="shared" si="42"/>
        <v>50000</v>
      </c>
      <c r="C189" s="8">
        <f t="shared" si="43"/>
        <v>3198000</v>
      </c>
      <c r="D189" s="8">
        <f t="shared" si="33"/>
        <v>4000</v>
      </c>
      <c r="E189" s="9">
        <f t="shared" si="34"/>
        <v>0.6</v>
      </c>
      <c r="F189" s="8">
        <f t="shared" si="35"/>
        <v>7675200000</v>
      </c>
      <c r="G189" s="8">
        <f t="shared" si="36"/>
        <v>316602000</v>
      </c>
      <c r="H189" s="8">
        <f t="shared" si="37"/>
        <v>158301000</v>
      </c>
      <c r="I189" s="8">
        <f t="shared" si="38"/>
        <v>158301000</v>
      </c>
      <c r="J189" s="8">
        <f t="shared" si="44"/>
        <v>23404722.267071281</v>
      </c>
      <c r="K189" s="8">
        <f t="shared" si="39"/>
        <v>500000000</v>
      </c>
      <c r="L189" s="8">
        <f t="shared" si="45"/>
        <v>31980000000</v>
      </c>
      <c r="M189" s="10">
        <f t="shared" si="40"/>
        <v>4.166666666666667</v>
      </c>
      <c r="N189" s="7" t="str">
        <f t="shared" si="41"/>
        <v>CAP-1 — Healthy</v>
      </c>
      <c r="O189" s="8">
        <f t="shared" si="46"/>
        <v>311508000000</v>
      </c>
      <c r="P189" s="8">
        <f t="shared" si="47"/>
        <v>6424852500</v>
      </c>
      <c r="Q189" s="8">
        <f t="shared" si="48"/>
        <v>7203122402.3884554</v>
      </c>
    </row>
    <row r="190" spans="1:17" x14ac:dyDescent="0.25">
      <c r="A190" s="11">
        <v>157</v>
      </c>
      <c r="B190" s="12">
        <f t="shared" si="42"/>
        <v>50000</v>
      </c>
      <c r="C190" s="12">
        <f t="shared" si="43"/>
        <v>3248000</v>
      </c>
      <c r="D190" s="12">
        <f t="shared" si="33"/>
        <v>4000</v>
      </c>
      <c r="E190" s="13">
        <f t="shared" si="34"/>
        <v>0.6</v>
      </c>
      <c r="F190" s="12">
        <f t="shared" si="35"/>
        <v>7795200000</v>
      </c>
      <c r="G190" s="12">
        <f t="shared" si="36"/>
        <v>321552000</v>
      </c>
      <c r="H190" s="12">
        <f t="shared" si="37"/>
        <v>160776000</v>
      </c>
      <c r="I190" s="12">
        <f t="shared" si="38"/>
        <v>160776000</v>
      </c>
      <c r="J190" s="12">
        <f t="shared" si="44"/>
        <v>24010408.007961519</v>
      </c>
      <c r="K190" s="12">
        <f t="shared" si="39"/>
        <v>500000000</v>
      </c>
      <c r="L190" s="12">
        <f t="shared" si="45"/>
        <v>32480000000</v>
      </c>
      <c r="M190" s="14">
        <f t="shared" si="40"/>
        <v>4.166666666666667</v>
      </c>
      <c r="N190" s="11" t="str">
        <f t="shared" si="41"/>
        <v>CAP-1 — Healthy</v>
      </c>
      <c r="O190" s="12">
        <f t="shared" si="46"/>
        <v>319303200000</v>
      </c>
      <c r="P190" s="12">
        <f t="shared" si="47"/>
        <v>6585628500</v>
      </c>
      <c r="Q190" s="12">
        <f t="shared" si="48"/>
        <v>7387908810.3964167</v>
      </c>
    </row>
    <row r="191" spans="1:17" x14ac:dyDescent="0.25">
      <c r="A191" s="7">
        <v>158</v>
      </c>
      <c r="B191" s="8">
        <f t="shared" si="42"/>
        <v>50000</v>
      </c>
      <c r="C191" s="8">
        <f t="shared" si="43"/>
        <v>3298000</v>
      </c>
      <c r="D191" s="8">
        <f t="shared" si="33"/>
        <v>4000</v>
      </c>
      <c r="E191" s="9">
        <f t="shared" si="34"/>
        <v>0.6</v>
      </c>
      <c r="F191" s="8">
        <f t="shared" si="35"/>
        <v>7915200000</v>
      </c>
      <c r="G191" s="8">
        <f t="shared" si="36"/>
        <v>326502000</v>
      </c>
      <c r="H191" s="8">
        <f t="shared" si="37"/>
        <v>163251000</v>
      </c>
      <c r="I191" s="8">
        <f t="shared" si="38"/>
        <v>163251000</v>
      </c>
      <c r="J191" s="8">
        <f t="shared" si="44"/>
        <v>24626362.70132139</v>
      </c>
      <c r="K191" s="8">
        <f t="shared" si="39"/>
        <v>500000000</v>
      </c>
      <c r="L191" s="8">
        <f t="shared" si="45"/>
        <v>32980000000</v>
      </c>
      <c r="M191" s="10">
        <f t="shared" si="40"/>
        <v>4.166666666666667</v>
      </c>
      <c r="N191" s="7" t="str">
        <f t="shared" si="41"/>
        <v>CAP-1 — Healthy</v>
      </c>
      <c r="O191" s="8">
        <f t="shared" si="46"/>
        <v>327218400000</v>
      </c>
      <c r="P191" s="8">
        <f t="shared" si="47"/>
        <v>6748879500</v>
      </c>
      <c r="Q191" s="8">
        <f t="shared" si="48"/>
        <v>7575786173.0977383</v>
      </c>
    </row>
    <row r="192" spans="1:17" x14ac:dyDescent="0.25">
      <c r="A192" s="11">
        <v>159</v>
      </c>
      <c r="B192" s="12">
        <f t="shared" si="42"/>
        <v>50000</v>
      </c>
      <c r="C192" s="12">
        <f t="shared" si="43"/>
        <v>3348000</v>
      </c>
      <c r="D192" s="12">
        <f t="shared" si="33"/>
        <v>4000</v>
      </c>
      <c r="E192" s="13">
        <f t="shared" si="34"/>
        <v>0.6</v>
      </c>
      <c r="F192" s="12">
        <f t="shared" si="35"/>
        <v>8035200000</v>
      </c>
      <c r="G192" s="12">
        <f t="shared" si="36"/>
        <v>331452000</v>
      </c>
      <c r="H192" s="12">
        <f t="shared" si="37"/>
        <v>165726000</v>
      </c>
      <c r="I192" s="12">
        <f t="shared" si="38"/>
        <v>165726000</v>
      </c>
      <c r="J192" s="12">
        <f t="shared" si="44"/>
        <v>25252620.576992463</v>
      </c>
      <c r="K192" s="12">
        <f t="shared" si="39"/>
        <v>500000000</v>
      </c>
      <c r="L192" s="12">
        <f t="shared" si="45"/>
        <v>33480000000</v>
      </c>
      <c r="M192" s="14">
        <f t="shared" si="40"/>
        <v>4.166666666666667</v>
      </c>
      <c r="N192" s="11" t="str">
        <f t="shared" si="41"/>
        <v>CAP-1 — Healthy</v>
      </c>
      <c r="O192" s="12">
        <f t="shared" si="46"/>
        <v>335253600000</v>
      </c>
      <c r="P192" s="12">
        <f t="shared" si="47"/>
        <v>6914605500</v>
      </c>
      <c r="Q192" s="12">
        <f t="shared" si="48"/>
        <v>7766764793.6747303</v>
      </c>
    </row>
    <row r="193" spans="1:17" x14ac:dyDescent="0.25">
      <c r="A193" s="7">
        <v>160</v>
      </c>
      <c r="B193" s="8">
        <f t="shared" si="42"/>
        <v>50000</v>
      </c>
      <c r="C193" s="8">
        <f t="shared" si="43"/>
        <v>3398000</v>
      </c>
      <c r="D193" s="8">
        <f t="shared" si="33"/>
        <v>4000</v>
      </c>
      <c r="E193" s="9">
        <f t="shared" si="34"/>
        <v>0.6</v>
      </c>
      <c r="F193" s="8">
        <f t="shared" si="35"/>
        <v>8155200000</v>
      </c>
      <c r="G193" s="8">
        <f t="shared" si="36"/>
        <v>336402000</v>
      </c>
      <c r="H193" s="8">
        <f t="shared" si="37"/>
        <v>168201000</v>
      </c>
      <c r="I193" s="8">
        <f t="shared" si="38"/>
        <v>168201000</v>
      </c>
      <c r="J193" s="8">
        <f t="shared" si="44"/>
        <v>25889215.97891577</v>
      </c>
      <c r="K193" s="8">
        <f t="shared" si="39"/>
        <v>500000000</v>
      </c>
      <c r="L193" s="8">
        <f t="shared" si="45"/>
        <v>33980000000</v>
      </c>
      <c r="M193" s="10">
        <f t="shared" si="40"/>
        <v>4.166666666666667</v>
      </c>
      <c r="N193" s="7" t="str">
        <f t="shared" si="41"/>
        <v>CAP-1 — Healthy</v>
      </c>
      <c r="O193" s="8">
        <f t="shared" si="46"/>
        <v>343408800000</v>
      </c>
      <c r="P193" s="8">
        <f t="shared" si="47"/>
        <v>7082806500</v>
      </c>
      <c r="Q193" s="8">
        <f t="shared" si="48"/>
        <v>7960855009.6536465</v>
      </c>
    </row>
    <row r="194" spans="1:17" x14ac:dyDescent="0.25">
      <c r="A194" s="11">
        <v>161</v>
      </c>
      <c r="B194" s="12">
        <f t="shared" si="42"/>
        <v>50000</v>
      </c>
      <c r="C194" s="12">
        <f t="shared" si="43"/>
        <v>3448000</v>
      </c>
      <c r="D194" s="12">
        <f t="shared" si="33"/>
        <v>4000</v>
      </c>
      <c r="E194" s="13">
        <f t="shared" si="34"/>
        <v>0.6</v>
      </c>
      <c r="F194" s="12">
        <f t="shared" si="35"/>
        <v>8275200000</v>
      </c>
      <c r="G194" s="12">
        <f t="shared" si="36"/>
        <v>341352000</v>
      </c>
      <c r="H194" s="12">
        <f t="shared" si="37"/>
        <v>170676000</v>
      </c>
      <c r="I194" s="12">
        <f t="shared" si="38"/>
        <v>170676000</v>
      </c>
      <c r="J194" s="12">
        <f t="shared" si="44"/>
        <v>26536183.365512155</v>
      </c>
      <c r="K194" s="12">
        <f t="shared" si="39"/>
        <v>500000000</v>
      </c>
      <c r="L194" s="12">
        <f t="shared" si="45"/>
        <v>34480000000</v>
      </c>
      <c r="M194" s="14">
        <f t="shared" si="40"/>
        <v>4.166666666666667</v>
      </c>
      <c r="N194" s="11" t="str">
        <f t="shared" si="41"/>
        <v>CAP-1 — Healthy</v>
      </c>
      <c r="O194" s="12">
        <f t="shared" si="46"/>
        <v>351684000000</v>
      </c>
      <c r="P194" s="12">
        <f t="shared" si="47"/>
        <v>7253482500</v>
      </c>
      <c r="Q194" s="12">
        <f t="shared" si="48"/>
        <v>8158067193.0191584</v>
      </c>
    </row>
    <row r="195" spans="1:17" x14ac:dyDescent="0.25">
      <c r="A195" s="7">
        <v>162</v>
      </c>
      <c r="B195" s="8">
        <f t="shared" si="42"/>
        <v>50000</v>
      </c>
      <c r="C195" s="8">
        <f t="shared" si="43"/>
        <v>3498000</v>
      </c>
      <c r="D195" s="8">
        <f t="shared" si="33"/>
        <v>4000</v>
      </c>
      <c r="E195" s="9">
        <f t="shared" si="34"/>
        <v>0.6</v>
      </c>
      <c r="F195" s="8">
        <f t="shared" si="35"/>
        <v>8395200000</v>
      </c>
      <c r="G195" s="8">
        <f t="shared" si="36"/>
        <v>346302000</v>
      </c>
      <c r="H195" s="8">
        <f t="shared" si="37"/>
        <v>173151000</v>
      </c>
      <c r="I195" s="8">
        <f t="shared" si="38"/>
        <v>173151000</v>
      </c>
      <c r="J195" s="8">
        <f t="shared" si="44"/>
        <v>27193557.310063861</v>
      </c>
      <c r="K195" s="8">
        <f t="shared" si="39"/>
        <v>500000000</v>
      </c>
      <c r="L195" s="8">
        <f t="shared" si="45"/>
        <v>34980000000</v>
      </c>
      <c r="M195" s="10">
        <f t="shared" si="40"/>
        <v>4.166666666666667</v>
      </c>
      <c r="N195" s="7" t="str">
        <f t="shared" si="41"/>
        <v>CAP-1 — Healthy</v>
      </c>
      <c r="O195" s="8">
        <f t="shared" si="46"/>
        <v>360079200000</v>
      </c>
      <c r="P195" s="8">
        <f t="shared" si="47"/>
        <v>7426633500</v>
      </c>
      <c r="Q195" s="8">
        <f t="shared" si="48"/>
        <v>8358411750.3292227</v>
      </c>
    </row>
    <row r="196" spans="1:17" x14ac:dyDescent="0.25">
      <c r="A196" s="24">
        <v>163</v>
      </c>
      <c r="B196" s="25">
        <f t="shared" si="42"/>
        <v>50000</v>
      </c>
      <c r="C196" s="25">
        <f t="shared" si="43"/>
        <v>3548000</v>
      </c>
      <c r="D196" s="25">
        <f t="shared" si="33"/>
        <v>4000</v>
      </c>
      <c r="E196" s="26">
        <f t="shared" si="34"/>
        <v>0.6</v>
      </c>
      <c r="F196" s="25">
        <f t="shared" si="35"/>
        <v>8515200000</v>
      </c>
      <c r="G196" s="25">
        <f t="shared" si="36"/>
        <v>351252000</v>
      </c>
      <c r="H196" s="25">
        <f t="shared" si="37"/>
        <v>175626000</v>
      </c>
      <c r="I196" s="25">
        <f t="shared" si="38"/>
        <v>175626000</v>
      </c>
      <c r="J196" s="25">
        <f t="shared" si="44"/>
        <v>27861372.501097411</v>
      </c>
      <c r="K196" s="25">
        <f t="shared" si="39"/>
        <v>500000000</v>
      </c>
      <c r="L196" s="25">
        <f t="shared" si="45"/>
        <v>35480000000</v>
      </c>
      <c r="M196" s="27">
        <f t="shared" si="40"/>
        <v>4.166666666666667</v>
      </c>
      <c r="N196" s="24" t="str">
        <f t="shared" si="41"/>
        <v>CAP-1 — Healthy</v>
      </c>
      <c r="O196" s="25">
        <f t="shared" si="46"/>
        <v>368594400000</v>
      </c>
      <c r="P196" s="25">
        <f t="shared" si="47"/>
        <v>7602259500</v>
      </c>
      <c r="Q196" s="25">
        <f t="shared" si="48"/>
        <v>8561899122.8303204</v>
      </c>
    </row>
    <row r="197" spans="1:17" x14ac:dyDescent="0.25">
      <c r="A197" s="7">
        <v>164</v>
      </c>
      <c r="B197" s="8">
        <f t="shared" si="42"/>
        <v>50000</v>
      </c>
      <c r="C197" s="8">
        <f t="shared" si="43"/>
        <v>3598000</v>
      </c>
      <c r="D197" s="8">
        <f t="shared" si="33"/>
        <v>4000</v>
      </c>
      <c r="E197" s="9">
        <f t="shared" si="34"/>
        <v>0.6</v>
      </c>
      <c r="F197" s="8">
        <f t="shared" si="35"/>
        <v>8635200000</v>
      </c>
      <c r="G197" s="8">
        <f t="shared" si="36"/>
        <v>356202000</v>
      </c>
      <c r="H197" s="8">
        <f t="shared" si="37"/>
        <v>178101000</v>
      </c>
      <c r="I197" s="8">
        <f t="shared" si="38"/>
        <v>178101000</v>
      </c>
      <c r="J197" s="8">
        <f t="shared" si="44"/>
        <v>28539663.742767736</v>
      </c>
      <c r="K197" s="8">
        <f t="shared" si="39"/>
        <v>500000000</v>
      </c>
      <c r="L197" s="8">
        <f t="shared" si="45"/>
        <v>35980000000</v>
      </c>
      <c r="M197" s="10">
        <f t="shared" si="40"/>
        <v>4.166666666666667</v>
      </c>
      <c r="N197" s="7" t="str">
        <f t="shared" si="41"/>
        <v>CAP-1 — Healthy</v>
      </c>
      <c r="O197" s="8">
        <f t="shared" si="46"/>
        <v>377229600000</v>
      </c>
      <c r="P197" s="8">
        <f t="shared" si="47"/>
        <v>7780360500</v>
      </c>
      <c r="Q197" s="8">
        <f t="shared" si="48"/>
        <v>8768539786.5730877</v>
      </c>
    </row>
    <row r="198" spans="1:17" x14ac:dyDescent="0.25">
      <c r="A198" s="11">
        <v>165</v>
      </c>
      <c r="B198" s="12">
        <f t="shared" si="42"/>
        <v>50000</v>
      </c>
      <c r="C198" s="12">
        <f t="shared" si="43"/>
        <v>3648000</v>
      </c>
      <c r="D198" s="12">
        <f t="shared" si="33"/>
        <v>4000</v>
      </c>
      <c r="E198" s="13">
        <f t="shared" si="34"/>
        <v>0.6</v>
      </c>
      <c r="F198" s="12">
        <f t="shared" si="35"/>
        <v>8755200000</v>
      </c>
      <c r="G198" s="12">
        <f t="shared" si="36"/>
        <v>361152000</v>
      </c>
      <c r="H198" s="12">
        <f t="shared" si="37"/>
        <v>180576000</v>
      </c>
      <c r="I198" s="12">
        <f t="shared" si="38"/>
        <v>180576000</v>
      </c>
      <c r="J198" s="12">
        <f t="shared" si="44"/>
        <v>29228465.955243628</v>
      </c>
      <c r="K198" s="12">
        <f t="shared" si="39"/>
        <v>500000000</v>
      </c>
      <c r="L198" s="12">
        <f t="shared" si="45"/>
        <v>36480000000</v>
      </c>
      <c r="M198" s="14">
        <f t="shared" si="40"/>
        <v>4.166666666666667</v>
      </c>
      <c r="N198" s="11" t="str">
        <f t="shared" si="41"/>
        <v>CAP-1 — Healthy</v>
      </c>
      <c r="O198" s="12">
        <f t="shared" si="46"/>
        <v>385984800000</v>
      </c>
      <c r="P198" s="12">
        <f t="shared" si="47"/>
        <v>7960936500</v>
      </c>
      <c r="Q198" s="12">
        <f t="shared" si="48"/>
        <v>8978344252.5283318</v>
      </c>
    </row>
    <row r="199" spans="1:17" x14ac:dyDescent="0.25">
      <c r="A199" s="7">
        <v>166</v>
      </c>
      <c r="B199" s="8">
        <f t="shared" si="42"/>
        <v>50000</v>
      </c>
      <c r="C199" s="8">
        <f t="shared" si="43"/>
        <v>3698000</v>
      </c>
      <c r="D199" s="8">
        <f t="shared" si="33"/>
        <v>4000</v>
      </c>
      <c r="E199" s="9">
        <f t="shared" si="34"/>
        <v>0.6</v>
      </c>
      <c r="F199" s="8">
        <f t="shared" si="35"/>
        <v>8875200000</v>
      </c>
      <c r="G199" s="8">
        <f t="shared" si="36"/>
        <v>366102000</v>
      </c>
      <c r="H199" s="8">
        <f t="shared" si="37"/>
        <v>183051000</v>
      </c>
      <c r="I199" s="8">
        <f t="shared" si="38"/>
        <v>183051000</v>
      </c>
      <c r="J199" s="8">
        <f t="shared" si="44"/>
        <v>29927814.175094441</v>
      </c>
      <c r="K199" s="8">
        <f t="shared" si="39"/>
        <v>500000000</v>
      </c>
      <c r="L199" s="8">
        <f t="shared" si="45"/>
        <v>36980000000</v>
      </c>
      <c r="M199" s="10">
        <f t="shared" si="40"/>
        <v>4.166666666666667</v>
      </c>
      <c r="N199" s="7" t="str">
        <f t="shared" si="41"/>
        <v>CAP-1 — Healthy</v>
      </c>
      <c r="O199" s="8">
        <f t="shared" si="46"/>
        <v>394860000000</v>
      </c>
      <c r="P199" s="8">
        <f t="shared" si="47"/>
        <v>8143987500</v>
      </c>
      <c r="Q199" s="8">
        <f t="shared" si="48"/>
        <v>9191323066.7034264</v>
      </c>
    </row>
    <row r="200" spans="1:17" x14ac:dyDescent="0.25">
      <c r="A200" s="11">
        <v>167</v>
      </c>
      <c r="B200" s="12">
        <f t="shared" si="42"/>
        <v>50000</v>
      </c>
      <c r="C200" s="12">
        <f t="shared" si="43"/>
        <v>3748000</v>
      </c>
      <c r="D200" s="12">
        <f t="shared" si="33"/>
        <v>4000</v>
      </c>
      <c r="E200" s="13">
        <f t="shared" si="34"/>
        <v>0.6</v>
      </c>
      <c r="F200" s="12">
        <f t="shared" si="35"/>
        <v>8995200000</v>
      </c>
      <c r="G200" s="12">
        <f t="shared" si="36"/>
        <v>371052000</v>
      </c>
      <c r="H200" s="12">
        <f t="shared" si="37"/>
        <v>185526000</v>
      </c>
      <c r="I200" s="12">
        <f t="shared" si="38"/>
        <v>185526000</v>
      </c>
      <c r="J200" s="12">
        <f t="shared" si="44"/>
        <v>30637743.555678088</v>
      </c>
      <c r="K200" s="12">
        <f t="shared" si="39"/>
        <v>500000000</v>
      </c>
      <c r="L200" s="12">
        <f t="shared" si="45"/>
        <v>37480000000</v>
      </c>
      <c r="M200" s="14">
        <f t="shared" si="40"/>
        <v>4.166666666666667</v>
      </c>
      <c r="N200" s="11" t="str">
        <f t="shared" si="41"/>
        <v>CAP-1 — Healthy</v>
      </c>
      <c r="O200" s="12">
        <f t="shared" si="46"/>
        <v>403855200000</v>
      </c>
      <c r="P200" s="12">
        <f t="shared" si="47"/>
        <v>8329513500</v>
      </c>
      <c r="Q200" s="12">
        <f t="shared" si="48"/>
        <v>9407486810.2591038</v>
      </c>
    </row>
    <row r="201" spans="1:17" x14ac:dyDescent="0.25">
      <c r="A201" s="7">
        <v>168</v>
      </c>
      <c r="B201" s="8">
        <f t="shared" si="42"/>
        <v>50000</v>
      </c>
      <c r="C201" s="8">
        <f t="shared" si="43"/>
        <v>3798000</v>
      </c>
      <c r="D201" s="8">
        <f t="shared" si="33"/>
        <v>4000</v>
      </c>
      <c r="E201" s="9">
        <f t="shared" si="34"/>
        <v>0.6</v>
      </c>
      <c r="F201" s="8">
        <f t="shared" si="35"/>
        <v>9115200000</v>
      </c>
      <c r="G201" s="8">
        <f t="shared" si="36"/>
        <v>376002000</v>
      </c>
      <c r="H201" s="8">
        <f t="shared" si="37"/>
        <v>188001000</v>
      </c>
      <c r="I201" s="8">
        <f t="shared" si="38"/>
        <v>188001000</v>
      </c>
      <c r="J201" s="8">
        <f t="shared" si="44"/>
        <v>31358289.36753035</v>
      </c>
      <c r="K201" s="8">
        <f t="shared" si="39"/>
        <v>500000000</v>
      </c>
      <c r="L201" s="8">
        <f t="shared" si="45"/>
        <v>37980000000</v>
      </c>
      <c r="M201" s="10">
        <f t="shared" si="40"/>
        <v>4.166666666666667</v>
      </c>
      <c r="N201" s="7" t="str">
        <f t="shared" si="41"/>
        <v>CAP-1 — Healthy</v>
      </c>
      <c r="O201" s="8">
        <f t="shared" si="46"/>
        <v>412970400000</v>
      </c>
      <c r="P201" s="8">
        <f t="shared" si="47"/>
        <v>8517514500</v>
      </c>
      <c r="Q201" s="8">
        <f t="shared" si="48"/>
        <v>9626846099.6266346</v>
      </c>
    </row>
    <row r="202" spans="1:17" x14ac:dyDescent="0.25">
      <c r="A202" s="11">
        <v>169</v>
      </c>
      <c r="B202" s="12">
        <f t="shared" si="42"/>
        <v>50000</v>
      </c>
      <c r="C202" s="12">
        <f t="shared" si="43"/>
        <v>3848000</v>
      </c>
      <c r="D202" s="12">
        <f t="shared" si="33"/>
        <v>4000</v>
      </c>
      <c r="E202" s="13">
        <f t="shared" si="34"/>
        <v>0.6</v>
      </c>
      <c r="F202" s="12">
        <f t="shared" si="35"/>
        <v>9235200000</v>
      </c>
      <c r="G202" s="12">
        <f t="shared" si="36"/>
        <v>380952000</v>
      </c>
      <c r="H202" s="12">
        <f t="shared" si="37"/>
        <v>190476000</v>
      </c>
      <c r="I202" s="12">
        <f t="shared" si="38"/>
        <v>190476000</v>
      </c>
      <c r="J202" s="12">
        <f t="shared" si="44"/>
        <v>32089486.998755451</v>
      </c>
      <c r="K202" s="12">
        <f t="shared" si="39"/>
        <v>500000000</v>
      </c>
      <c r="L202" s="12">
        <f t="shared" si="45"/>
        <v>38480000000</v>
      </c>
      <c r="M202" s="14">
        <f t="shared" si="40"/>
        <v>4.166666666666667</v>
      </c>
      <c r="N202" s="11" t="str">
        <f t="shared" si="41"/>
        <v>CAP-1 — Healthy</v>
      </c>
      <c r="O202" s="12">
        <f t="shared" si="46"/>
        <v>422205600000</v>
      </c>
      <c r="P202" s="12">
        <f t="shared" si="47"/>
        <v>8707990500</v>
      </c>
      <c r="Q202" s="12">
        <f t="shared" si="48"/>
        <v>9849411586.6253891</v>
      </c>
    </row>
    <row r="203" spans="1:17" x14ac:dyDescent="0.25">
      <c r="A203" s="7">
        <v>170</v>
      </c>
      <c r="B203" s="8">
        <f t="shared" si="42"/>
        <v>50000</v>
      </c>
      <c r="C203" s="8">
        <f t="shared" si="43"/>
        <v>3898000</v>
      </c>
      <c r="D203" s="8">
        <f t="shared" si="33"/>
        <v>4000</v>
      </c>
      <c r="E203" s="9">
        <f t="shared" si="34"/>
        <v>0.6</v>
      </c>
      <c r="F203" s="8">
        <f t="shared" si="35"/>
        <v>9355200000</v>
      </c>
      <c r="G203" s="8">
        <f t="shared" si="36"/>
        <v>385902000</v>
      </c>
      <c r="H203" s="8">
        <f t="shared" si="37"/>
        <v>192951000</v>
      </c>
      <c r="I203" s="8">
        <f t="shared" si="38"/>
        <v>192951000</v>
      </c>
      <c r="J203" s="8">
        <f t="shared" si="44"/>
        <v>32831371.955417965</v>
      </c>
      <c r="K203" s="8">
        <f t="shared" si="39"/>
        <v>500000000</v>
      </c>
      <c r="L203" s="8">
        <f t="shared" si="45"/>
        <v>38980000000</v>
      </c>
      <c r="M203" s="10">
        <f t="shared" si="40"/>
        <v>4.166666666666667</v>
      </c>
      <c r="N203" s="7" t="str">
        <f t="shared" si="41"/>
        <v>CAP-1 — Healthy</v>
      </c>
      <c r="O203" s="8">
        <f t="shared" si="46"/>
        <v>431560800000</v>
      </c>
      <c r="P203" s="8">
        <f t="shared" si="47"/>
        <v>8900941500</v>
      </c>
      <c r="Q203" s="8">
        <f t="shared" si="48"/>
        <v>10075193958.580807</v>
      </c>
    </row>
    <row r="204" spans="1:17" x14ac:dyDescent="0.25">
      <c r="A204" s="11">
        <v>171</v>
      </c>
      <c r="B204" s="12">
        <f t="shared" si="42"/>
        <v>50000</v>
      </c>
      <c r="C204" s="12">
        <f t="shared" si="43"/>
        <v>3948000</v>
      </c>
      <c r="D204" s="12">
        <f t="shared" si="33"/>
        <v>4000</v>
      </c>
      <c r="E204" s="13">
        <f t="shared" si="34"/>
        <v>0.6</v>
      </c>
      <c r="F204" s="12">
        <f t="shared" si="35"/>
        <v>9475200000</v>
      </c>
      <c r="G204" s="12">
        <f t="shared" si="36"/>
        <v>390852000</v>
      </c>
      <c r="H204" s="12">
        <f t="shared" si="37"/>
        <v>195426000</v>
      </c>
      <c r="I204" s="12">
        <f t="shared" si="38"/>
        <v>195426000</v>
      </c>
      <c r="J204" s="12">
        <f t="shared" si="44"/>
        <v>33583979.861936025</v>
      </c>
      <c r="K204" s="12">
        <f t="shared" si="39"/>
        <v>500000000</v>
      </c>
      <c r="L204" s="12">
        <f t="shared" si="45"/>
        <v>39480000000</v>
      </c>
      <c r="M204" s="14">
        <f t="shared" si="40"/>
        <v>4.166666666666667</v>
      </c>
      <c r="N204" s="11" t="str">
        <f t="shared" si="41"/>
        <v>CAP-1 — Healthy</v>
      </c>
      <c r="O204" s="12">
        <f t="shared" si="46"/>
        <v>441036000000</v>
      </c>
      <c r="P204" s="12">
        <f t="shared" si="47"/>
        <v>9096367500</v>
      </c>
      <c r="Q204" s="12">
        <f t="shared" si="48"/>
        <v>10304203938.442743</v>
      </c>
    </row>
    <row r="205" spans="1:17" x14ac:dyDescent="0.25">
      <c r="A205" s="7">
        <v>172</v>
      </c>
      <c r="B205" s="8">
        <f t="shared" si="42"/>
        <v>50000</v>
      </c>
      <c r="C205" s="8">
        <f t="shared" si="43"/>
        <v>3998000</v>
      </c>
      <c r="D205" s="8">
        <f t="shared" si="33"/>
        <v>4000</v>
      </c>
      <c r="E205" s="9">
        <f t="shared" si="34"/>
        <v>0.6</v>
      </c>
      <c r="F205" s="8">
        <f t="shared" si="35"/>
        <v>9595200000</v>
      </c>
      <c r="G205" s="8">
        <f t="shared" si="36"/>
        <v>395802000</v>
      </c>
      <c r="H205" s="8">
        <f t="shared" si="37"/>
        <v>197901000</v>
      </c>
      <c r="I205" s="8">
        <f t="shared" si="38"/>
        <v>197901000</v>
      </c>
      <c r="J205" s="8">
        <f t="shared" si="44"/>
        <v>34347346.461475812</v>
      </c>
      <c r="K205" s="8">
        <f t="shared" si="39"/>
        <v>500000000</v>
      </c>
      <c r="L205" s="8">
        <f t="shared" si="45"/>
        <v>39980000000</v>
      </c>
      <c r="M205" s="10">
        <f t="shared" si="40"/>
        <v>4.166666666666667</v>
      </c>
      <c r="N205" s="7" t="str">
        <f t="shared" si="41"/>
        <v>CAP-1 — Healthy</v>
      </c>
      <c r="O205" s="8">
        <f t="shared" si="46"/>
        <v>450631200000</v>
      </c>
      <c r="P205" s="8">
        <f t="shared" si="47"/>
        <v>9294268500</v>
      </c>
      <c r="Q205" s="8">
        <f t="shared" si="48"/>
        <v>10536452284.904219</v>
      </c>
    </row>
    <row r="206" spans="1:17" x14ac:dyDescent="0.25">
      <c r="A206" s="11">
        <v>173</v>
      </c>
      <c r="B206" s="12">
        <f t="shared" si="42"/>
        <v>50000</v>
      </c>
      <c r="C206" s="12">
        <f t="shared" si="43"/>
        <v>4048000</v>
      </c>
      <c r="D206" s="12">
        <f t="shared" si="33"/>
        <v>4000</v>
      </c>
      <c r="E206" s="13">
        <f t="shared" si="34"/>
        <v>0.6</v>
      </c>
      <c r="F206" s="12">
        <f t="shared" si="35"/>
        <v>9715200000</v>
      </c>
      <c r="G206" s="12">
        <f t="shared" si="36"/>
        <v>400752000</v>
      </c>
      <c r="H206" s="12">
        <f t="shared" si="37"/>
        <v>200376000</v>
      </c>
      <c r="I206" s="12">
        <f t="shared" si="38"/>
        <v>200376000</v>
      </c>
      <c r="J206" s="12">
        <f t="shared" si="44"/>
        <v>35121507.616347395</v>
      </c>
      <c r="K206" s="12">
        <f t="shared" si="39"/>
        <v>500000000</v>
      </c>
      <c r="L206" s="12">
        <f t="shared" si="45"/>
        <v>40480000000</v>
      </c>
      <c r="M206" s="14">
        <f t="shared" si="40"/>
        <v>4.166666666666667</v>
      </c>
      <c r="N206" s="11" t="str">
        <f t="shared" si="41"/>
        <v>CAP-1 — Healthy</v>
      </c>
      <c r="O206" s="12">
        <f t="shared" si="46"/>
        <v>460346400000</v>
      </c>
      <c r="P206" s="12">
        <f t="shared" si="47"/>
        <v>9494644500</v>
      </c>
      <c r="Q206" s="12">
        <f t="shared" si="48"/>
        <v>10771949792.520567</v>
      </c>
    </row>
    <row r="207" spans="1:17" x14ac:dyDescent="0.25">
      <c r="A207" s="7">
        <v>174</v>
      </c>
      <c r="B207" s="8">
        <f t="shared" si="42"/>
        <v>50000</v>
      </c>
      <c r="C207" s="8">
        <f t="shared" si="43"/>
        <v>4098000</v>
      </c>
      <c r="D207" s="8">
        <f t="shared" si="33"/>
        <v>4000</v>
      </c>
      <c r="E207" s="9">
        <f t="shared" si="34"/>
        <v>0.6</v>
      </c>
      <c r="F207" s="8">
        <f t="shared" si="35"/>
        <v>9835200000</v>
      </c>
      <c r="G207" s="8">
        <f t="shared" si="36"/>
        <v>405702000</v>
      </c>
      <c r="H207" s="8">
        <f t="shared" si="37"/>
        <v>202851000</v>
      </c>
      <c r="I207" s="8">
        <f t="shared" si="38"/>
        <v>202851000</v>
      </c>
      <c r="J207" s="8">
        <f t="shared" si="44"/>
        <v>35906499.30840189</v>
      </c>
      <c r="K207" s="8">
        <f t="shared" si="39"/>
        <v>500000000</v>
      </c>
      <c r="L207" s="8">
        <f t="shared" si="45"/>
        <v>40980000000</v>
      </c>
      <c r="M207" s="10">
        <f t="shared" si="40"/>
        <v>4.166666666666667</v>
      </c>
      <c r="N207" s="7" t="str">
        <f t="shared" si="41"/>
        <v>CAP-1 — Healthy</v>
      </c>
      <c r="O207" s="8">
        <f t="shared" si="46"/>
        <v>470181600000</v>
      </c>
      <c r="P207" s="8">
        <f t="shared" si="47"/>
        <v>9697495500</v>
      </c>
      <c r="Q207" s="8">
        <f t="shared" si="48"/>
        <v>11010707291.828968</v>
      </c>
    </row>
    <row r="208" spans="1:17" x14ac:dyDescent="0.25">
      <c r="A208" s="11">
        <v>175</v>
      </c>
      <c r="B208" s="12">
        <f t="shared" si="42"/>
        <v>50000</v>
      </c>
      <c r="C208" s="12">
        <f t="shared" si="43"/>
        <v>4148000</v>
      </c>
      <c r="D208" s="12">
        <f t="shared" si="33"/>
        <v>4000</v>
      </c>
      <c r="E208" s="13">
        <f t="shared" si="34"/>
        <v>0.6</v>
      </c>
      <c r="F208" s="12">
        <f t="shared" si="35"/>
        <v>9955200000</v>
      </c>
      <c r="G208" s="12">
        <f t="shared" si="36"/>
        <v>410652000</v>
      </c>
      <c r="H208" s="12">
        <f t="shared" si="37"/>
        <v>205326000</v>
      </c>
      <c r="I208" s="12">
        <f t="shared" si="38"/>
        <v>205326000</v>
      </c>
      <c r="J208" s="12">
        <f t="shared" si="44"/>
        <v>36702357.639429897</v>
      </c>
      <c r="K208" s="12">
        <f t="shared" si="39"/>
        <v>500000000</v>
      </c>
      <c r="L208" s="12">
        <f t="shared" si="45"/>
        <v>41480000000</v>
      </c>
      <c r="M208" s="14">
        <f t="shared" si="40"/>
        <v>4.166666666666667</v>
      </c>
      <c r="N208" s="11" t="str">
        <f t="shared" si="41"/>
        <v>CAP-1 — Healthy</v>
      </c>
      <c r="O208" s="12">
        <f t="shared" si="46"/>
        <v>480136800000</v>
      </c>
      <c r="P208" s="12">
        <f t="shared" si="47"/>
        <v>9902821500</v>
      </c>
      <c r="Q208" s="12">
        <f t="shared" si="48"/>
        <v>11252735649.468397</v>
      </c>
    </row>
    <row r="209" spans="1:17" x14ac:dyDescent="0.25">
      <c r="A209" s="7">
        <v>176</v>
      </c>
      <c r="B209" s="8">
        <f t="shared" si="42"/>
        <v>50000</v>
      </c>
      <c r="C209" s="8">
        <f t="shared" si="43"/>
        <v>4198000</v>
      </c>
      <c r="D209" s="8">
        <f t="shared" si="33"/>
        <v>4000</v>
      </c>
      <c r="E209" s="9">
        <f t="shared" si="34"/>
        <v>0.6</v>
      </c>
      <c r="F209" s="8">
        <f t="shared" si="35"/>
        <v>10075200000</v>
      </c>
      <c r="G209" s="8">
        <f t="shared" si="36"/>
        <v>415602000</v>
      </c>
      <c r="H209" s="8">
        <f t="shared" si="37"/>
        <v>207801000</v>
      </c>
      <c r="I209" s="8">
        <f t="shared" si="38"/>
        <v>207801000</v>
      </c>
      <c r="J209" s="8">
        <f t="shared" si="44"/>
        <v>37509118.831561327</v>
      </c>
      <c r="K209" s="8">
        <f t="shared" si="39"/>
        <v>500000000</v>
      </c>
      <c r="L209" s="8">
        <f t="shared" si="45"/>
        <v>41980000000</v>
      </c>
      <c r="M209" s="10">
        <f t="shared" si="40"/>
        <v>4.166666666666667</v>
      </c>
      <c r="N209" s="7" t="str">
        <f t="shared" si="41"/>
        <v>CAP-1 — Healthy</v>
      </c>
      <c r="O209" s="8">
        <f t="shared" si="46"/>
        <v>490212000000</v>
      </c>
      <c r="P209" s="8">
        <f t="shared" si="47"/>
        <v>10110622500</v>
      </c>
      <c r="Q209" s="8">
        <f t="shared" si="48"/>
        <v>11498045768.299959</v>
      </c>
    </row>
    <row r="210" spans="1:17" x14ac:dyDescent="0.25">
      <c r="A210" s="11">
        <v>177</v>
      </c>
      <c r="B210" s="12">
        <f t="shared" si="42"/>
        <v>50000</v>
      </c>
      <c r="C210" s="12">
        <f t="shared" si="43"/>
        <v>4248000</v>
      </c>
      <c r="D210" s="12">
        <f t="shared" si="33"/>
        <v>4000</v>
      </c>
      <c r="E210" s="13">
        <f t="shared" si="34"/>
        <v>0.6</v>
      </c>
      <c r="F210" s="12">
        <f t="shared" si="35"/>
        <v>10195200000</v>
      </c>
      <c r="G210" s="12">
        <f t="shared" si="36"/>
        <v>420552000</v>
      </c>
      <c r="H210" s="12">
        <f t="shared" si="37"/>
        <v>210276000</v>
      </c>
      <c r="I210" s="12">
        <f t="shared" si="38"/>
        <v>210276000</v>
      </c>
      <c r="J210" s="12">
        <f t="shared" si="44"/>
        <v>38326819.227666534</v>
      </c>
      <c r="K210" s="12">
        <f t="shared" si="39"/>
        <v>500000000</v>
      </c>
      <c r="L210" s="12">
        <f t="shared" si="45"/>
        <v>42480000000</v>
      </c>
      <c r="M210" s="14">
        <f t="shared" si="40"/>
        <v>4.166666666666667</v>
      </c>
      <c r="N210" s="11" t="str">
        <f t="shared" si="41"/>
        <v>CAP-1 — Healthy</v>
      </c>
      <c r="O210" s="12">
        <f t="shared" si="46"/>
        <v>500407200000</v>
      </c>
      <c r="P210" s="12">
        <f t="shared" si="47"/>
        <v>10320898500</v>
      </c>
      <c r="Q210" s="12">
        <f t="shared" si="48"/>
        <v>11746648587.527626</v>
      </c>
    </row>
    <row r="211" spans="1:17" x14ac:dyDescent="0.25">
      <c r="A211" s="7">
        <v>178</v>
      </c>
      <c r="B211" s="8">
        <f t="shared" si="42"/>
        <v>50000</v>
      </c>
      <c r="C211" s="8">
        <f t="shared" si="43"/>
        <v>4298000</v>
      </c>
      <c r="D211" s="8">
        <f t="shared" si="33"/>
        <v>4000</v>
      </c>
      <c r="E211" s="9">
        <f t="shared" si="34"/>
        <v>0.6</v>
      </c>
      <c r="F211" s="8">
        <f t="shared" si="35"/>
        <v>10315200000</v>
      </c>
      <c r="G211" s="8">
        <f t="shared" si="36"/>
        <v>425502000</v>
      </c>
      <c r="H211" s="8">
        <f t="shared" si="37"/>
        <v>212751000</v>
      </c>
      <c r="I211" s="8">
        <f t="shared" si="38"/>
        <v>212751000</v>
      </c>
      <c r="J211" s="8">
        <f t="shared" si="44"/>
        <v>39155495.291758753</v>
      </c>
      <c r="K211" s="8">
        <f t="shared" si="39"/>
        <v>500000000</v>
      </c>
      <c r="L211" s="8">
        <f t="shared" si="45"/>
        <v>42980000000</v>
      </c>
      <c r="M211" s="10">
        <f t="shared" si="40"/>
        <v>4.166666666666667</v>
      </c>
      <c r="N211" s="7" t="str">
        <f t="shared" si="41"/>
        <v>CAP-1 — Healthy</v>
      </c>
      <c r="O211" s="8">
        <f t="shared" si="46"/>
        <v>510722400000</v>
      </c>
      <c r="P211" s="8">
        <f t="shared" si="47"/>
        <v>10533649500</v>
      </c>
      <c r="Q211" s="8">
        <f t="shared" si="48"/>
        <v>11998555082.819386</v>
      </c>
    </row>
    <row r="212" spans="1:17" x14ac:dyDescent="0.25">
      <c r="A212" s="11">
        <v>179</v>
      </c>
      <c r="B212" s="12">
        <f t="shared" si="42"/>
        <v>50000</v>
      </c>
      <c r="C212" s="12">
        <f t="shared" si="43"/>
        <v>4348000</v>
      </c>
      <c r="D212" s="12">
        <f t="shared" si="33"/>
        <v>4000</v>
      </c>
      <c r="E212" s="13">
        <f t="shared" si="34"/>
        <v>0.6</v>
      </c>
      <c r="F212" s="12">
        <f t="shared" si="35"/>
        <v>10435200000</v>
      </c>
      <c r="G212" s="12">
        <f t="shared" si="36"/>
        <v>430452000</v>
      </c>
      <c r="H212" s="12">
        <f t="shared" si="37"/>
        <v>215226000</v>
      </c>
      <c r="I212" s="12">
        <f t="shared" si="38"/>
        <v>215226000</v>
      </c>
      <c r="J212" s="12">
        <f t="shared" si="44"/>
        <v>39995183.609397955</v>
      </c>
      <c r="K212" s="12">
        <f t="shared" si="39"/>
        <v>500000000</v>
      </c>
      <c r="L212" s="12">
        <f t="shared" si="45"/>
        <v>43480000000</v>
      </c>
      <c r="M212" s="14">
        <f t="shared" si="40"/>
        <v>4.166666666666667</v>
      </c>
      <c r="N212" s="11" t="str">
        <f t="shared" si="41"/>
        <v>CAP-1 — Healthy</v>
      </c>
      <c r="O212" s="12">
        <f t="shared" si="46"/>
        <v>521157600000</v>
      </c>
      <c r="P212" s="12">
        <f t="shared" si="47"/>
        <v>10748875500</v>
      </c>
      <c r="Q212" s="12">
        <f t="shared" si="48"/>
        <v>12253776266.428783</v>
      </c>
    </row>
    <row r="213" spans="1:17" x14ac:dyDescent="0.25">
      <c r="A213" s="7">
        <v>180</v>
      </c>
      <c r="B213" s="8">
        <f t="shared" si="42"/>
        <v>50000</v>
      </c>
      <c r="C213" s="8">
        <f t="shared" si="43"/>
        <v>4398000</v>
      </c>
      <c r="D213" s="8">
        <f t="shared" si="33"/>
        <v>4000</v>
      </c>
      <c r="E213" s="9">
        <f t="shared" si="34"/>
        <v>0.6</v>
      </c>
      <c r="F213" s="8">
        <f t="shared" si="35"/>
        <v>10555200000</v>
      </c>
      <c r="G213" s="8">
        <f t="shared" si="36"/>
        <v>435402000</v>
      </c>
      <c r="H213" s="8">
        <f t="shared" si="37"/>
        <v>217701000</v>
      </c>
      <c r="I213" s="8">
        <f t="shared" si="38"/>
        <v>217701000</v>
      </c>
      <c r="J213" s="8">
        <f t="shared" si="44"/>
        <v>40845920.888095945</v>
      </c>
      <c r="K213" s="8">
        <f t="shared" si="39"/>
        <v>500000000</v>
      </c>
      <c r="L213" s="8">
        <f t="shared" si="45"/>
        <v>43980000000</v>
      </c>
      <c r="M213" s="10">
        <f t="shared" si="40"/>
        <v>4.166666666666667</v>
      </c>
      <c r="N213" s="7" t="str">
        <f t="shared" si="41"/>
        <v>CAP-1 — Healthy</v>
      </c>
      <c r="O213" s="8">
        <f t="shared" si="46"/>
        <v>531712800000</v>
      </c>
      <c r="P213" s="8">
        <f t="shared" si="47"/>
        <v>10966576500</v>
      </c>
      <c r="Q213" s="8">
        <f t="shared" si="48"/>
        <v>12512323187.316879</v>
      </c>
    </row>
    <row r="214" spans="1:17" x14ac:dyDescent="0.25">
      <c r="A214" s="11">
        <v>181</v>
      </c>
      <c r="B214" s="12">
        <f t="shared" si="42"/>
        <v>50000</v>
      </c>
      <c r="C214" s="12">
        <f t="shared" si="43"/>
        <v>4448000</v>
      </c>
      <c r="D214" s="12">
        <f t="shared" si="33"/>
        <v>4000</v>
      </c>
      <c r="E214" s="13">
        <f t="shared" si="34"/>
        <v>0.6</v>
      </c>
      <c r="F214" s="12">
        <f t="shared" si="35"/>
        <v>10675200000</v>
      </c>
      <c r="G214" s="12">
        <f t="shared" si="36"/>
        <v>440352000</v>
      </c>
      <c r="H214" s="12">
        <f t="shared" si="37"/>
        <v>220176000</v>
      </c>
      <c r="I214" s="12">
        <f t="shared" si="38"/>
        <v>220176000</v>
      </c>
      <c r="J214" s="12">
        <f t="shared" si="44"/>
        <v>41707743.957722932</v>
      </c>
      <c r="K214" s="12">
        <f t="shared" si="39"/>
        <v>500000000</v>
      </c>
      <c r="L214" s="12">
        <f t="shared" si="45"/>
        <v>44480000000</v>
      </c>
      <c r="M214" s="14">
        <f t="shared" si="40"/>
        <v>4.166666666666667</v>
      </c>
      <c r="N214" s="11" t="str">
        <f t="shared" si="41"/>
        <v>CAP-1 — Healthy</v>
      </c>
      <c r="O214" s="12">
        <f t="shared" si="46"/>
        <v>542388000000</v>
      </c>
      <c r="P214" s="12">
        <f t="shared" si="47"/>
        <v>11186752500</v>
      </c>
      <c r="Q214" s="12">
        <f t="shared" si="48"/>
        <v>12774206931.274603</v>
      </c>
    </row>
    <row r="215" spans="1:17" x14ac:dyDescent="0.25">
      <c r="A215" s="7">
        <v>182</v>
      </c>
      <c r="B215" s="8">
        <f t="shared" si="42"/>
        <v>50000</v>
      </c>
      <c r="C215" s="8">
        <f t="shared" si="43"/>
        <v>4498000</v>
      </c>
      <c r="D215" s="8">
        <f t="shared" si="33"/>
        <v>4000</v>
      </c>
      <c r="E215" s="9">
        <f t="shared" si="34"/>
        <v>0.6</v>
      </c>
      <c r="F215" s="8">
        <f t="shared" si="35"/>
        <v>10795200000</v>
      </c>
      <c r="G215" s="8">
        <f t="shared" si="36"/>
        <v>445302000</v>
      </c>
      <c r="H215" s="8">
        <f t="shared" si="37"/>
        <v>222651000</v>
      </c>
      <c r="I215" s="8">
        <f t="shared" si="38"/>
        <v>222651000</v>
      </c>
      <c r="J215" s="8">
        <f t="shared" si="44"/>
        <v>42580689.770915344</v>
      </c>
      <c r="K215" s="8">
        <f t="shared" si="39"/>
        <v>500000000</v>
      </c>
      <c r="L215" s="8">
        <f t="shared" si="45"/>
        <v>44980000000</v>
      </c>
      <c r="M215" s="10">
        <f t="shared" si="40"/>
        <v>4.166666666666667</v>
      </c>
      <c r="N215" s="7" t="str">
        <f t="shared" si="41"/>
        <v>CAP-1 — Healthy</v>
      </c>
      <c r="O215" s="8">
        <f t="shared" si="46"/>
        <v>553183200000</v>
      </c>
      <c r="P215" s="8">
        <f t="shared" si="47"/>
        <v>11409403500</v>
      </c>
      <c r="Q215" s="8">
        <f t="shared" si="48"/>
        <v>13039438621.045519</v>
      </c>
    </row>
    <row r="216" spans="1:17" x14ac:dyDescent="0.25">
      <c r="A216" s="11">
        <v>183</v>
      </c>
      <c r="B216" s="12">
        <f t="shared" si="42"/>
        <v>50000</v>
      </c>
      <c r="C216" s="12">
        <f t="shared" si="43"/>
        <v>4548000</v>
      </c>
      <c r="D216" s="12">
        <f t="shared" si="33"/>
        <v>4000</v>
      </c>
      <c r="E216" s="13">
        <f t="shared" si="34"/>
        <v>0.6</v>
      </c>
      <c r="F216" s="12">
        <f t="shared" si="35"/>
        <v>10915200000</v>
      </c>
      <c r="G216" s="12">
        <f t="shared" si="36"/>
        <v>450252000</v>
      </c>
      <c r="H216" s="12">
        <f t="shared" si="37"/>
        <v>225126000</v>
      </c>
      <c r="I216" s="12">
        <f t="shared" si="38"/>
        <v>225126000</v>
      </c>
      <c r="J216" s="12">
        <f t="shared" si="44"/>
        <v>43464795.403485067</v>
      </c>
      <c r="K216" s="12">
        <f t="shared" si="39"/>
        <v>500000000</v>
      </c>
      <c r="L216" s="12">
        <f t="shared" si="45"/>
        <v>45480000000</v>
      </c>
      <c r="M216" s="14">
        <f t="shared" si="40"/>
        <v>4.166666666666667</v>
      </c>
      <c r="N216" s="11" t="str">
        <f t="shared" si="41"/>
        <v>CAP-1 — Healthy</v>
      </c>
      <c r="O216" s="12">
        <f t="shared" si="46"/>
        <v>564098400000</v>
      </c>
      <c r="P216" s="12">
        <f t="shared" si="47"/>
        <v>11634529500</v>
      </c>
      <c r="Q216" s="12">
        <f t="shared" si="48"/>
        <v>13308029416.449003</v>
      </c>
    </row>
    <row r="217" spans="1:17" x14ac:dyDescent="0.25">
      <c r="A217" s="7">
        <v>184</v>
      </c>
      <c r="B217" s="8">
        <f t="shared" si="42"/>
        <v>50000</v>
      </c>
      <c r="C217" s="8">
        <f t="shared" si="43"/>
        <v>4598000</v>
      </c>
      <c r="D217" s="8">
        <f t="shared" si="33"/>
        <v>4000</v>
      </c>
      <c r="E217" s="9">
        <f t="shared" si="34"/>
        <v>0.6</v>
      </c>
      <c r="F217" s="8">
        <f t="shared" si="35"/>
        <v>11035200000</v>
      </c>
      <c r="G217" s="8">
        <f t="shared" si="36"/>
        <v>455202000</v>
      </c>
      <c r="H217" s="8">
        <f t="shared" si="37"/>
        <v>227601000</v>
      </c>
      <c r="I217" s="8">
        <f t="shared" si="38"/>
        <v>227601000</v>
      </c>
      <c r="J217" s="8">
        <f t="shared" si="44"/>
        <v>44360098.054830015</v>
      </c>
      <c r="K217" s="8">
        <f t="shared" si="39"/>
        <v>500000000</v>
      </c>
      <c r="L217" s="8">
        <f t="shared" si="45"/>
        <v>45980000000</v>
      </c>
      <c r="M217" s="10">
        <f t="shared" si="40"/>
        <v>4.166666666666667</v>
      </c>
      <c r="N217" s="7" t="str">
        <f t="shared" si="41"/>
        <v>CAP-1 — Healthy</v>
      </c>
      <c r="O217" s="8">
        <f t="shared" si="46"/>
        <v>575133600000</v>
      </c>
      <c r="P217" s="8">
        <f t="shared" si="47"/>
        <v>11862130500</v>
      </c>
      <c r="Q217" s="8">
        <f t="shared" si="48"/>
        <v>13579990514.503834</v>
      </c>
    </row>
    <row r="218" spans="1:17" x14ac:dyDescent="0.25">
      <c r="A218" s="11">
        <v>185</v>
      </c>
      <c r="B218" s="12">
        <f t="shared" si="42"/>
        <v>50000</v>
      </c>
      <c r="C218" s="12">
        <f t="shared" si="43"/>
        <v>4648000</v>
      </c>
      <c r="D218" s="12">
        <f t="shared" si="33"/>
        <v>4000</v>
      </c>
      <c r="E218" s="13">
        <f t="shared" si="34"/>
        <v>0.6</v>
      </c>
      <c r="F218" s="12">
        <f t="shared" si="35"/>
        <v>11155200000</v>
      </c>
      <c r="G218" s="12">
        <f t="shared" si="36"/>
        <v>460152000</v>
      </c>
      <c r="H218" s="12">
        <f t="shared" si="37"/>
        <v>230076000</v>
      </c>
      <c r="I218" s="12">
        <f t="shared" si="38"/>
        <v>230076000</v>
      </c>
      <c r="J218" s="12">
        <f t="shared" si="44"/>
        <v>45266635.048346117</v>
      </c>
      <c r="K218" s="12">
        <f t="shared" si="39"/>
        <v>500000000</v>
      </c>
      <c r="L218" s="12">
        <f t="shared" si="45"/>
        <v>46480000000</v>
      </c>
      <c r="M218" s="14">
        <f t="shared" si="40"/>
        <v>4.166666666666667</v>
      </c>
      <c r="N218" s="11" t="str">
        <f t="shared" si="41"/>
        <v>CAP-1 — Healthy</v>
      </c>
      <c r="O218" s="12">
        <f t="shared" si="46"/>
        <v>586288800000</v>
      </c>
      <c r="P218" s="12">
        <f t="shared" si="47"/>
        <v>12092206500</v>
      </c>
      <c r="Q218" s="12">
        <f t="shared" si="48"/>
        <v>13855333149.552179</v>
      </c>
    </row>
    <row r="219" spans="1:17" x14ac:dyDescent="0.25">
      <c r="A219" s="7">
        <v>186</v>
      </c>
      <c r="B219" s="8">
        <f t="shared" si="42"/>
        <v>50000</v>
      </c>
      <c r="C219" s="8">
        <f t="shared" si="43"/>
        <v>4698000</v>
      </c>
      <c r="D219" s="8">
        <f t="shared" si="33"/>
        <v>4000</v>
      </c>
      <c r="E219" s="9">
        <f t="shared" si="34"/>
        <v>0.6</v>
      </c>
      <c r="F219" s="8">
        <f t="shared" si="35"/>
        <v>11275200000</v>
      </c>
      <c r="G219" s="8">
        <f t="shared" si="36"/>
        <v>465102000</v>
      </c>
      <c r="H219" s="8">
        <f t="shared" si="37"/>
        <v>232551000</v>
      </c>
      <c r="I219" s="8">
        <f t="shared" si="38"/>
        <v>232551000</v>
      </c>
      <c r="J219" s="8">
        <f t="shared" si="44"/>
        <v>46184443.831840597</v>
      </c>
      <c r="K219" s="8">
        <f t="shared" si="39"/>
        <v>500000000</v>
      </c>
      <c r="L219" s="8">
        <f t="shared" si="45"/>
        <v>46980000000</v>
      </c>
      <c r="M219" s="10">
        <f t="shared" si="40"/>
        <v>4.166666666666667</v>
      </c>
      <c r="N219" s="7" t="str">
        <f t="shared" si="41"/>
        <v>CAP-1 — Healthy</v>
      </c>
      <c r="O219" s="8">
        <f t="shared" si="46"/>
        <v>597564000000</v>
      </c>
      <c r="P219" s="8">
        <f t="shared" si="47"/>
        <v>12324757500</v>
      </c>
      <c r="Q219" s="8">
        <f t="shared" si="48"/>
        <v>14134068593.38402</v>
      </c>
    </row>
    <row r="220" spans="1:17" x14ac:dyDescent="0.25">
      <c r="A220" s="11">
        <v>187</v>
      </c>
      <c r="B220" s="12">
        <f t="shared" si="42"/>
        <v>50000</v>
      </c>
      <c r="C220" s="12">
        <f t="shared" si="43"/>
        <v>4748000</v>
      </c>
      <c r="D220" s="12">
        <f t="shared" si="33"/>
        <v>4000</v>
      </c>
      <c r="E220" s="13">
        <f t="shared" si="34"/>
        <v>0.6</v>
      </c>
      <c r="F220" s="12">
        <f t="shared" si="35"/>
        <v>11395200000</v>
      </c>
      <c r="G220" s="12">
        <f t="shared" si="36"/>
        <v>470052000</v>
      </c>
      <c r="H220" s="12">
        <f t="shared" si="37"/>
        <v>235026000</v>
      </c>
      <c r="I220" s="12">
        <f t="shared" si="38"/>
        <v>235026000</v>
      </c>
      <c r="J220" s="12">
        <f t="shared" si="44"/>
        <v>47113561.977946736</v>
      </c>
      <c r="K220" s="12">
        <f t="shared" si="39"/>
        <v>500000000</v>
      </c>
      <c r="L220" s="12">
        <f t="shared" si="45"/>
        <v>47480000000</v>
      </c>
      <c r="M220" s="14">
        <f t="shared" si="40"/>
        <v>4.166666666666667</v>
      </c>
      <c r="N220" s="11" t="str">
        <f t="shared" si="41"/>
        <v>CAP-1 — Healthy</v>
      </c>
      <c r="O220" s="12">
        <f t="shared" si="46"/>
        <v>608959200000</v>
      </c>
      <c r="P220" s="12">
        <f t="shared" si="47"/>
        <v>12559783500</v>
      </c>
      <c r="Q220" s="12">
        <f t="shared" si="48"/>
        <v>14416208155.361967</v>
      </c>
    </row>
    <row r="221" spans="1:17" x14ac:dyDescent="0.25">
      <c r="A221" s="7">
        <v>188</v>
      </c>
      <c r="B221" s="8">
        <f t="shared" si="42"/>
        <v>50000</v>
      </c>
      <c r="C221" s="8">
        <f t="shared" si="43"/>
        <v>4798000</v>
      </c>
      <c r="D221" s="8">
        <f t="shared" si="33"/>
        <v>4000</v>
      </c>
      <c r="E221" s="9">
        <f t="shared" si="34"/>
        <v>0.6</v>
      </c>
      <c r="F221" s="8">
        <f t="shared" si="35"/>
        <v>11515200000</v>
      </c>
      <c r="G221" s="8">
        <f t="shared" si="36"/>
        <v>475002000</v>
      </c>
      <c r="H221" s="8">
        <f t="shared" si="37"/>
        <v>237501000</v>
      </c>
      <c r="I221" s="8">
        <f t="shared" si="38"/>
        <v>237501000</v>
      </c>
      <c r="J221" s="8">
        <f t="shared" si="44"/>
        <v>48054027.184539892</v>
      </c>
      <c r="K221" s="8">
        <f t="shared" si="39"/>
        <v>500000000</v>
      </c>
      <c r="L221" s="8">
        <f t="shared" si="45"/>
        <v>47980000000</v>
      </c>
      <c r="M221" s="10">
        <f t="shared" si="40"/>
        <v>4.166666666666667</v>
      </c>
      <c r="N221" s="7" t="str">
        <f t="shared" si="41"/>
        <v>CAP-1 — Healthy</v>
      </c>
      <c r="O221" s="8">
        <f t="shared" si="46"/>
        <v>620474400000</v>
      </c>
      <c r="P221" s="8">
        <f t="shared" si="47"/>
        <v>12797284500</v>
      </c>
      <c r="Q221" s="8">
        <f t="shared" si="48"/>
        <v>14701763182.546507</v>
      </c>
    </row>
    <row r="222" spans="1:17" x14ac:dyDescent="0.25">
      <c r="A222" s="11">
        <v>189</v>
      </c>
      <c r="B222" s="12">
        <f t="shared" si="42"/>
        <v>50000</v>
      </c>
      <c r="C222" s="12">
        <f t="shared" si="43"/>
        <v>4848000</v>
      </c>
      <c r="D222" s="12">
        <f t="shared" si="33"/>
        <v>4000</v>
      </c>
      <c r="E222" s="13">
        <f t="shared" si="34"/>
        <v>0.6</v>
      </c>
      <c r="F222" s="12">
        <f t="shared" si="35"/>
        <v>11635200000</v>
      </c>
      <c r="G222" s="12">
        <f t="shared" si="36"/>
        <v>479952000</v>
      </c>
      <c r="H222" s="12">
        <f t="shared" si="37"/>
        <v>239976000</v>
      </c>
      <c r="I222" s="12">
        <f t="shared" si="38"/>
        <v>239976000</v>
      </c>
      <c r="J222" s="12">
        <f t="shared" si="44"/>
        <v>49005877.275155023</v>
      </c>
      <c r="K222" s="12">
        <f t="shared" si="39"/>
        <v>500000000</v>
      </c>
      <c r="L222" s="12">
        <f t="shared" si="45"/>
        <v>48480000000</v>
      </c>
      <c r="M222" s="14">
        <f t="shared" si="40"/>
        <v>4.166666666666667</v>
      </c>
      <c r="N222" s="11" t="str">
        <f t="shared" si="41"/>
        <v>CAP-1 — Healthy</v>
      </c>
      <c r="O222" s="12">
        <f t="shared" si="46"/>
        <v>632109600000</v>
      </c>
      <c r="P222" s="12">
        <f t="shared" si="47"/>
        <v>13037260500</v>
      </c>
      <c r="Q222" s="12">
        <f t="shared" si="48"/>
        <v>14990745059.821661</v>
      </c>
    </row>
    <row r="223" spans="1:17" x14ac:dyDescent="0.25">
      <c r="A223" s="7">
        <v>190</v>
      </c>
      <c r="B223" s="8">
        <f t="shared" si="42"/>
        <v>50000</v>
      </c>
      <c r="C223" s="8">
        <f t="shared" si="43"/>
        <v>4898000</v>
      </c>
      <c r="D223" s="8">
        <f t="shared" si="33"/>
        <v>4000</v>
      </c>
      <c r="E223" s="9">
        <f t="shared" si="34"/>
        <v>0.6</v>
      </c>
      <c r="F223" s="8">
        <f t="shared" si="35"/>
        <v>11755200000</v>
      </c>
      <c r="G223" s="8">
        <f t="shared" si="36"/>
        <v>484902000</v>
      </c>
      <c r="H223" s="8">
        <f t="shared" si="37"/>
        <v>242451000</v>
      </c>
      <c r="I223" s="8">
        <f t="shared" si="38"/>
        <v>242451000</v>
      </c>
      <c r="J223" s="8">
        <f t="shared" si="44"/>
        <v>49969150.199405544</v>
      </c>
      <c r="K223" s="8">
        <f t="shared" si="39"/>
        <v>500000000</v>
      </c>
      <c r="L223" s="8">
        <f t="shared" si="45"/>
        <v>48980000000</v>
      </c>
      <c r="M223" s="10">
        <f t="shared" si="40"/>
        <v>4.166666666666667</v>
      </c>
      <c r="N223" s="7" t="str">
        <f t="shared" si="41"/>
        <v>CAP-1 — Healthy</v>
      </c>
      <c r="O223" s="8">
        <f t="shared" si="46"/>
        <v>643864800000</v>
      </c>
      <c r="P223" s="8">
        <f t="shared" si="47"/>
        <v>13279711500</v>
      </c>
      <c r="Q223" s="8">
        <f t="shared" si="48"/>
        <v>15283165210.021067</v>
      </c>
    </row>
    <row r="224" spans="1:17" x14ac:dyDescent="0.25">
      <c r="A224" s="11">
        <v>191</v>
      </c>
      <c r="B224" s="12">
        <f t="shared" si="42"/>
        <v>50000</v>
      </c>
      <c r="C224" s="12">
        <f t="shared" si="43"/>
        <v>4948000</v>
      </c>
      <c r="D224" s="12">
        <f t="shared" si="33"/>
        <v>4000</v>
      </c>
      <c r="E224" s="13">
        <f t="shared" si="34"/>
        <v>0.6</v>
      </c>
      <c r="F224" s="12">
        <f t="shared" si="35"/>
        <v>11875200000</v>
      </c>
      <c r="G224" s="12">
        <f t="shared" si="36"/>
        <v>489852000</v>
      </c>
      <c r="H224" s="12">
        <f t="shared" si="37"/>
        <v>244926000</v>
      </c>
      <c r="I224" s="12">
        <f t="shared" si="38"/>
        <v>244926000</v>
      </c>
      <c r="J224" s="12">
        <f t="shared" si="44"/>
        <v>50943884.033403561</v>
      </c>
      <c r="K224" s="12">
        <f t="shared" si="39"/>
        <v>500000000</v>
      </c>
      <c r="L224" s="12">
        <f t="shared" si="45"/>
        <v>49480000000</v>
      </c>
      <c r="M224" s="14">
        <f t="shared" si="40"/>
        <v>4.166666666666667</v>
      </c>
      <c r="N224" s="11" t="str">
        <f t="shared" si="41"/>
        <v>CAP-1 — Healthy</v>
      </c>
      <c r="O224" s="12">
        <f t="shared" si="46"/>
        <v>655740000000</v>
      </c>
      <c r="P224" s="12">
        <f t="shared" si="47"/>
        <v>13524637500</v>
      </c>
      <c r="Q224" s="12">
        <f t="shared" si="48"/>
        <v>15579035094.05447</v>
      </c>
    </row>
    <row r="225" spans="1:17" x14ac:dyDescent="0.25">
      <c r="A225" s="7">
        <v>192</v>
      </c>
      <c r="B225" s="8">
        <f t="shared" si="42"/>
        <v>50000</v>
      </c>
      <c r="C225" s="8">
        <f t="shared" si="43"/>
        <v>4998000</v>
      </c>
      <c r="D225" s="8">
        <f t="shared" si="33"/>
        <v>4000</v>
      </c>
      <c r="E225" s="9">
        <f t="shared" si="34"/>
        <v>0.6</v>
      </c>
      <c r="F225" s="8">
        <f t="shared" si="35"/>
        <v>11995200000</v>
      </c>
      <c r="G225" s="8">
        <f t="shared" si="36"/>
        <v>494802000</v>
      </c>
      <c r="H225" s="8">
        <f t="shared" si="37"/>
        <v>247401000</v>
      </c>
      <c r="I225" s="8">
        <f t="shared" si="38"/>
        <v>247401000</v>
      </c>
      <c r="J225" s="8">
        <f t="shared" si="44"/>
        <v>51930116.980181567</v>
      </c>
      <c r="K225" s="8">
        <f t="shared" si="39"/>
        <v>500000000</v>
      </c>
      <c r="L225" s="8">
        <f t="shared" si="45"/>
        <v>49980000000</v>
      </c>
      <c r="M225" s="10">
        <f t="shared" si="40"/>
        <v>4.166666666666667</v>
      </c>
      <c r="N225" s="7" t="str">
        <f t="shared" si="41"/>
        <v>CAP-1 — Healthy</v>
      </c>
      <c r="O225" s="8">
        <f t="shared" si="46"/>
        <v>667735200000</v>
      </c>
      <c r="P225" s="8">
        <f t="shared" si="47"/>
        <v>13772038500</v>
      </c>
      <c r="Q225" s="8">
        <f t="shared" si="48"/>
        <v>15878366211.034651</v>
      </c>
    </row>
    <row r="226" spans="1:17" x14ac:dyDescent="0.25">
      <c r="A226" s="11">
        <v>193</v>
      </c>
      <c r="B226" s="12">
        <f t="shared" si="42"/>
        <v>50000</v>
      </c>
      <c r="C226" s="12">
        <f t="shared" si="43"/>
        <v>5048000</v>
      </c>
      <c r="D226" s="12">
        <f t="shared" ref="D226:D273" si="49">$D$4</f>
        <v>4000</v>
      </c>
      <c r="E226" s="13">
        <f t="shared" ref="E226:E273" si="50">$D$8</f>
        <v>0.6</v>
      </c>
      <c r="F226" s="12">
        <f t="shared" ref="F226:F273" si="51">C226*D226*E226</f>
        <v>12115200000</v>
      </c>
      <c r="G226" s="12">
        <f t="shared" ref="G226:G273" si="52">C226*$D$5</f>
        <v>499752000</v>
      </c>
      <c r="H226" s="12">
        <f t="shared" ref="H226:H273" si="53">G226*$D$6</f>
        <v>249876000</v>
      </c>
      <c r="I226" s="12">
        <f t="shared" ref="I226:I273" si="54">G226*$D$7</f>
        <v>249876000</v>
      </c>
      <c r="J226" s="12">
        <f t="shared" si="44"/>
        <v>52927887.370115504</v>
      </c>
      <c r="K226" s="12">
        <f t="shared" ref="K226:K273" si="55">INDEX($J$5:$J$29,MIN(INT((A226-1)/12)+1,25))</f>
        <v>500000000</v>
      </c>
      <c r="L226" s="12">
        <f t="shared" si="45"/>
        <v>50480000000</v>
      </c>
      <c r="M226" s="14">
        <f t="shared" ref="M226:M289" si="56">IF(F226=0,0,L226/F226)</f>
        <v>4.166666666666667</v>
      </c>
      <c r="N226" s="11" t="str">
        <f t="shared" ref="N226:N273" si="57">IF(M226&gt;=2,"CAP-1 — Healthy",IF(M226&gt;=1.5,"CAP-2 — Watch",IF(M226&gt;=1.2,"CAP-3 — Caution","CAP-4 — Protect")))</f>
        <v>CAP-1 — Healthy</v>
      </c>
      <c r="O226" s="12">
        <f t="shared" si="46"/>
        <v>679850400000</v>
      </c>
      <c r="P226" s="12">
        <f t="shared" si="47"/>
        <v>14021914500</v>
      </c>
      <c r="Q226" s="12">
        <f t="shared" si="48"/>
        <v>16181170098.404766</v>
      </c>
    </row>
    <row r="227" spans="1:17" x14ac:dyDescent="0.25">
      <c r="A227" s="7">
        <v>194</v>
      </c>
      <c r="B227" s="8">
        <f t="shared" ref="B227:B290" si="58">MAX(0,MIN(INDEX($G$5:$G$29,MIN(INT((A227-1)/12)+1,25)),MAX(0,INT((L226+INDEX($J$5:$J$29,MIN(INT((A227-1)/12)+1,25)))/(2*$D$4*$D$8))-C226),IF($D$11&gt;C226,INT($D$11-C226),0)))</f>
        <v>50000</v>
      </c>
      <c r="C227" s="8">
        <f t="shared" ref="C227:C273" si="59">MIN(C226+B227,$D$11)</f>
        <v>5098000</v>
      </c>
      <c r="D227" s="8">
        <f t="shared" si="49"/>
        <v>4000</v>
      </c>
      <c r="E227" s="9">
        <f t="shared" si="50"/>
        <v>0.6</v>
      </c>
      <c r="F227" s="8">
        <f t="shared" si="51"/>
        <v>12235200000</v>
      </c>
      <c r="G227" s="8">
        <f t="shared" si="52"/>
        <v>504702000</v>
      </c>
      <c r="H227" s="8">
        <f t="shared" si="53"/>
        <v>252351000</v>
      </c>
      <c r="I227" s="8">
        <f t="shared" si="54"/>
        <v>252351000</v>
      </c>
      <c r="J227" s="8">
        <f t="shared" ref="J227:J273" si="60">Q226*($D$9/12)</f>
        <v>53937233.661349222</v>
      </c>
      <c r="K227" s="8">
        <f t="shared" si="55"/>
        <v>500000000</v>
      </c>
      <c r="L227" s="8">
        <f t="shared" ref="L227:L273" si="61">L226+K227</f>
        <v>50980000000</v>
      </c>
      <c r="M227" s="10">
        <f t="shared" si="56"/>
        <v>4.166666666666667</v>
      </c>
      <c r="N227" s="7" t="str">
        <f t="shared" si="57"/>
        <v>CAP-1 — Healthy</v>
      </c>
      <c r="O227" s="8">
        <f t="shared" ref="O227:O273" si="62">O226+F227</f>
        <v>692085600000</v>
      </c>
      <c r="P227" s="8">
        <f t="shared" ref="P227:P273" si="63">P226+H227</f>
        <v>14274265500</v>
      </c>
      <c r="Q227" s="8">
        <f t="shared" ref="Q227:Q273" si="64">Q226+I227+J227</f>
        <v>16487458332.066114</v>
      </c>
    </row>
    <row r="228" spans="1:17" x14ac:dyDescent="0.25">
      <c r="A228" s="11">
        <v>195</v>
      </c>
      <c r="B228" s="12">
        <f t="shared" si="58"/>
        <v>50000</v>
      </c>
      <c r="C228" s="12">
        <f t="shared" si="59"/>
        <v>5148000</v>
      </c>
      <c r="D228" s="12">
        <f t="shared" si="49"/>
        <v>4000</v>
      </c>
      <c r="E228" s="13">
        <f t="shared" si="50"/>
        <v>0.6</v>
      </c>
      <c r="F228" s="12">
        <f t="shared" si="51"/>
        <v>12355200000</v>
      </c>
      <c r="G228" s="12">
        <f t="shared" si="52"/>
        <v>509652000</v>
      </c>
      <c r="H228" s="12">
        <f t="shared" si="53"/>
        <v>254826000</v>
      </c>
      <c r="I228" s="12">
        <f t="shared" si="54"/>
        <v>254826000</v>
      </c>
      <c r="J228" s="12">
        <f t="shared" si="60"/>
        <v>54958194.440220386</v>
      </c>
      <c r="K228" s="12">
        <f t="shared" si="55"/>
        <v>500000000</v>
      </c>
      <c r="L228" s="12">
        <f t="shared" si="61"/>
        <v>51480000000</v>
      </c>
      <c r="M228" s="14">
        <f t="shared" si="56"/>
        <v>4.166666666666667</v>
      </c>
      <c r="N228" s="11" t="str">
        <f t="shared" si="57"/>
        <v>CAP-1 — Healthy</v>
      </c>
      <c r="O228" s="12">
        <f t="shared" si="62"/>
        <v>704440800000</v>
      </c>
      <c r="P228" s="12">
        <f t="shared" si="63"/>
        <v>14529091500</v>
      </c>
      <c r="Q228" s="12">
        <f t="shared" si="64"/>
        <v>16797242526.506334</v>
      </c>
    </row>
    <row r="229" spans="1:17" x14ac:dyDescent="0.25">
      <c r="A229" s="7">
        <v>196</v>
      </c>
      <c r="B229" s="8">
        <f t="shared" si="58"/>
        <v>50000</v>
      </c>
      <c r="C229" s="8">
        <f t="shared" si="59"/>
        <v>5198000</v>
      </c>
      <c r="D229" s="8">
        <f t="shared" si="49"/>
        <v>4000</v>
      </c>
      <c r="E229" s="9">
        <f t="shared" si="50"/>
        <v>0.6</v>
      </c>
      <c r="F229" s="8">
        <f t="shared" si="51"/>
        <v>12475200000</v>
      </c>
      <c r="G229" s="8">
        <f t="shared" si="52"/>
        <v>514602000</v>
      </c>
      <c r="H229" s="8">
        <f t="shared" si="53"/>
        <v>257301000</v>
      </c>
      <c r="I229" s="8">
        <f t="shared" si="54"/>
        <v>257301000</v>
      </c>
      <c r="J229" s="8">
        <f t="shared" si="60"/>
        <v>55990808.421687782</v>
      </c>
      <c r="K229" s="8">
        <f t="shared" si="55"/>
        <v>500000000</v>
      </c>
      <c r="L229" s="8">
        <f t="shared" si="61"/>
        <v>51980000000</v>
      </c>
      <c r="M229" s="10">
        <f t="shared" si="56"/>
        <v>4.166666666666667</v>
      </c>
      <c r="N229" s="7" t="str">
        <f t="shared" si="57"/>
        <v>CAP-1 — Healthy</v>
      </c>
      <c r="O229" s="8">
        <f t="shared" si="62"/>
        <v>716916000000</v>
      </c>
      <c r="P229" s="8">
        <f t="shared" si="63"/>
        <v>14786392500</v>
      </c>
      <c r="Q229" s="8">
        <f t="shared" si="64"/>
        <v>17110534334.928022</v>
      </c>
    </row>
    <row r="230" spans="1:17" x14ac:dyDescent="0.25">
      <c r="A230" s="11">
        <v>197</v>
      </c>
      <c r="B230" s="12">
        <f t="shared" si="58"/>
        <v>50000</v>
      </c>
      <c r="C230" s="12">
        <f t="shared" si="59"/>
        <v>5248000</v>
      </c>
      <c r="D230" s="12">
        <f t="shared" si="49"/>
        <v>4000</v>
      </c>
      <c r="E230" s="13">
        <f t="shared" si="50"/>
        <v>0.6</v>
      </c>
      <c r="F230" s="12">
        <f t="shared" si="51"/>
        <v>12595200000</v>
      </c>
      <c r="G230" s="12">
        <f t="shared" si="52"/>
        <v>519552000</v>
      </c>
      <c r="H230" s="12">
        <f t="shared" si="53"/>
        <v>259776000</v>
      </c>
      <c r="I230" s="12">
        <f t="shared" si="54"/>
        <v>259776000</v>
      </c>
      <c r="J230" s="12">
        <f t="shared" si="60"/>
        <v>57035114.449760079</v>
      </c>
      <c r="K230" s="12">
        <f t="shared" si="55"/>
        <v>500000000</v>
      </c>
      <c r="L230" s="12">
        <f t="shared" si="61"/>
        <v>52480000000</v>
      </c>
      <c r="M230" s="14">
        <f t="shared" si="56"/>
        <v>4.166666666666667</v>
      </c>
      <c r="N230" s="11" t="str">
        <f t="shared" si="57"/>
        <v>CAP-1 — Healthy</v>
      </c>
      <c r="O230" s="12">
        <f t="shared" si="62"/>
        <v>729511200000</v>
      </c>
      <c r="P230" s="12">
        <f t="shared" si="63"/>
        <v>15046168500</v>
      </c>
      <c r="Q230" s="12">
        <f t="shared" si="64"/>
        <v>17427345449.377785</v>
      </c>
    </row>
    <row r="231" spans="1:17" x14ac:dyDescent="0.25">
      <c r="A231" s="7">
        <v>198</v>
      </c>
      <c r="B231" s="8">
        <f t="shared" si="58"/>
        <v>50000</v>
      </c>
      <c r="C231" s="8">
        <f t="shared" si="59"/>
        <v>5298000</v>
      </c>
      <c r="D231" s="8">
        <f t="shared" si="49"/>
        <v>4000</v>
      </c>
      <c r="E231" s="9">
        <f t="shared" si="50"/>
        <v>0.6</v>
      </c>
      <c r="F231" s="8">
        <f t="shared" si="51"/>
        <v>12715200000</v>
      </c>
      <c r="G231" s="8">
        <f t="shared" si="52"/>
        <v>524502000</v>
      </c>
      <c r="H231" s="8">
        <f t="shared" si="53"/>
        <v>262251000</v>
      </c>
      <c r="I231" s="8">
        <f t="shared" si="54"/>
        <v>262251000</v>
      </c>
      <c r="J231" s="8">
        <f t="shared" si="60"/>
        <v>58091151.497925952</v>
      </c>
      <c r="K231" s="8">
        <f t="shared" si="55"/>
        <v>500000000</v>
      </c>
      <c r="L231" s="8">
        <f t="shared" si="61"/>
        <v>52980000000</v>
      </c>
      <c r="M231" s="10">
        <f t="shared" si="56"/>
        <v>4.166666666666667</v>
      </c>
      <c r="N231" s="7" t="str">
        <f t="shared" si="57"/>
        <v>CAP-1 — Healthy</v>
      </c>
      <c r="O231" s="8">
        <f t="shared" si="62"/>
        <v>742226400000</v>
      </c>
      <c r="P231" s="8">
        <f t="shared" si="63"/>
        <v>15308419500</v>
      </c>
      <c r="Q231" s="8">
        <f t="shared" si="64"/>
        <v>17747687600.87571</v>
      </c>
    </row>
    <row r="232" spans="1:17" x14ac:dyDescent="0.25">
      <c r="A232" s="11">
        <v>199</v>
      </c>
      <c r="B232" s="12">
        <f t="shared" si="58"/>
        <v>50000</v>
      </c>
      <c r="C232" s="12">
        <f t="shared" si="59"/>
        <v>5348000</v>
      </c>
      <c r="D232" s="12">
        <f t="shared" si="49"/>
        <v>4000</v>
      </c>
      <c r="E232" s="13">
        <f t="shared" si="50"/>
        <v>0.6</v>
      </c>
      <c r="F232" s="12">
        <f t="shared" si="51"/>
        <v>12835200000</v>
      </c>
      <c r="G232" s="12">
        <f t="shared" si="52"/>
        <v>529452000</v>
      </c>
      <c r="H232" s="12">
        <f t="shared" si="53"/>
        <v>264726000</v>
      </c>
      <c r="I232" s="12">
        <f t="shared" si="54"/>
        <v>264726000</v>
      </c>
      <c r="J232" s="12">
        <f t="shared" si="60"/>
        <v>59158958.669585705</v>
      </c>
      <c r="K232" s="12">
        <f t="shared" si="55"/>
        <v>500000000</v>
      </c>
      <c r="L232" s="12">
        <f t="shared" si="61"/>
        <v>53480000000</v>
      </c>
      <c r="M232" s="14">
        <f t="shared" si="56"/>
        <v>4.166666666666667</v>
      </c>
      <c r="N232" s="11" t="str">
        <f t="shared" si="57"/>
        <v>CAP-1 — Healthy</v>
      </c>
      <c r="O232" s="12">
        <f t="shared" si="62"/>
        <v>755061600000</v>
      </c>
      <c r="P232" s="12">
        <f t="shared" si="63"/>
        <v>15573145500</v>
      </c>
      <c r="Q232" s="12">
        <f t="shared" si="64"/>
        <v>18071572559.545296</v>
      </c>
    </row>
    <row r="233" spans="1:17" x14ac:dyDescent="0.25">
      <c r="A233" s="7">
        <v>200</v>
      </c>
      <c r="B233" s="8">
        <f t="shared" si="58"/>
        <v>50000</v>
      </c>
      <c r="C233" s="8">
        <f t="shared" si="59"/>
        <v>5398000</v>
      </c>
      <c r="D233" s="8">
        <f t="shared" si="49"/>
        <v>4000</v>
      </c>
      <c r="E233" s="9">
        <f t="shared" si="50"/>
        <v>0.6</v>
      </c>
      <c r="F233" s="8">
        <f t="shared" si="51"/>
        <v>12955200000</v>
      </c>
      <c r="G233" s="8">
        <f t="shared" si="52"/>
        <v>534402000</v>
      </c>
      <c r="H233" s="8">
        <f t="shared" si="53"/>
        <v>267201000</v>
      </c>
      <c r="I233" s="8">
        <f t="shared" si="54"/>
        <v>267201000</v>
      </c>
      <c r="J233" s="8">
        <f t="shared" si="60"/>
        <v>60238575.198484324</v>
      </c>
      <c r="K233" s="8">
        <f t="shared" si="55"/>
        <v>500000000</v>
      </c>
      <c r="L233" s="8">
        <f t="shared" si="61"/>
        <v>53980000000</v>
      </c>
      <c r="M233" s="10">
        <f t="shared" si="56"/>
        <v>4.166666666666667</v>
      </c>
      <c r="N233" s="7" t="str">
        <f t="shared" si="57"/>
        <v>CAP-1 — Healthy</v>
      </c>
      <c r="O233" s="8">
        <f t="shared" si="62"/>
        <v>768016800000</v>
      </c>
      <c r="P233" s="8">
        <f t="shared" si="63"/>
        <v>15840346500</v>
      </c>
      <c r="Q233" s="8">
        <f t="shared" si="64"/>
        <v>18399012134.743778</v>
      </c>
    </row>
    <row r="234" spans="1:17" x14ac:dyDescent="0.25">
      <c r="A234" s="11">
        <v>201</v>
      </c>
      <c r="B234" s="12">
        <f t="shared" si="58"/>
        <v>50000</v>
      </c>
      <c r="C234" s="12">
        <f t="shared" si="59"/>
        <v>5448000</v>
      </c>
      <c r="D234" s="12">
        <f t="shared" si="49"/>
        <v>4000</v>
      </c>
      <c r="E234" s="13">
        <f t="shared" si="50"/>
        <v>0.6</v>
      </c>
      <c r="F234" s="12">
        <f t="shared" si="51"/>
        <v>13075200000</v>
      </c>
      <c r="G234" s="12">
        <f t="shared" si="52"/>
        <v>539352000</v>
      </c>
      <c r="H234" s="12">
        <f t="shared" si="53"/>
        <v>269676000</v>
      </c>
      <c r="I234" s="12">
        <f t="shared" si="54"/>
        <v>269676000</v>
      </c>
      <c r="J234" s="12">
        <f t="shared" si="60"/>
        <v>61330040.449145928</v>
      </c>
      <c r="K234" s="12">
        <f t="shared" si="55"/>
        <v>500000000</v>
      </c>
      <c r="L234" s="12">
        <f t="shared" si="61"/>
        <v>54480000000</v>
      </c>
      <c r="M234" s="14">
        <f t="shared" si="56"/>
        <v>4.166666666666667</v>
      </c>
      <c r="N234" s="11" t="str">
        <f t="shared" si="57"/>
        <v>CAP-1 — Healthy</v>
      </c>
      <c r="O234" s="12">
        <f t="shared" si="62"/>
        <v>781092000000</v>
      </c>
      <c r="P234" s="12">
        <f t="shared" si="63"/>
        <v>16110022500</v>
      </c>
      <c r="Q234" s="12">
        <f t="shared" si="64"/>
        <v>18730018175.192924</v>
      </c>
    </row>
    <row r="235" spans="1:17" x14ac:dyDescent="0.25">
      <c r="A235" s="7">
        <v>202</v>
      </c>
      <c r="B235" s="8">
        <f t="shared" si="58"/>
        <v>50000</v>
      </c>
      <c r="C235" s="8">
        <f t="shared" si="59"/>
        <v>5498000</v>
      </c>
      <c r="D235" s="8">
        <f t="shared" si="49"/>
        <v>4000</v>
      </c>
      <c r="E235" s="9">
        <f t="shared" si="50"/>
        <v>0.6</v>
      </c>
      <c r="F235" s="8">
        <f t="shared" si="51"/>
        <v>13195200000</v>
      </c>
      <c r="G235" s="8">
        <f t="shared" si="52"/>
        <v>544302000</v>
      </c>
      <c r="H235" s="8">
        <f t="shared" si="53"/>
        <v>272151000</v>
      </c>
      <c r="I235" s="8">
        <f t="shared" si="54"/>
        <v>272151000</v>
      </c>
      <c r="J235" s="8">
        <f t="shared" si="60"/>
        <v>62433393.917309754</v>
      </c>
      <c r="K235" s="8">
        <f t="shared" si="55"/>
        <v>500000000</v>
      </c>
      <c r="L235" s="8">
        <f t="shared" si="61"/>
        <v>54980000000</v>
      </c>
      <c r="M235" s="10">
        <f t="shared" si="56"/>
        <v>4.166666666666667</v>
      </c>
      <c r="N235" s="7" t="str">
        <f t="shared" si="57"/>
        <v>CAP-1 — Healthy</v>
      </c>
      <c r="O235" s="8">
        <f t="shared" si="62"/>
        <v>794287200000</v>
      </c>
      <c r="P235" s="8">
        <f t="shared" si="63"/>
        <v>16382173500</v>
      </c>
      <c r="Q235" s="8">
        <f t="shared" si="64"/>
        <v>19064602569.110233</v>
      </c>
    </row>
    <row r="236" spans="1:17" x14ac:dyDescent="0.25">
      <c r="A236" s="11">
        <v>203</v>
      </c>
      <c r="B236" s="12">
        <f t="shared" si="58"/>
        <v>50000</v>
      </c>
      <c r="C236" s="12">
        <f t="shared" si="59"/>
        <v>5548000</v>
      </c>
      <c r="D236" s="12">
        <f t="shared" si="49"/>
        <v>4000</v>
      </c>
      <c r="E236" s="13">
        <f t="shared" si="50"/>
        <v>0.6</v>
      </c>
      <c r="F236" s="12">
        <f t="shared" si="51"/>
        <v>13315200000</v>
      </c>
      <c r="G236" s="12">
        <f t="shared" si="52"/>
        <v>549252000</v>
      </c>
      <c r="H236" s="12">
        <f t="shared" si="53"/>
        <v>274626000</v>
      </c>
      <c r="I236" s="12">
        <f t="shared" si="54"/>
        <v>274626000</v>
      </c>
      <c r="J236" s="12">
        <f t="shared" si="60"/>
        <v>63548675.230367452</v>
      </c>
      <c r="K236" s="12">
        <f t="shared" si="55"/>
        <v>500000000</v>
      </c>
      <c r="L236" s="12">
        <f t="shared" si="61"/>
        <v>55480000000</v>
      </c>
      <c r="M236" s="14">
        <f t="shared" si="56"/>
        <v>4.166666666666667</v>
      </c>
      <c r="N236" s="11" t="str">
        <f t="shared" si="57"/>
        <v>CAP-1 — Healthy</v>
      </c>
      <c r="O236" s="12">
        <f t="shared" si="62"/>
        <v>807602400000</v>
      </c>
      <c r="P236" s="12">
        <f t="shared" si="63"/>
        <v>16656799500</v>
      </c>
      <c r="Q236" s="12">
        <f t="shared" si="64"/>
        <v>19402777244.340599</v>
      </c>
    </row>
    <row r="237" spans="1:17" x14ac:dyDescent="0.25">
      <c r="A237" s="7">
        <v>204</v>
      </c>
      <c r="B237" s="8">
        <f t="shared" si="58"/>
        <v>50000</v>
      </c>
      <c r="C237" s="8">
        <f t="shared" si="59"/>
        <v>5598000</v>
      </c>
      <c r="D237" s="8">
        <f t="shared" si="49"/>
        <v>4000</v>
      </c>
      <c r="E237" s="9">
        <f t="shared" si="50"/>
        <v>0.6</v>
      </c>
      <c r="F237" s="8">
        <f t="shared" si="51"/>
        <v>13435200000</v>
      </c>
      <c r="G237" s="8">
        <f t="shared" si="52"/>
        <v>554202000</v>
      </c>
      <c r="H237" s="8">
        <f t="shared" si="53"/>
        <v>277101000</v>
      </c>
      <c r="I237" s="8">
        <f t="shared" si="54"/>
        <v>277101000</v>
      </c>
      <c r="J237" s="8">
        <f t="shared" si="60"/>
        <v>64675924.147802003</v>
      </c>
      <c r="K237" s="8">
        <f t="shared" si="55"/>
        <v>500000000</v>
      </c>
      <c r="L237" s="8">
        <f t="shared" si="61"/>
        <v>55980000000</v>
      </c>
      <c r="M237" s="10">
        <f t="shared" si="56"/>
        <v>4.166666666666667</v>
      </c>
      <c r="N237" s="7" t="str">
        <f t="shared" si="57"/>
        <v>CAP-1 — Healthy</v>
      </c>
      <c r="O237" s="8">
        <f t="shared" si="62"/>
        <v>821037600000</v>
      </c>
      <c r="P237" s="8">
        <f t="shared" si="63"/>
        <v>16933900500</v>
      </c>
      <c r="Q237" s="8">
        <f t="shared" si="64"/>
        <v>19744554168.4884</v>
      </c>
    </row>
    <row r="238" spans="1:17" x14ac:dyDescent="0.25">
      <c r="A238" s="11">
        <v>205</v>
      </c>
      <c r="B238" s="12">
        <f t="shared" si="58"/>
        <v>50000</v>
      </c>
      <c r="C238" s="12">
        <f t="shared" si="59"/>
        <v>5648000</v>
      </c>
      <c r="D238" s="12">
        <f t="shared" si="49"/>
        <v>4000</v>
      </c>
      <c r="E238" s="13">
        <f t="shared" si="50"/>
        <v>0.6</v>
      </c>
      <c r="F238" s="12">
        <f t="shared" si="51"/>
        <v>13555200000</v>
      </c>
      <c r="G238" s="12">
        <f t="shared" si="52"/>
        <v>559152000</v>
      </c>
      <c r="H238" s="12">
        <f t="shared" si="53"/>
        <v>279576000</v>
      </c>
      <c r="I238" s="12">
        <f t="shared" si="54"/>
        <v>279576000</v>
      </c>
      <c r="J238" s="12">
        <f t="shared" si="60"/>
        <v>65815180.561627999</v>
      </c>
      <c r="K238" s="12">
        <f t="shared" si="55"/>
        <v>500000000</v>
      </c>
      <c r="L238" s="12">
        <f t="shared" si="61"/>
        <v>56480000000</v>
      </c>
      <c r="M238" s="14">
        <f t="shared" si="56"/>
        <v>4.166666666666667</v>
      </c>
      <c r="N238" s="11" t="str">
        <f t="shared" si="57"/>
        <v>CAP-1 — Healthy</v>
      </c>
      <c r="O238" s="12">
        <f t="shared" si="62"/>
        <v>834592800000</v>
      </c>
      <c r="P238" s="12">
        <f t="shared" si="63"/>
        <v>17213476500</v>
      </c>
      <c r="Q238" s="12">
        <f t="shared" si="64"/>
        <v>20089945349.050026</v>
      </c>
    </row>
    <row r="239" spans="1:17" x14ac:dyDescent="0.25">
      <c r="A239" s="7">
        <v>206</v>
      </c>
      <c r="B239" s="8">
        <f t="shared" si="58"/>
        <v>50000</v>
      </c>
      <c r="C239" s="8">
        <f t="shared" si="59"/>
        <v>5698000</v>
      </c>
      <c r="D239" s="8">
        <f t="shared" si="49"/>
        <v>4000</v>
      </c>
      <c r="E239" s="9">
        <f t="shared" si="50"/>
        <v>0.6</v>
      </c>
      <c r="F239" s="8">
        <f t="shared" si="51"/>
        <v>13675200000</v>
      </c>
      <c r="G239" s="8">
        <f t="shared" si="52"/>
        <v>564102000</v>
      </c>
      <c r="H239" s="8">
        <f t="shared" si="53"/>
        <v>282051000</v>
      </c>
      <c r="I239" s="8">
        <f t="shared" si="54"/>
        <v>282051000</v>
      </c>
      <c r="J239" s="8">
        <f t="shared" si="60"/>
        <v>66966484.496833421</v>
      </c>
      <c r="K239" s="8">
        <f t="shared" si="55"/>
        <v>500000000</v>
      </c>
      <c r="L239" s="8">
        <f t="shared" si="61"/>
        <v>56980000000</v>
      </c>
      <c r="M239" s="10">
        <f t="shared" si="56"/>
        <v>4.166666666666667</v>
      </c>
      <c r="N239" s="7" t="str">
        <f t="shared" si="57"/>
        <v>CAP-1 — Healthy</v>
      </c>
      <c r="O239" s="8">
        <f t="shared" si="62"/>
        <v>848268000000</v>
      </c>
      <c r="P239" s="8">
        <f t="shared" si="63"/>
        <v>17495527500</v>
      </c>
      <c r="Q239" s="8">
        <f t="shared" si="64"/>
        <v>20438962833.54686</v>
      </c>
    </row>
    <row r="240" spans="1:17" x14ac:dyDescent="0.25">
      <c r="A240" s="11">
        <v>207</v>
      </c>
      <c r="B240" s="12">
        <f t="shared" si="58"/>
        <v>50000</v>
      </c>
      <c r="C240" s="12">
        <f t="shared" si="59"/>
        <v>5748000</v>
      </c>
      <c r="D240" s="12">
        <f t="shared" si="49"/>
        <v>4000</v>
      </c>
      <c r="E240" s="13">
        <f t="shared" si="50"/>
        <v>0.6</v>
      </c>
      <c r="F240" s="12">
        <f t="shared" si="51"/>
        <v>13795200000</v>
      </c>
      <c r="G240" s="12">
        <f t="shared" si="52"/>
        <v>569052000</v>
      </c>
      <c r="H240" s="12">
        <f t="shared" si="53"/>
        <v>284526000</v>
      </c>
      <c r="I240" s="12">
        <f t="shared" si="54"/>
        <v>284526000</v>
      </c>
      <c r="J240" s="12">
        <f t="shared" si="60"/>
        <v>68129876.111822873</v>
      </c>
      <c r="K240" s="12">
        <f t="shared" si="55"/>
        <v>500000000</v>
      </c>
      <c r="L240" s="12">
        <f t="shared" si="61"/>
        <v>57480000000</v>
      </c>
      <c r="M240" s="14">
        <f t="shared" si="56"/>
        <v>4.166666666666667</v>
      </c>
      <c r="N240" s="11" t="str">
        <f t="shared" si="57"/>
        <v>CAP-1 — Healthy</v>
      </c>
      <c r="O240" s="12">
        <f t="shared" si="62"/>
        <v>862063200000</v>
      </c>
      <c r="P240" s="12">
        <f t="shared" si="63"/>
        <v>17780053500</v>
      </c>
      <c r="Q240" s="12">
        <f t="shared" si="64"/>
        <v>20791618709.658684</v>
      </c>
    </row>
    <row r="241" spans="1:17" x14ac:dyDescent="0.25">
      <c r="A241" s="7">
        <v>208</v>
      </c>
      <c r="B241" s="8">
        <f t="shared" si="58"/>
        <v>50000</v>
      </c>
      <c r="C241" s="8">
        <f t="shared" si="59"/>
        <v>5798000</v>
      </c>
      <c r="D241" s="8">
        <f t="shared" si="49"/>
        <v>4000</v>
      </c>
      <c r="E241" s="9">
        <f t="shared" si="50"/>
        <v>0.6</v>
      </c>
      <c r="F241" s="8">
        <f t="shared" si="51"/>
        <v>13915200000</v>
      </c>
      <c r="G241" s="8">
        <f t="shared" si="52"/>
        <v>574002000</v>
      </c>
      <c r="H241" s="8">
        <f t="shared" si="53"/>
        <v>287001000</v>
      </c>
      <c r="I241" s="8">
        <f t="shared" si="54"/>
        <v>287001000</v>
      </c>
      <c r="J241" s="8">
        <f t="shared" si="60"/>
        <v>69305395.698862284</v>
      </c>
      <c r="K241" s="8">
        <f t="shared" si="55"/>
        <v>500000000</v>
      </c>
      <c r="L241" s="8">
        <f t="shared" si="61"/>
        <v>57980000000</v>
      </c>
      <c r="M241" s="10">
        <f t="shared" si="56"/>
        <v>4.166666666666667</v>
      </c>
      <c r="N241" s="7" t="str">
        <f t="shared" si="57"/>
        <v>CAP-1 — Healthy</v>
      </c>
      <c r="O241" s="8">
        <f t="shared" si="62"/>
        <v>875978400000</v>
      </c>
      <c r="P241" s="8">
        <f t="shared" si="63"/>
        <v>18067054500</v>
      </c>
      <c r="Q241" s="8">
        <f t="shared" si="64"/>
        <v>21147925105.357548</v>
      </c>
    </row>
    <row r="242" spans="1:17" x14ac:dyDescent="0.25">
      <c r="A242" s="11">
        <v>209</v>
      </c>
      <c r="B242" s="12">
        <f t="shared" si="58"/>
        <v>50000</v>
      </c>
      <c r="C242" s="12">
        <f t="shared" si="59"/>
        <v>5848000</v>
      </c>
      <c r="D242" s="12">
        <f t="shared" si="49"/>
        <v>4000</v>
      </c>
      <c r="E242" s="13">
        <f t="shared" si="50"/>
        <v>0.6</v>
      </c>
      <c r="F242" s="12">
        <f t="shared" si="51"/>
        <v>14035200000</v>
      </c>
      <c r="G242" s="12">
        <f t="shared" si="52"/>
        <v>578952000</v>
      </c>
      <c r="H242" s="12">
        <f t="shared" si="53"/>
        <v>289476000</v>
      </c>
      <c r="I242" s="12">
        <f t="shared" si="54"/>
        <v>289476000</v>
      </c>
      <c r="J242" s="12">
        <f t="shared" si="60"/>
        <v>70493083.684525162</v>
      </c>
      <c r="K242" s="12">
        <f t="shared" si="55"/>
        <v>500000000</v>
      </c>
      <c r="L242" s="12">
        <f t="shared" si="61"/>
        <v>58480000000</v>
      </c>
      <c r="M242" s="14">
        <f t="shared" si="56"/>
        <v>4.166666666666667</v>
      </c>
      <c r="N242" s="11" t="str">
        <f t="shared" si="57"/>
        <v>CAP-1 — Healthy</v>
      </c>
      <c r="O242" s="12">
        <f t="shared" si="62"/>
        <v>890013600000</v>
      </c>
      <c r="P242" s="12">
        <f t="shared" si="63"/>
        <v>18356530500</v>
      </c>
      <c r="Q242" s="12">
        <f t="shared" si="64"/>
        <v>21507894189.042072</v>
      </c>
    </row>
    <row r="243" spans="1:17" x14ac:dyDescent="0.25">
      <c r="A243" s="7">
        <v>210</v>
      </c>
      <c r="B243" s="8">
        <f t="shared" si="58"/>
        <v>50000</v>
      </c>
      <c r="C243" s="8">
        <f t="shared" si="59"/>
        <v>5898000</v>
      </c>
      <c r="D243" s="8">
        <f t="shared" si="49"/>
        <v>4000</v>
      </c>
      <c r="E243" s="9">
        <f t="shared" si="50"/>
        <v>0.6</v>
      </c>
      <c r="F243" s="8">
        <f t="shared" si="51"/>
        <v>14155200000</v>
      </c>
      <c r="G243" s="8">
        <f t="shared" si="52"/>
        <v>583902000</v>
      </c>
      <c r="H243" s="8">
        <f t="shared" si="53"/>
        <v>291951000</v>
      </c>
      <c r="I243" s="8">
        <f t="shared" si="54"/>
        <v>291951000</v>
      </c>
      <c r="J243" s="8">
        <f t="shared" si="60"/>
        <v>71692980.630140245</v>
      </c>
      <c r="K243" s="8">
        <f t="shared" si="55"/>
        <v>500000000</v>
      </c>
      <c r="L243" s="8">
        <f t="shared" si="61"/>
        <v>58980000000</v>
      </c>
      <c r="M243" s="10">
        <f t="shared" si="56"/>
        <v>4.166666666666667</v>
      </c>
      <c r="N243" s="7" t="str">
        <f t="shared" si="57"/>
        <v>CAP-1 — Healthy</v>
      </c>
      <c r="O243" s="8">
        <f t="shared" si="62"/>
        <v>904168800000</v>
      </c>
      <c r="P243" s="8">
        <f t="shared" si="63"/>
        <v>18648481500</v>
      </c>
      <c r="Q243" s="8">
        <f t="shared" si="64"/>
        <v>21871538169.672211</v>
      </c>
    </row>
    <row r="244" spans="1:17" x14ac:dyDescent="0.25">
      <c r="A244" s="11">
        <v>211</v>
      </c>
      <c r="B244" s="12">
        <f t="shared" si="58"/>
        <v>50000</v>
      </c>
      <c r="C244" s="12">
        <f t="shared" si="59"/>
        <v>5948000</v>
      </c>
      <c r="D244" s="12">
        <f t="shared" si="49"/>
        <v>4000</v>
      </c>
      <c r="E244" s="13">
        <f t="shared" si="50"/>
        <v>0.6</v>
      </c>
      <c r="F244" s="12">
        <f t="shared" si="51"/>
        <v>14275200000</v>
      </c>
      <c r="G244" s="12">
        <f t="shared" si="52"/>
        <v>588852000</v>
      </c>
      <c r="H244" s="12">
        <f t="shared" si="53"/>
        <v>294426000</v>
      </c>
      <c r="I244" s="12">
        <f t="shared" si="54"/>
        <v>294426000</v>
      </c>
      <c r="J244" s="12">
        <f t="shared" si="60"/>
        <v>72905127.232240707</v>
      </c>
      <c r="K244" s="12">
        <f t="shared" si="55"/>
        <v>500000000</v>
      </c>
      <c r="L244" s="12">
        <f t="shared" si="61"/>
        <v>59480000000</v>
      </c>
      <c r="M244" s="14">
        <f t="shared" si="56"/>
        <v>4.166666666666667</v>
      </c>
      <c r="N244" s="11" t="str">
        <f t="shared" si="57"/>
        <v>CAP-1 — Healthy</v>
      </c>
      <c r="O244" s="12">
        <f t="shared" si="62"/>
        <v>918444000000</v>
      </c>
      <c r="P244" s="12">
        <f t="shared" si="63"/>
        <v>18942907500</v>
      </c>
      <c r="Q244" s="12">
        <f t="shared" si="64"/>
        <v>22238869296.904453</v>
      </c>
    </row>
    <row r="245" spans="1:17" x14ac:dyDescent="0.25">
      <c r="A245" s="7">
        <v>212</v>
      </c>
      <c r="B245" s="8">
        <f t="shared" si="58"/>
        <v>50000</v>
      </c>
      <c r="C245" s="8">
        <f t="shared" si="59"/>
        <v>5998000</v>
      </c>
      <c r="D245" s="8">
        <f t="shared" si="49"/>
        <v>4000</v>
      </c>
      <c r="E245" s="9">
        <f t="shared" si="50"/>
        <v>0.6</v>
      </c>
      <c r="F245" s="8">
        <f t="shared" si="51"/>
        <v>14395200000</v>
      </c>
      <c r="G245" s="8">
        <f t="shared" si="52"/>
        <v>593802000</v>
      </c>
      <c r="H245" s="8">
        <f t="shared" si="53"/>
        <v>296901000</v>
      </c>
      <c r="I245" s="8">
        <f t="shared" si="54"/>
        <v>296901000</v>
      </c>
      <c r="J245" s="8">
        <f t="shared" si="60"/>
        <v>74129564.323014855</v>
      </c>
      <c r="K245" s="8">
        <f t="shared" si="55"/>
        <v>500000000</v>
      </c>
      <c r="L245" s="8">
        <f t="shared" si="61"/>
        <v>59980000000</v>
      </c>
      <c r="M245" s="10">
        <f t="shared" si="56"/>
        <v>4.166666666666667</v>
      </c>
      <c r="N245" s="7" t="str">
        <f t="shared" si="57"/>
        <v>CAP-1 — Healthy</v>
      </c>
      <c r="O245" s="8">
        <f t="shared" si="62"/>
        <v>932839200000</v>
      </c>
      <c r="P245" s="8">
        <f t="shared" si="63"/>
        <v>19239808500</v>
      </c>
      <c r="Q245" s="8">
        <f t="shared" si="64"/>
        <v>22609899861.227467</v>
      </c>
    </row>
    <row r="246" spans="1:17" x14ac:dyDescent="0.25">
      <c r="A246" s="11">
        <v>213</v>
      </c>
      <c r="B246" s="12">
        <f t="shared" si="58"/>
        <v>50000</v>
      </c>
      <c r="C246" s="12">
        <f t="shared" si="59"/>
        <v>6048000</v>
      </c>
      <c r="D246" s="12">
        <f t="shared" si="49"/>
        <v>4000</v>
      </c>
      <c r="E246" s="13">
        <f t="shared" si="50"/>
        <v>0.6</v>
      </c>
      <c r="F246" s="12">
        <f t="shared" si="51"/>
        <v>14515200000</v>
      </c>
      <c r="G246" s="12">
        <f t="shared" si="52"/>
        <v>598752000</v>
      </c>
      <c r="H246" s="12">
        <f t="shared" si="53"/>
        <v>299376000</v>
      </c>
      <c r="I246" s="12">
        <f t="shared" si="54"/>
        <v>299376000</v>
      </c>
      <c r="J246" s="12">
        <f t="shared" si="60"/>
        <v>75366332.870758221</v>
      </c>
      <c r="K246" s="12">
        <f t="shared" si="55"/>
        <v>500000000</v>
      </c>
      <c r="L246" s="12">
        <f t="shared" si="61"/>
        <v>60480000000</v>
      </c>
      <c r="M246" s="14">
        <f t="shared" si="56"/>
        <v>4.166666666666667</v>
      </c>
      <c r="N246" s="11" t="str">
        <f t="shared" si="57"/>
        <v>CAP-1 — Healthy</v>
      </c>
      <c r="O246" s="12">
        <f t="shared" si="62"/>
        <v>947354400000</v>
      </c>
      <c r="P246" s="12">
        <f t="shared" si="63"/>
        <v>19539184500</v>
      </c>
      <c r="Q246" s="12">
        <f t="shared" si="64"/>
        <v>22984642194.098225</v>
      </c>
    </row>
    <row r="247" spans="1:17" x14ac:dyDescent="0.25">
      <c r="A247" s="7">
        <v>214</v>
      </c>
      <c r="B247" s="8">
        <f t="shared" si="58"/>
        <v>50000</v>
      </c>
      <c r="C247" s="8">
        <f t="shared" si="59"/>
        <v>6098000</v>
      </c>
      <c r="D247" s="8">
        <f t="shared" si="49"/>
        <v>4000</v>
      </c>
      <c r="E247" s="9">
        <f t="shared" si="50"/>
        <v>0.6</v>
      </c>
      <c r="F247" s="8">
        <f t="shared" si="51"/>
        <v>14635200000</v>
      </c>
      <c r="G247" s="8">
        <f t="shared" si="52"/>
        <v>603702000</v>
      </c>
      <c r="H247" s="8">
        <f t="shared" si="53"/>
        <v>301851000</v>
      </c>
      <c r="I247" s="8">
        <f t="shared" si="54"/>
        <v>301851000</v>
      </c>
      <c r="J247" s="8">
        <f t="shared" si="60"/>
        <v>76615473.980327427</v>
      </c>
      <c r="K247" s="8">
        <f t="shared" si="55"/>
        <v>500000000</v>
      </c>
      <c r="L247" s="8">
        <f t="shared" si="61"/>
        <v>60980000000</v>
      </c>
      <c r="M247" s="10">
        <f t="shared" si="56"/>
        <v>4.166666666666667</v>
      </c>
      <c r="N247" s="7" t="str">
        <f t="shared" si="57"/>
        <v>CAP-1 — Healthy</v>
      </c>
      <c r="O247" s="8">
        <f t="shared" si="62"/>
        <v>961989600000</v>
      </c>
      <c r="P247" s="8">
        <f t="shared" si="63"/>
        <v>19841035500</v>
      </c>
      <c r="Q247" s="8">
        <f t="shared" si="64"/>
        <v>23363108668.078552</v>
      </c>
    </row>
    <row r="248" spans="1:17" x14ac:dyDescent="0.25">
      <c r="A248" s="11">
        <v>215</v>
      </c>
      <c r="B248" s="12">
        <f t="shared" si="58"/>
        <v>50000</v>
      </c>
      <c r="C248" s="12">
        <f t="shared" si="59"/>
        <v>6148000</v>
      </c>
      <c r="D248" s="12">
        <f t="shared" si="49"/>
        <v>4000</v>
      </c>
      <c r="E248" s="13">
        <f t="shared" si="50"/>
        <v>0.6</v>
      </c>
      <c r="F248" s="12">
        <f t="shared" si="51"/>
        <v>14755200000</v>
      </c>
      <c r="G248" s="12">
        <f t="shared" si="52"/>
        <v>608652000</v>
      </c>
      <c r="H248" s="12">
        <f t="shared" si="53"/>
        <v>304326000</v>
      </c>
      <c r="I248" s="12">
        <f t="shared" si="54"/>
        <v>304326000</v>
      </c>
      <c r="J248" s="12">
        <f t="shared" si="60"/>
        <v>77877028.893595174</v>
      </c>
      <c r="K248" s="12">
        <f t="shared" si="55"/>
        <v>500000000</v>
      </c>
      <c r="L248" s="12">
        <f t="shared" si="61"/>
        <v>61480000000</v>
      </c>
      <c r="M248" s="14">
        <f t="shared" si="56"/>
        <v>4.166666666666667</v>
      </c>
      <c r="N248" s="11" t="str">
        <f t="shared" si="57"/>
        <v>CAP-1 — Healthy</v>
      </c>
      <c r="O248" s="12">
        <f t="shared" si="62"/>
        <v>976744800000</v>
      </c>
      <c r="P248" s="12">
        <f t="shared" si="63"/>
        <v>20145361500</v>
      </c>
      <c r="Q248" s="12">
        <f t="shared" si="64"/>
        <v>23745311696.972149</v>
      </c>
    </row>
    <row r="249" spans="1:17" x14ac:dyDescent="0.25">
      <c r="A249" s="7">
        <v>216</v>
      </c>
      <c r="B249" s="8">
        <f t="shared" si="58"/>
        <v>50000</v>
      </c>
      <c r="C249" s="8">
        <f t="shared" si="59"/>
        <v>6198000</v>
      </c>
      <c r="D249" s="8">
        <f t="shared" si="49"/>
        <v>4000</v>
      </c>
      <c r="E249" s="9">
        <f t="shared" si="50"/>
        <v>0.6</v>
      </c>
      <c r="F249" s="8">
        <f t="shared" si="51"/>
        <v>14875200000</v>
      </c>
      <c r="G249" s="8">
        <f t="shared" si="52"/>
        <v>613602000</v>
      </c>
      <c r="H249" s="8">
        <f t="shared" si="53"/>
        <v>306801000</v>
      </c>
      <c r="I249" s="8">
        <f t="shared" si="54"/>
        <v>306801000</v>
      </c>
      <c r="J249" s="8">
        <f t="shared" si="60"/>
        <v>79151038.989907175</v>
      </c>
      <c r="K249" s="8">
        <f t="shared" si="55"/>
        <v>500000000</v>
      </c>
      <c r="L249" s="8">
        <f t="shared" si="61"/>
        <v>61980000000</v>
      </c>
      <c r="M249" s="10">
        <f t="shared" si="56"/>
        <v>4.166666666666667</v>
      </c>
      <c r="N249" s="7" t="str">
        <f t="shared" si="57"/>
        <v>CAP-1 — Healthy</v>
      </c>
      <c r="O249" s="8">
        <f t="shared" si="62"/>
        <v>991620000000</v>
      </c>
      <c r="P249" s="8">
        <f t="shared" si="63"/>
        <v>20452162500</v>
      </c>
      <c r="Q249" s="8">
        <f t="shared" si="64"/>
        <v>24131263735.962055</v>
      </c>
    </row>
    <row r="250" spans="1:17" x14ac:dyDescent="0.25">
      <c r="A250" s="11">
        <v>217</v>
      </c>
      <c r="B250" s="12">
        <f t="shared" si="58"/>
        <v>50000</v>
      </c>
      <c r="C250" s="12">
        <f t="shared" si="59"/>
        <v>6248000</v>
      </c>
      <c r="D250" s="12">
        <f t="shared" si="49"/>
        <v>4000</v>
      </c>
      <c r="E250" s="13">
        <f t="shared" si="50"/>
        <v>0.6</v>
      </c>
      <c r="F250" s="12">
        <f t="shared" si="51"/>
        <v>14995200000</v>
      </c>
      <c r="G250" s="12">
        <f t="shared" si="52"/>
        <v>618552000</v>
      </c>
      <c r="H250" s="12">
        <f t="shared" si="53"/>
        <v>309276000</v>
      </c>
      <c r="I250" s="12">
        <f t="shared" si="54"/>
        <v>309276000</v>
      </c>
      <c r="J250" s="12">
        <f t="shared" si="60"/>
        <v>80437545.786540195</v>
      </c>
      <c r="K250" s="12">
        <f t="shared" si="55"/>
        <v>500000000</v>
      </c>
      <c r="L250" s="12">
        <f t="shared" si="61"/>
        <v>62480000000</v>
      </c>
      <c r="M250" s="14">
        <f t="shared" si="56"/>
        <v>4.166666666666667</v>
      </c>
      <c r="N250" s="11" t="str">
        <f t="shared" si="57"/>
        <v>CAP-1 — Healthy</v>
      </c>
      <c r="O250" s="12">
        <f t="shared" si="62"/>
        <v>1006615200000</v>
      </c>
      <c r="P250" s="12">
        <f t="shared" si="63"/>
        <v>20761438500</v>
      </c>
      <c r="Q250" s="12">
        <f t="shared" si="64"/>
        <v>24520977281.748596</v>
      </c>
    </row>
    <row r="251" spans="1:17" x14ac:dyDescent="0.25">
      <c r="A251" s="7">
        <v>218</v>
      </c>
      <c r="B251" s="8">
        <f t="shared" si="58"/>
        <v>50000</v>
      </c>
      <c r="C251" s="8">
        <f t="shared" si="59"/>
        <v>6298000</v>
      </c>
      <c r="D251" s="8">
        <f t="shared" si="49"/>
        <v>4000</v>
      </c>
      <c r="E251" s="9">
        <f t="shared" si="50"/>
        <v>0.6</v>
      </c>
      <c r="F251" s="8">
        <f t="shared" si="51"/>
        <v>15115200000</v>
      </c>
      <c r="G251" s="8">
        <f t="shared" si="52"/>
        <v>623502000</v>
      </c>
      <c r="H251" s="8">
        <f t="shared" si="53"/>
        <v>311751000</v>
      </c>
      <c r="I251" s="8">
        <f t="shared" si="54"/>
        <v>311751000</v>
      </c>
      <c r="J251" s="8">
        <f t="shared" si="60"/>
        <v>81736590.939161986</v>
      </c>
      <c r="K251" s="8">
        <f t="shared" si="55"/>
        <v>500000000</v>
      </c>
      <c r="L251" s="8">
        <f t="shared" si="61"/>
        <v>62980000000</v>
      </c>
      <c r="M251" s="10">
        <f t="shared" si="56"/>
        <v>4.166666666666667</v>
      </c>
      <c r="N251" s="7" t="str">
        <f t="shared" si="57"/>
        <v>CAP-1 — Healthy</v>
      </c>
      <c r="O251" s="8">
        <f t="shared" si="62"/>
        <v>1021730400000</v>
      </c>
      <c r="P251" s="8">
        <f t="shared" si="63"/>
        <v>21073189500</v>
      </c>
      <c r="Q251" s="8">
        <f t="shared" si="64"/>
        <v>24914464872.687759</v>
      </c>
    </row>
    <row r="252" spans="1:17" x14ac:dyDescent="0.25">
      <c r="A252" s="11">
        <v>219</v>
      </c>
      <c r="B252" s="12">
        <f t="shared" si="58"/>
        <v>50000</v>
      </c>
      <c r="C252" s="12">
        <f t="shared" si="59"/>
        <v>6348000</v>
      </c>
      <c r="D252" s="12">
        <f t="shared" si="49"/>
        <v>4000</v>
      </c>
      <c r="E252" s="13">
        <f t="shared" si="50"/>
        <v>0.6</v>
      </c>
      <c r="F252" s="12">
        <f t="shared" si="51"/>
        <v>15235200000</v>
      </c>
      <c r="G252" s="12">
        <f t="shared" si="52"/>
        <v>628452000</v>
      </c>
      <c r="H252" s="12">
        <f t="shared" si="53"/>
        <v>314226000</v>
      </c>
      <c r="I252" s="12">
        <f t="shared" si="54"/>
        <v>314226000</v>
      </c>
      <c r="J252" s="12">
        <f t="shared" si="60"/>
        <v>83048216.242292538</v>
      </c>
      <c r="K252" s="12">
        <f t="shared" si="55"/>
        <v>500000000</v>
      </c>
      <c r="L252" s="12">
        <f t="shared" si="61"/>
        <v>63480000000</v>
      </c>
      <c r="M252" s="14">
        <f t="shared" si="56"/>
        <v>4.166666666666667</v>
      </c>
      <c r="N252" s="11" t="str">
        <f t="shared" si="57"/>
        <v>CAP-1 — Healthy</v>
      </c>
      <c r="O252" s="12">
        <f t="shared" si="62"/>
        <v>1036965600000</v>
      </c>
      <c r="P252" s="12">
        <f t="shared" si="63"/>
        <v>21387415500</v>
      </c>
      <c r="Q252" s="12">
        <f t="shared" si="64"/>
        <v>25311739088.930054</v>
      </c>
    </row>
    <row r="253" spans="1:17" x14ac:dyDescent="0.25">
      <c r="A253" s="7">
        <v>220</v>
      </c>
      <c r="B253" s="8">
        <f t="shared" si="58"/>
        <v>50000</v>
      </c>
      <c r="C253" s="8">
        <f t="shared" si="59"/>
        <v>6398000</v>
      </c>
      <c r="D253" s="8">
        <f t="shared" si="49"/>
        <v>4000</v>
      </c>
      <c r="E253" s="9">
        <f t="shared" si="50"/>
        <v>0.6</v>
      </c>
      <c r="F253" s="8">
        <f t="shared" si="51"/>
        <v>15355200000</v>
      </c>
      <c r="G253" s="8">
        <f t="shared" si="52"/>
        <v>633402000</v>
      </c>
      <c r="H253" s="8">
        <f t="shared" si="53"/>
        <v>316701000</v>
      </c>
      <c r="I253" s="8">
        <f t="shared" si="54"/>
        <v>316701000</v>
      </c>
      <c r="J253" s="8">
        <f t="shared" si="60"/>
        <v>84372463.629766852</v>
      </c>
      <c r="K253" s="8">
        <f t="shared" si="55"/>
        <v>500000000</v>
      </c>
      <c r="L253" s="8">
        <f t="shared" si="61"/>
        <v>63980000000</v>
      </c>
      <c r="M253" s="10">
        <f t="shared" si="56"/>
        <v>4.166666666666667</v>
      </c>
      <c r="N253" s="7" t="str">
        <f t="shared" si="57"/>
        <v>CAP-1 — Healthy</v>
      </c>
      <c r="O253" s="8">
        <f t="shared" si="62"/>
        <v>1052320800000</v>
      </c>
      <c r="P253" s="8">
        <f t="shared" si="63"/>
        <v>21704116500</v>
      </c>
      <c r="Q253" s="8">
        <f t="shared" si="64"/>
        <v>25712812552.559822</v>
      </c>
    </row>
    <row r="254" spans="1:17" x14ac:dyDescent="0.25">
      <c r="A254" s="11">
        <v>221</v>
      </c>
      <c r="B254" s="12">
        <f t="shared" si="58"/>
        <v>50000</v>
      </c>
      <c r="C254" s="12">
        <f t="shared" si="59"/>
        <v>6448000</v>
      </c>
      <c r="D254" s="12">
        <f t="shared" si="49"/>
        <v>4000</v>
      </c>
      <c r="E254" s="13">
        <f t="shared" si="50"/>
        <v>0.6</v>
      </c>
      <c r="F254" s="12">
        <f t="shared" si="51"/>
        <v>15475200000</v>
      </c>
      <c r="G254" s="12">
        <f t="shared" si="52"/>
        <v>638352000</v>
      </c>
      <c r="H254" s="12">
        <f t="shared" si="53"/>
        <v>319176000</v>
      </c>
      <c r="I254" s="12">
        <f t="shared" si="54"/>
        <v>319176000</v>
      </c>
      <c r="J254" s="12">
        <f t="shared" si="60"/>
        <v>85709375.175199419</v>
      </c>
      <c r="K254" s="12">
        <f t="shared" si="55"/>
        <v>500000000</v>
      </c>
      <c r="L254" s="12">
        <f t="shared" si="61"/>
        <v>64480000000</v>
      </c>
      <c r="M254" s="14">
        <f t="shared" si="56"/>
        <v>4.166666666666667</v>
      </c>
      <c r="N254" s="11" t="str">
        <f t="shared" si="57"/>
        <v>CAP-1 — Healthy</v>
      </c>
      <c r="O254" s="12">
        <f t="shared" si="62"/>
        <v>1067796000000</v>
      </c>
      <c r="P254" s="12">
        <f t="shared" si="63"/>
        <v>22023292500</v>
      </c>
      <c r="Q254" s="12">
        <f t="shared" si="64"/>
        <v>26117697927.73502</v>
      </c>
    </row>
    <row r="255" spans="1:17" x14ac:dyDescent="0.25">
      <c r="A255" s="7">
        <v>222</v>
      </c>
      <c r="B255" s="8">
        <f t="shared" si="58"/>
        <v>50000</v>
      </c>
      <c r="C255" s="8">
        <f t="shared" si="59"/>
        <v>6498000</v>
      </c>
      <c r="D255" s="8">
        <f t="shared" si="49"/>
        <v>4000</v>
      </c>
      <c r="E255" s="9">
        <f t="shared" si="50"/>
        <v>0.6</v>
      </c>
      <c r="F255" s="8">
        <f t="shared" si="51"/>
        <v>15595200000</v>
      </c>
      <c r="G255" s="8">
        <f t="shared" si="52"/>
        <v>643302000</v>
      </c>
      <c r="H255" s="8">
        <f t="shared" si="53"/>
        <v>321651000</v>
      </c>
      <c r="I255" s="8">
        <f t="shared" si="54"/>
        <v>321651000</v>
      </c>
      <c r="J255" s="8">
        <f t="shared" si="60"/>
        <v>87058993.092450067</v>
      </c>
      <c r="K255" s="8">
        <f t="shared" si="55"/>
        <v>500000000</v>
      </c>
      <c r="L255" s="8">
        <f t="shared" si="61"/>
        <v>64980000000</v>
      </c>
      <c r="M255" s="10">
        <f t="shared" si="56"/>
        <v>4.166666666666667</v>
      </c>
      <c r="N255" s="7" t="str">
        <f t="shared" si="57"/>
        <v>CAP-1 — Healthy</v>
      </c>
      <c r="O255" s="8">
        <f t="shared" si="62"/>
        <v>1083391200000</v>
      </c>
      <c r="P255" s="8">
        <f t="shared" si="63"/>
        <v>22344943500</v>
      </c>
      <c r="Q255" s="8">
        <f t="shared" si="64"/>
        <v>26526407920.827469</v>
      </c>
    </row>
    <row r="256" spans="1:17" x14ac:dyDescent="0.25">
      <c r="A256" s="11">
        <v>223</v>
      </c>
      <c r="B256" s="12">
        <f t="shared" si="58"/>
        <v>50000</v>
      </c>
      <c r="C256" s="12">
        <f t="shared" si="59"/>
        <v>6548000</v>
      </c>
      <c r="D256" s="12">
        <f t="shared" si="49"/>
        <v>4000</v>
      </c>
      <c r="E256" s="13">
        <f t="shared" si="50"/>
        <v>0.6</v>
      </c>
      <c r="F256" s="12">
        <f t="shared" si="51"/>
        <v>15715200000</v>
      </c>
      <c r="G256" s="12">
        <f t="shared" si="52"/>
        <v>648252000</v>
      </c>
      <c r="H256" s="12">
        <f t="shared" si="53"/>
        <v>324126000</v>
      </c>
      <c r="I256" s="12">
        <f t="shared" si="54"/>
        <v>324126000</v>
      </c>
      <c r="J256" s="12">
        <f t="shared" si="60"/>
        <v>88421359.736091569</v>
      </c>
      <c r="K256" s="12">
        <f t="shared" si="55"/>
        <v>500000000</v>
      </c>
      <c r="L256" s="12">
        <f t="shared" si="61"/>
        <v>65480000000</v>
      </c>
      <c r="M256" s="14">
        <f t="shared" si="56"/>
        <v>4.166666666666667</v>
      </c>
      <c r="N256" s="11" t="str">
        <f t="shared" si="57"/>
        <v>CAP-1 — Healthy</v>
      </c>
      <c r="O256" s="12">
        <f t="shared" si="62"/>
        <v>1099106400000</v>
      </c>
      <c r="P256" s="12">
        <f t="shared" si="63"/>
        <v>22669069500</v>
      </c>
      <c r="Q256" s="12">
        <f t="shared" si="64"/>
        <v>26938955280.56356</v>
      </c>
    </row>
    <row r="257" spans="1:17" x14ac:dyDescent="0.25">
      <c r="A257" s="7">
        <v>224</v>
      </c>
      <c r="B257" s="8">
        <f t="shared" si="58"/>
        <v>50000</v>
      </c>
      <c r="C257" s="8">
        <f t="shared" si="59"/>
        <v>6598000</v>
      </c>
      <c r="D257" s="8">
        <f t="shared" si="49"/>
        <v>4000</v>
      </c>
      <c r="E257" s="9">
        <f t="shared" si="50"/>
        <v>0.6</v>
      </c>
      <c r="F257" s="8">
        <f t="shared" si="51"/>
        <v>15835200000</v>
      </c>
      <c r="G257" s="8">
        <f t="shared" si="52"/>
        <v>653202000</v>
      </c>
      <c r="H257" s="8">
        <f t="shared" si="53"/>
        <v>326601000</v>
      </c>
      <c r="I257" s="8">
        <f t="shared" si="54"/>
        <v>326601000</v>
      </c>
      <c r="J257" s="8">
        <f t="shared" si="60"/>
        <v>89796517.601878539</v>
      </c>
      <c r="K257" s="8">
        <f t="shared" si="55"/>
        <v>500000000</v>
      </c>
      <c r="L257" s="8">
        <f t="shared" si="61"/>
        <v>65980000000</v>
      </c>
      <c r="M257" s="10">
        <f t="shared" si="56"/>
        <v>4.166666666666667</v>
      </c>
      <c r="N257" s="7" t="str">
        <f t="shared" si="57"/>
        <v>CAP-1 — Healthy</v>
      </c>
      <c r="O257" s="8">
        <f t="shared" si="62"/>
        <v>1114941600000</v>
      </c>
      <c r="P257" s="8">
        <f t="shared" si="63"/>
        <v>22995670500</v>
      </c>
      <c r="Q257" s="8">
        <f t="shared" si="64"/>
        <v>27355352798.16544</v>
      </c>
    </row>
    <row r="258" spans="1:17" x14ac:dyDescent="0.25">
      <c r="A258" s="11">
        <v>225</v>
      </c>
      <c r="B258" s="12">
        <f t="shared" si="58"/>
        <v>50000</v>
      </c>
      <c r="C258" s="12">
        <f t="shared" si="59"/>
        <v>6648000</v>
      </c>
      <c r="D258" s="12">
        <f t="shared" si="49"/>
        <v>4000</v>
      </c>
      <c r="E258" s="13">
        <f t="shared" si="50"/>
        <v>0.6</v>
      </c>
      <c r="F258" s="12">
        <f t="shared" si="51"/>
        <v>15955200000</v>
      </c>
      <c r="G258" s="12">
        <f t="shared" si="52"/>
        <v>658152000</v>
      </c>
      <c r="H258" s="12">
        <f t="shared" si="53"/>
        <v>329076000</v>
      </c>
      <c r="I258" s="12">
        <f t="shared" si="54"/>
        <v>329076000</v>
      </c>
      <c r="J258" s="12">
        <f t="shared" si="60"/>
        <v>91184509.327218145</v>
      </c>
      <c r="K258" s="12">
        <f t="shared" si="55"/>
        <v>500000000</v>
      </c>
      <c r="L258" s="12">
        <f t="shared" si="61"/>
        <v>66480000000</v>
      </c>
      <c r="M258" s="14">
        <f t="shared" si="56"/>
        <v>4.166666666666667</v>
      </c>
      <c r="N258" s="11" t="str">
        <f t="shared" si="57"/>
        <v>CAP-1 — Healthy</v>
      </c>
      <c r="O258" s="12">
        <f t="shared" si="62"/>
        <v>1130896800000</v>
      </c>
      <c r="P258" s="12">
        <f t="shared" si="63"/>
        <v>23324746500</v>
      </c>
      <c r="Q258" s="12">
        <f t="shared" si="64"/>
        <v>27775613307.492657</v>
      </c>
    </row>
    <row r="259" spans="1:17" x14ac:dyDescent="0.25">
      <c r="A259" s="7">
        <v>226</v>
      </c>
      <c r="B259" s="8">
        <f t="shared" si="58"/>
        <v>50000</v>
      </c>
      <c r="C259" s="8">
        <f t="shared" si="59"/>
        <v>6698000</v>
      </c>
      <c r="D259" s="8">
        <f t="shared" si="49"/>
        <v>4000</v>
      </c>
      <c r="E259" s="9">
        <f t="shared" si="50"/>
        <v>0.6</v>
      </c>
      <c r="F259" s="8">
        <f t="shared" si="51"/>
        <v>16075200000</v>
      </c>
      <c r="G259" s="8">
        <f t="shared" si="52"/>
        <v>663102000</v>
      </c>
      <c r="H259" s="8">
        <f t="shared" si="53"/>
        <v>331551000</v>
      </c>
      <c r="I259" s="8">
        <f t="shared" si="54"/>
        <v>331551000</v>
      </c>
      <c r="J259" s="8">
        <f t="shared" si="60"/>
        <v>92585377.691642195</v>
      </c>
      <c r="K259" s="8">
        <f t="shared" si="55"/>
        <v>500000000</v>
      </c>
      <c r="L259" s="8">
        <f t="shared" si="61"/>
        <v>66980000000</v>
      </c>
      <c r="M259" s="10">
        <f t="shared" si="56"/>
        <v>4.166666666666667</v>
      </c>
      <c r="N259" s="7" t="str">
        <f t="shared" si="57"/>
        <v>CAP-1 — Healthy</v>
      </c>
      <c r="O259" s="8">
        <f t="shared" si="62"/>
        <v>1146972000000</v>
      </c>
      <c r="P259" s="8">
        <f t="shared" si="63"/>
        <v>23656297500</v>
      </c>
      <c r="Q259" s="8">
        <f t="shared" si="64"/>
        <v>28199749685.184299</v>
      </c>
    </row>
    <row r="260" spans="1:17" x14ac:dyDescent="0.25">
      <c r="A260" s="11">
        <v>227</v>
      </c>
      <c r="B260" s="12">
        <f t="shared" si="58"/>
        <v>50000</v>
      </c>
      <c r="C260" s="12">
        <f t="shared" si="59"/>
        <v>6748000</v>
      </c>
      <c r="D260" s="12">
        <f t="shared" si="49"/>
        <v>4000</v>
      </c>
      <c r="E260" s="13">
        <f t="shared" si="50"/>
        <v>0.6</v>
      </c>
      <c r="F260" s="12">
        <f t="shared" si="51"/>
        <v>16195200000</v>
      </c>
      <c r="G260" s="12">
        <f t="shared" si="52"/>
        <v>668052000</v>
      </c>
      <c r="H260" s="12">
        <f t="shared" si="53"/>
        <v>334026000</v>
      </c>
      <c r="I260" s="12">
        <f t="shared" si="54"/>
        <v>334026000</v>
      </c>
      <c r="J260" s="12">
        <f t="shared" si="60"/>
        <v>93999165.617281005</v>
      </c>
      <c r="K260" s="12">
        <f t="shared" si="55"/>
        <v>500000000</v>
      </c>
      <c r="L260" s="12">
        <f t="shared" si="61"/>
        <v>67480000000</v>
      </c>
      <c r="M260" s="14">
        <f t="shared" si="56"/>
        <v>4.166666666666667</v>
      </c>
      <c r="N260" s="11" t="str">
        <f t="shared" si="57"/>
        <v>CAP-1 — Healthy</v>
      </c>
      <c r="O260" s="12">
        <f t="shared" si="62"/>
        <v>1163167200000</v>
      </c>
      <c r="P260" s="12">
        <f t="shared" si="63"/>
        <v>23990323500</v>
      </c>
      <c r="Q260" s="12">
        <f t="shared" si="64"/>
        <v>28627774850.801582</v>
      </c>
    </row>
    <row r="261" spans="1:17" x14ac:dyDescent="0.25">
      <c r="A261" s="7">
        <v>228</v>
      </c>
      <c r="B261" s="8">
        <f t="shared" si="58"/>
        <v>50000</v>
      </c>
      <c r="C261" s="8">
        <f t="shared" si="59"/>
        <v>6798000</v>
      </c>
      <c r="D261" s="8">
        <f t="shared" si="49"/>
        <v>4000</v>
      </c>
      <c r="E261" s="9">
        <f t="shared" si="50"/>
        <v>0.6</v>
      </c>
      <c r="F261" s="8">
        <f t="shared" si="51"/>
        <v>16315200000</v>
      </c>
      <c r="G261" s="8">
        <f t="shared" si="52"/>
        <v>673002000</v>
      </c>
      <c r="H261" s="8">
        <f t="shared" si="53"/>
        <v>336501000</v>
      </c>
      <c r="I261" s="8">
        <f t="shared" si="54"/>
        <v>336501000</v>
      </c>
      <c r="J261" s="8">
        <f t="shared" si="60"/>
        <v>95425916.169338614</v>
      </c>
      <c r="K261" s="8">
        <f t="shared" si="55"/>
        <v>500000000</v>
      </c>
      <c r="L261" s="8">
        <f t="shared" si="61"/>
        <v>67980000000</v>
      </c>
      <c r="M261" s="10">
        <f t="shared" si="56"/>
        <v>4.166666666666667</v>
      </c>
      <c r="N261" s="7" t="str">
        <f t="shared" si="57"/>
        <v>CAP-1 — Healthy</v>
      </c>
      <c r="O261" s="8">
        <f t="shared" si="62"/>
        <v>1179482400000</v>
      </c>
      <c r="P261" s="8">
        <f t="shared" si="63"/>
        <v>24326824500</v>
      </c>
      <c r="Q261" s="8">
        <f t="shared" si="64"/>
        <v>29059701766.970921</v>
      </c>
    </row>
    <row r="262" spans="1:17" x14ac:dyDescent="0.25">
      <c r="A262" s="11">
        <v>229</v>
      </c>
      <c r="B262" s="12">
        <f t="shared" si="58"/>
        <v>50000</v>
      </c>
      <c r="C262" s="12">
        <f t="shared" si="59"/>
        <v>6848000</v>
      </c>
      <c r="D262" s="12">
        <f t="shared" si="49"/>
        <v>4000</v>
      </c>
      <c r="E262" s="13">
        <f t="shared" si="50"/>
        <v>0.6</v>
      </c>
      <c r="F262" s="12">
        <f t="shared" si="51"/>
        <v>16435200000</v>
      </c>
      <c r="G262" s="12">
        <f t="shared" si="52"/>
        <v>677952000</v>
      </c>
      <c r="H262" s="12">
        <f t="shared" si="53"/>
        <v>338976000</v>
      </c>
      <c r="I262" s="12">
        <f t="shared" si="54"/>
        <v>338976000</v>
      </c>
      <c r="J262" s="12">
        <f t="shared" si="60"/>
        <v>96865672.55656974</v>
      </c>
      <c r="K262" s="12">
        <f t="shared" si="55"/>
        <v>500000000</v>
      </c>
      <c r="L262" s="12">
        <f t="shared" si="61"/>
        <v>68480000000</v>
      </c>
      <c r="M262" s="14">
        <f t="shared" si="56"/>
        <v>4.166666666666667</v>
      </c>
      <c r="N262" s="11" t="str">
        <f t="shared" si="57"/>
        <v>CAP-1 — Healthy</v>
      </c>
      <c r="O262" s="12">
        <f t="shared" si="62"/>
        <v>1195917600000</v>
      </c>
      <c r="P262" s="12">
        <f t="shared" si="63"/>
        <v>24665800500</v>
      </c>
      <c r="Q262" s="12">
        <f t="shared" si="64"/>
        <v>29495543439.527489</v>
      </c>
    </row>
    <row r="263" spans="1:17" x14ac:dyDescent="0.25">
      <c r="A263" s="7">
        <v>230</v>
      </c>
      <c r="B263" s="8">
        <f t="shared" si="58"/>
        <v>50000</v>
      </c>
      <c r="C263" s="8">
        <f t="shared" si="59"/>
        <v>6898000</v>
      </c>
      <c r="D263" s="8">
        <f t="shared" si="49"/>
        <v>4000</v>
      </c>
      <c r="E263" s="9">
        <f t="shared" si="50"/>
        <v>0.6</v>
      </c>
      <c r="F263" s="8">
        <f t="shared" si="51"/>
        <v>16555200000</v>
      </c>
      <c r="G263" s="8">
        <f t="shared" si="52"/>
        <v>682902000</v>
      </c>
      <c r="H263" s="8">
        <f t="shared" si="53"/>
        <v>341451000</v>
      </c>
      <c r="I263" s="8">
        <f t="shared" si="54"/>
        <v>341451000</v>
      </c>
      <c r="J263" s="8">
        <f t="shared" si="60"/>
        <v>98318478.131758302</v>
      </c>
      <c r="K263" s="8">
        <f t="shared" si="55"/>
        <v>500000000</v>
      </c>
      <c r="L263" s="8">
        <f t="shared" si="61"/>
        <v>68980000000</v>
      </c>
      <c r="M263" s="10">
        <f t="shared" si="56"/>
        <v>4.166666666666667</v>
      </c>
      <c r="N263" s="7" t="str">
        <f t="shared" si="57"/>
        <v>CAP-1 — Healthy</v>
      </c>
      <c r="O263" s="8">
        <f t="shared" si="62"/>
        <v>1212472800000</v>
      </c>
      <c r="P263" s="8">
        <f t="shared" si="63"/>
        <v>25007251500</v>
      </c>
      <c r="Q263" s="8">
        <f t="shared" si="64"/>
        <v>29935312917.659248</v>
      </c>
    </row>
    <row r="264" spans="1:17" x14ac:dyDescent="0.25">
      <c r="A264" s="11">
        <v>231</v>
      </c>
      <c r="B264" s="12">
        <f t="shared" si="58"/>
        <v>50000</v>
      </c>
      <c r="C264" s="12">
        <f t="shared" si="59"/>
        <v>6948000</v>
      </c>
      <c r="D264" s="12">
        <f t="shared" si="49"/>
        <v>4000</v>
      </c>
      <c r="E264" s="13">
        <f t="shared" si="50"/>
        <v>0.6</v>
      </c>
      <c r="F264" s="12">
        <f t="shared" si="51"/>
        <v>16675200000</v>
      </c>
      <c r="G264" s="12">
        <f t="shared" si="52"/>
        <v>687852000</v>
      </c>
      <c r="H264" s="12">
        <f t="shared" si="53"/>
        <v>343926000</v>
      </c>
      <c r="I264" s="12">
        <f t="shared" si="54"/>
        <v>343926000</v>
      </c>
      <c r="J264" s="12">
        <f t="shared" si="60"/>
        <v>99784376.392197505</v>
      </c>
      <c r="K264" s="12">
        <f t="shared" si="55"/>
        <v>500000000</v>
      </c>
      <c r="L264" s="12">
        <f t="shared" si="61"/>
        <v>69480000000</v>
      </c>
      <c r="M264" s="14">
        <f t="shared" si="56"/>
        <v>4.166666666666667</v>
      </c>
      <c r="N264" s="11" t="str">
        <f t="shared" si="57"/>
        <v>CAP-1 — Healthy</v>
      </c>
      <c r="O264" s="12">
        <f t="shared" si="62"/>
        <v>1229148000000</v>
      </c>
      <c r="P264" s="12">
        <f t="shared" si="63"/>
        <v>25351177500</v>
      </c>
      <c r="Q264" s="12">
        <f t="shared" si="64"/>
        <v>30379023294.051445</v>
      </c>
    </row>
    <row r="265" spans="1:17" x14ac:dyDescent="0.25">
      <c r="A265" s="7">
        <v>232</v>
      </c>
      <c r="B265" s="8">
        <f t="shared" si="58"/>
        <v>50000</v>
      </c>
      <c r="C265" s="8">
        <f t="shared" si="59"/>
        <v>6998000</v>
      </c>
      <c r="D265" s="8">
        <f t="shared" si="49"/>
        <v>4000</v>
      </c>
      <c r="E265" s="9">
        <f t="shared" si="50"/>
        <v>0.6</v>
      </c>
      <c r="F265" s="8">
        <f t="shared" si="51"/>
        <v>16795200000</v>
      </c>
      <c r="G265" s="8">
        <f t="shared" si="52"/>
        <v>692802000</v>
      </c>
      <c r="H265" s="8">
        <f t="shared" si="53"/>
        <v>346401000</v>
      </c>
      <c r="I265" s="8">
        <f t="shared" si="54"/>
        <v>346401000</v>
      </c>
      <c r="J265" s="8">
        <f t="shared" si="60"/>
        <v>101263410.98017149</v>
      </c>
      <c r="K265" s="8">
        <f t="shared" si="55"/>
        <v>500000000</v>
      </c>
      <c r="L265" s="8">
        <f t="shared" si="61"/>
        <v>69980000000</v>
      </c>
      <c r="M265" s="10">
        <f t="shared" si="56"/>
        <v>4.166666666666667</v>
      </c>
      <c r="N265" s="7" t="str">
        <f t="shared" si="57"/>
        <v>CAP-1 — Healthy</v>
      </c>
      <c r="O265" s="8">
        <f t="shared" si="62"/>
        <v>1245943200000</v>
      </c>
      <c r="P265" s="8">
        <f t="shared" si="63"/>
        <v>25697578500</v>
      </c>
      <c r="Q265" s="8">
        <f t="shared" si="64"/>
        <v>30826687705.031616</v>
      </c>
    </row>
    <row r="266" spans="1:17" x14ac:dyDescent="0.25">
      <c r="A266" s="11">
        <v>233</v>
      </c>
      <c r="B266" s="12">
        <f t="shared" si="58"/>
        <v>50000</v>
      </c>
      <c r="C266" s="12">
        <f t="shared" si="59"/>
        <v>7048000</v>
      </c>
      <c r="D266" s="12">
        <f t="shared" si="49"/>
        <v>4000</v>
      </c>
      <c r="E266" s="13">
        <f t="shared" si="50"/>
        <v>0.6</v>
      </c>
      <c r="F266" s="12">
        <f t="shared" si="51"/>
        <v>16915200000</v>
      </c>
      <c r="G266" s="12">
        <f t="shared" si="52"/>
        <v>697752000</v>
      </c>
      <c r="H266" s="12">
        <f t="shared" si="53"/>
        <v>348876000</v>
      </c>
      <c r="I266" s="12">
        <f t="shared" si="54"/>
        <v>348876000</v>
      </c>
      <c r="J266" s="12">
        <f t="shared" si="60"/>
        <v>102755625.68343873</v>
      </c>
      <c r="K266" s="12">
        <f t="shared" si="55"/>
        <v>500000000</v>
      </c>
      <c r="L266" s="12">
        <f t="shared" si="61"/>
        <v>70480000000</v>
      </c>
      <c r="M266" s="14">
        <f t="shared" si="56"/>
        <v>4.166666666666667</v>
      </c>
      <c r="N266" s="11" t="str">
        <f t="shared" si="57"/>
        <v>CAP-1 — Healthy</v>
      </c>
      <c r="O266" s="12">
        <f t="shared" si="62"/>
        <v>1262858400000</v>
      </c>
      <c r="P266" s="12">
        <f t="shared" si="63"/>
        <v>26046454500</v>
      </c>
      <c r="Q266" s="12">
        <f t="shared" si="64"/>
        <v>31278319330.715054</v>
      </c>
    </row>
    <row r="267" spans="1:17" x14ac:dyDescent="0.25">
      <c r="A267" s="7">
        <v>234</v>
      </c>
      <c r="B267" s="8">
        <f t="shared" si="58"/>
        <v>50000</v>
      </c>
      <c r="C267" s="8">
        <f t="shared" si="59"/>
        <v>7098000</v>
      </c>
      <c r="D267" s="8">
        <f t="shared" si="49"/>
        <v>4000</v>
      </c>
      <c r="E267" s="9">
        <f t="shared" si="50"/>
        <v>0.6</v>
      </c>
      <c r="F267" s="8">
        <f t="shared" si="51"/>
        <v>17035200000</v>
      </c>
      <c r="G267" s="8">
        <f t="shared" si="52"/>
        <v>702702000</v>
      </c>
      <c r="H267" s="8">
        <f t="shared" si="53"/>
        <v>351351000</v>
      </c>
      <c r="I267" s="8">
        <f t="shared" si="54"/>
        <v>351351000</v>
      </c>
      <c r="J267" s="8">
        <f t="shared" si="60"/>
        <v>104261064.43571685</v>
      </c>
      <c r="K267" s="8">
        <f t="shared" si="55"/>
        <v>500000000</v>
      </c>
      <c r="L267" s="8">
        <f t="shared" si="61"/>
        <v>70980000000</v>
      </c>
      <c r="M267" s="10">
        <f t="shared" si="56"/>
        <v>4.166666666666667</v>
      </c>
      <c r="N267" s="7" t="str">
        <f t="shared" si="57"/>
        <v>CAP-1 — Healthy</v>
      </c>
      <c r="O267" s="8">
        <f t="shared" si="62"/>
        <v>1279893600000</v>
      </c>
      <c r="P267" s="8">
        <f t="shared" si="63"/>
        <v>26397805500</v>
      </c>
      <c r="Q267" s="8">
        <f t="shared" si="64"/>
        <v>31733931395.150772</v>
      </c>
    </row>
    <row r="268" spans="1:17" x14ac:dyDescent="0.25">
      <c r="A268" s="11">
        <v>235</v>
      </c>
      <c r="B268" s="12">
        <f t="shared" si="58"/>
        <v>50000</v>
      </c>
      <c r="C268" s="12">
        <f t="shared" si="59"/>
        <v>7148000</v>
      </c>
      <c r="D268" s="12">
        <f t="shared" si="49"/>
        <v>4000</v>
      </c>
      <c r="E268" s="13">
        <f t="shared" si="50"/>
        <v>0.6</v>
      </c>
      <c r="F268" s="12">
        <f t="shared" si="51"/>
        <v>17155200000</v>
      </c>
      <c r="G268" s="12">
        <f t="shared" si="52"/>
        <v>707652000</v>
      </c>
      <c r="H268" s="12">
        <f t="shared" si="53"/>
        <v>353826000</v>
      </c>
      <c r="I268" s="12">
        <f t="shared" si="54"/>
        <v>353826000</v>
      </c>
      <c r="J268" s="12">
        <f t="shared" si="60"/>
        <v>105779771.31716925</v>
      </c>
      <c r="K268" s="12">
        <f t="shared" si="55"/>
        <v>500000000</v>
      </c>
      <c r="L268" s="12">
        <f t="shared" si="61"/>
        <v>71480000000</v>
      </c>
      <c r="M268" s="14">
        <f t="shared" si="56"/>
        <v>4.166666666666667</v>
      </c>
      <c r="N268" s="11" t="str">
        <f t="shared" si="57"/>
        <v>CAP-1 — Healthy</v>
      </c>
      <c r="O268" s="12">
        <f t="shared" si="62"/>
        <v>1297048800000</v>
      </c>
      <c r="P268" s="12">
        <f t="shared" si="63"/>
        <v>26751631500</v>
      </c>
      <c r="Q268" s="12">
        <f t="shared" si="64"/>
        <v>32193537166.467941</v>
      </c>
    </row>
    <row r="269" spans="1:17" x14ac:dyDescent="0.25">
      <c r="A269" s="7">
        <v>236</v>
      </c>
      <c r="B269" s="8">
        <f t="shared" si="58"/>
        <v>50000</v>
      </c>
      <c r="C269" s="8">
        <f t="shared" si="59"/>
        <v>7198000</v>
      </c>
      <c r="D269" s="8">
        <f t="shared" si="49"/>
        <v>4000</v>
      </c>
      <c r="E269" s="9">
        <f t="shared" si="50"/>
        <v>0.6</v>
      </c>
      <c r="F269" s="8">
        <f t="shared" si="51"/>
        <v>17275200000</v>
      </c>
      <c r="G269" s="8">
        <f t="shared" si="52"/>
        <v>712602000</v>
      </c>
      <c r="H269" s="8">
        <f t="shared" si="53"/>
        <v>356301000</v>
      </c>
      <c r="I269" s="8">
        <f t="shared" si="54"/>
        <v>356301000</v>
      </c>
      <c r="J269" s="8">
        <f t="shared" si="60"/>
        <v>107311790.55489315</v>
      </c>
      <c r="K269" s="8">
        <f t="shared" si="55"/>
        <v>500000000</v>
      </c>
      <c r="L269" s="8">
        <f t="shared" si="61"/>
        <v>71980000000</v>
      </c>
      <c r="M269" s="10">
        <f t="shared" si="56"/>
        <v>4.166666666666667</v>
      </c>
      <c r="N269" s="7" t="str">
        <f t="shared" si="57"/>
        <v>CAP-1 — Healthy</v>
      </c>
      <c r="O269" s="8">
        <f t="shared" si="62"/>
        <v>1314324000000</v>
      </c>
      <c r="P269" s="8">
        <f t="shared" si="63"/>
        <v>27107932500</v>
      </c>
      <c r="Q269" s="8">
        <f t="shared" si="64"/>
        <v>32657149957.022835</v>
      </c>
    </row>
    <row r="270" spans="1:17" x14ac:dyDescent="0.25">
      <c r="A270" s="11">
        <v>237</v>
      </c>
      <c r="B270" s="12">
        <f t="shared" si="58"/>
        <v>50000</v>
      </c>
      <c r="C270" s="12">
        <f t="shared" si="59"/>
        <v>7248000</v>
      </c>
      <c r="D270" s="12">
        <f t="shared" si="49"/>
        <v>4000</v>
      </c>
      <c r="E270" s="13">
        <f t="shared" si="50"/>
        <v>0.6</v>
      </c>
      <c r="F270" s="12">
        <f t="shared" si="51"/>
        <v>17395200000</v>
      </c>
      <c r="G270" s="12">
        <f t="shared" si="52"/>
        <v>717552000</v>
      </c>
      <c r="H270" s="12">
        <f t="shared" si="53"/>
        <v>358776000</v>
      </c>
      <c r="I270" s="12">
        <f t="shared" si="54"/>
        <v>358776000</v>
      </c>
      <c r="J270" s="12">
        <f t="shared" si="60"/>
        <v>108857166.52340946</v>
      </c>
      <c r="K270" s="12">
        <f t="shared" si="55"/>
        <v>500000000</v>
      </c>
      <c r="L270" s="12">
        <f t="shared" si="61"/>
        <v>72480000000</v>
      </c>
      <c r="M270" s="14">
        <f t="shared" si="56"/>
        <v>4.166666666666667</v>
      </c>
      <c r="N270" s="11" t="str">
        <f t="shared" si="57"/>
        <v>CAP-1 — Healthy</v>
      </c>
      <c r="O270" s="12">
        <f t="shared" si="62"/>
        <v>1331719200000</v>
      </c>
      <c r="P270" s="12">
        <f t="shared" si="63"/>
        <v>27466708500</v>
      </c>
      <c r="Q270" s="12">
        <f t="shared" si="64"/>
        <v>33124783123.546246</v>
      </c>
    </row>
    <row r="271" spans="1:17" x14ac:dyDescent="0.25">
      <c r="A271" s="7">
        <v>238</v>
      </c>
      <c r="B271" s="8">
        <f t="shared" si="58"/>
        <v>50000</v>
      </c>
      <c r="C271" s="8">
        <f t="shared" si="59"/>
        <v>7298000</v>
      </c>
      <c r="D271" s="8">
        <f t="shared" si="49"/>
        <v>4000</v>
      </c>
      <c r="E271" s="9">
        <f t="shared" si="50"/>
        <v>0.6</v>
      </c>
      <c r="F271" s="8">
        <f t="shared" si="51"/>
        <v>17515200000</v>
      </c>
      <c r="G271" s="8">
        <f t="shared" si="52"/>
        <v>722502000</v>
      </c>
      <c r="H271" s="8">
        <f t="shared" si="53"/>
        <v>361251000</v>
      </c>
      <c r="I271" s="8">
        <f t="shared" si="54"/>
        <v>361251000</v>
      </c>
      <c r="J271" s="8">
        <f t="shared" si="60"/>
        <v>110415943.74515416</v>
      </c>
      <c r="K271" s="8">
        <f t="shared" si="55"/>
        <v>500000000</v>
      </c>
      <c r="L271" s="8">
        <f t="shared" si="61"/>
        <v>72980000000</v>
      </c>
      <c r="M271" s="10">
        <f t="shared" si="56"/>
        <v>4.166666666666667</v>
      </c>
      <c r="N271" s="7" t="str">
        <f t="shared" si="57"/>
        <v>CAP-1 — Healthy</v>
      </c>
      <c r="O271" s="8">
        <f t="shared" si="62"/>
        <v>1349234400000</v>
      </c>
      <c r="P271" s="8">
        <f t="shared" si="63"/>
        <v>27827959500</v>
      </c>
      <c r="Q271" s="8">
        <f t="shared" si="64"/>
        <v>33596450067.291401</v>
      </c>
    </row>
    <row r="272" spans="1:17" x14ac:dyDescent="0.25">
      <c r="A272" s="11">
        <v>239</v>
      </c>
      <c r="B272" s="12">
        <f t="shared" si="58"/>
        <v>50000</v>
      </c>
      <c r="C272" s="12">
        <f t="shared" si="59"/>
        <v>7348000</v>
      </c>
      <c r="D272" s="12">
        <f t="shared" si="49"/>
        <v>4000</v>
      </c>
      <c r="E272" s="13">
        <f t="shared" si="50"/>
        <v>0.6</v>
      </c>
      <c r="F272" s="12">
        <f t="shared" si="51"/>
        <v>17635200000</v>
      </c>
      <c r="G272" s="12">
        <f t="shared" si="52"/>
        <v>727452000</v>
      </c>
      <c r="H272" s="12">
        <f t="shared" si="53"/>
        <v>363726000</v>
      </c>
      <c r="I272" s="12">
        <f t="shared" si="54"/>
        <v>363726000</v>
      </c>
      <c r="J272" s="12">
        <f t="shared" si="60"/>
        <v>111988166.89097135</v>
      </c>
      <c r="K272" s="12">
        <f t="shared" si="55"/>
        <v>500000000</v>
      </c>
      <c r="L272" s="12">
        <f t="shared" si="61"/>
        <v>73480000000</v>
      </c>
      <c r="M272" s="14">
        <f t="shared" si="56"/>
        <v>4.166666666666667</v>
      </c>
      <c r="N272" s="11" t="str">
        <f t="shared" si="57"/>
        <v>CAP-1 — Healthy</v>
      </c>
      <c r="O272" s="12">
        <f t="shared" si="62"/>
        <v>1366869600000</v>
      </c>
      <c r="P272" s="12">
        <f t="shared" si="63"/>
        <v>28191685500</v>
      </c>
      <c r="Q272" s="12">
        <f t="shared" si="64"/>
        <v>34072164234.182373</v>
      </c>
    </row>
    <row r="273" spans="1:17" x14ac:dyDescent="0.25">
      <c r="A273" s="7">
        <v>240</v>
      </c>
      <c r="B273" s="8">
        <f t="shared" si="58"/>
        <v>50000</v>
      </c>
      <c r="C273" s="8">
        <f t="shared" si="59"/>
        <v>7398000</v>
      </c>
      <c r="D273" s="8">
        <f t="shared" si="49"/>
        <v>4000</v>
      </c>
      <c r="E273" s="9">
        <f t="shared" si="50"/>
        <v>0.6</v>
      </c>
      <c r="F273" s="8">
        <f t="shared" si="51"/>
        <v>17755200000</v>
      </c>
      <c r="G273" s="8">
        <f t="shared" si="52"/>
        <v>732402000</v>
      </c>
      <c r="H273" s="8">
        <f t="shared" si="53"/>
        <v>366201000</v>
      </c>
      <c r="I273" s="8">
        <f t="shared" si="54"/>
        <v>366201000</v>
      </c>
      <c r="J273" s="8">
        <f t="shared" si="60"/>
        <v>113573880.78060792</v>
      </c>
      <c r="K273" s="8">
        <f t="shared" si="55"/>
        <v>500000000</v>
      </c>
      <c r="L273" s="8">
        <f t="shared" si="61"/>
        <v>73980000000</v>
      </c>
      <c r="M273" s="10">
        <f t="shared" si="56"/>
        <v>4.166666666666667</v>
      </c>
      <c r="N273" s="7" t="str">
        <f t="shared" si="57"/>
        <v>CAP-1 — Healthy</v>
      </c>
      <c r="O273" s="8">
        <f t="shared" si="62"/>
        <v>1384624800000</v>
      </c>
      <c r="P273" s="8">
        <f t="shared" si="63"/>
        <v>28557886500</v>
      </c>
      <c r="Q273" s="8">
        <f t="shared" si="64"/>
        <v>34551939114.962982</v>
      </c>
    </row>
  </sheetData>
  <mergeCells count="12">
    <mergeCell ref="A1:O1"/>
    <mergeCell ref="A8:C8"/>
    <mergeCell ref="A6:C6"/>
    <mergeCell ref="A9:C9"/>
    <mergeCell ref="A7:C7"/>
    <mergeCell ref="A4:C4"/>
    <mergeCell ref="A2:O2"/>
    <mergeCell ref="A10:C10"/>
    <mergeCell ref="F3:G3"/>
    <mergeCell ref="A11:C11"/>
    <mergeCell ref="A5:C5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/>
  </sheetViews>
  <sheetFormatPr defaultColWidth="8.85546875" defaultRowHeight="15" x14ac:dyDescent="0.25"/>
  <cols>
    <col min="1" max="1" width="22" customWidth="1"/>
    <col min="2" max="16" width="13" customWidth="1"/>
  </cols>
  <sheetData>
    <row r="1" spans="1:17" x14ac:dyDescent="0.25">
      <c r="A1" s="34" t="s">
        <v>58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33" t="s">
        <v>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ht="27.95" customHeight="1" x14ac:dyDescent="0.25">
      <c r="A3" s="15"/>
      <c r="B3" s="16" t="s">
        <v>60</v>
      </c>
      <c r="C3" s="16" t="s">
        <v>61</v>
      </c>
      <c r="D3" s="16" t="s">
        <v>62</v>
      </c>
      <c r="E3" s="16" t="s">
        <v>63</v>
      </c>
      <c r="F3" s="16" t="s">
        <v>64</v>
      </c>
      <c r="G3" s="17" t="s">
        <v>65</v>
      </c>
      <c r="H3" s="17" t="s">
        <v>66</v>
      </c>
      <c r="I3" s="17" t="s">
        <v>67</v>
      </c>
      <c r="J3" s="17" t="s">
        <v>68</v>
      </c>
      <c r="K3" s="17" t="s">
        <v>69</v>
      </c>
      <c r="L3" s="16" t="s">
        <v>70</v>
      </c>
      <c r="M3" s="16" t="s">
        <v>71</v>
      </c>
      <c r="N3" s="16" t="s">
        <v>72</v>
      </c>
      <c r="O3" s="16" t="s">
        <v>73</v>
      </c>
      <c r="P3" s="16" t="s">
        <v>74</v>
      </c>
    </row>
    <row r="4" spans="1:17" ht="20.100000000000001" customHeight="1" x14ac:dyDescent="0.25">
      <c r="A4" s="18" t="s">
        <v>75</v>
      </c>
      <c r="B4" s="19" t="s">
        <v>76</v>
      </c>
      <c r="C4" s="19" t="s">
        <v>76</v>
      </c>
      <c r="D4" s="19" t="s">
        <v>76</v>
      </c>
      <c r="E4" s="19" t="s">
        <v>76</v>
      </c>
      <c r="F4" s="19" t="s">
        <v>76</v>
      </c>
      <c r="G4" s="19" t="s">
        <v>77</v>
      </c>
      <c r="H4" s="19" t="s">
        <v>77</v>
      </c>
      <c r="I4" s="19" t="s">
        <v>77</v>
      </c>
      <c r="J4" s="19" t="s">
        <v>77</v>
      </c>
      <c r="K4" s="19" t="s">
        <v>77</v>
      </c>
      <c r="L4" s="19" t="s">
        <v>78</v>
      </c>
      <c r="M4" s="19" t="s">
        <v>78</v>
      </c>
      <c r="N4" s="19" t="s">
        <v>78</v>
      </c>
      <c r="O4" s="19" t="s">
        <v>78</v>
      </c>
      <c r="P4" s="19" t="s">
        <v>78</v>
      </c>
    </row>
    <row r="5" spans="1:17" x14ac:dyDescent="0.25">
      <c r="A5" s="20" t="s">
        <v>79</v>
      </c>
      <c r="B5" s="12">
        <v>1680</v>
      </c>
      <c r="C5" s="12">
        <v>14280</v>
      </c>
      <c r="D5" s="12">
        <v>43680</v>
      </c>
      <c r="E5" s="12">
        <v>190680</v>
      </c>
      <c r="F5" s="12">
        <v>500000</v>
      </c>
      <c r="G5" s="21">
        <v>2400</v>
      </c>
      <c r="H5" s="21">
        <v>20400</v>
      </c>
      <c r="I5" s="21">
        <v>62400</v>
      </c>
      <c r="J5" s="21">
        <v>272400</v>
      </c>
      <c r="K5" s="21">
        <v>500000</v>
      </c>
      <c r="L5" s="12">
        <v>3120</v>
      </c>
      <c r="M5" s="12">
        <v>26520</v>
      </c>
      <c r="N5" s="12">
        <v>81120</v>
      </c>
      <c r="O5" s="12">
        <v>354120</v>
      </c>
      <c r="P5" s="12">
        <v>500000</v>
      </c>
    </row>
    <row r="6" spans="1:17" x14ac:dyDescent="0.25">
      <c r="A6" s="20" t="s">
        <v>80</v>
      </c>
      <c r="B6" s="12">
        <v>3360000</v>
      </c>
      <c r="C6" s="12">
        <v>28560000</v>
      </c>
      <c r="D6" s="12">
        <v>87360000</v>
      </c>
      <c r="E6" s="12">
        <v>381360000</v>
      </c>
      <c r="F6" s="12">
        <v>1000000000</v>
      </c>
      <c r="G6" s="21">
        <v>5760000</v>
      </c>
      <c r="H6" s="21">
        <v>48960000</v>
      </c>
      <c r="I6" s="21">
        <v>149760000</v>
      </c>
      <c r="J6" s="21">
        <v>653760000</v>
      </c>
      <c r="K6" s="21">
        <v>1200000000</v>
      </c>
      <c r="L6" s="12">
        <v>8736000</v>
      </c>
      <c r="M6" s="12">
        <v>74256000</v>
      </c>
      <c r="N6" s="12">
        <v>227136000</v>
      </c>
      <c r="O6" s="12">
        <v>991535999.99999988</v>
      </c>
      <c r="P6" s="12">
        <v>1400000000</v>
      </c>
    </row>
    <row r="7" spans="1:17" x14ac:dyDescent="0.25">
      <c r="A7" s="20" t="s">
        <v>81</v>
      </c>
      <c r="B7" s="12">
        <v>82320</v>
      </c>
      <c r="C7" s="12">
        <v>699720</v>
      </c>
      <c r="D7" s="12">
        <v>2140320</v>
      </c>
      <c r="E7" s="12">
        <v>9343320</v>
      </c>
      <c r="F7" s="12">
        <v>24500000</v>
      </c>
      <c r="G7" s="21">
        <v>189600</v>
      </c>
      <c r="H7" s="21">
        <v>1611600</v>
      </c>
      <c r="I7" s="21">
        <v>4929600</v>
      </c>
      <c r="J7" s="21">
        <v>21519600</v>
      </c>
      <c r="K7" s="21">
        <v>39500000</v>
      </c>
      <c r="L7" s="12">
        <v>308880</v>
      </c>
      <c r="M7" s="12">
        <v>2625480</v>
      </c>
      <c r="N7" s="12">
        <v>8030880</v>
      </c>
      <c r="O7" s="12">
        <v>35057880</v>
      </c>
      <c r="P7" s="12">
        <v>49500000</v>
      </c>
    </row>
    <row r="8" spans="1:17" x14ac:dyDescent="0.25">
      <c r="A8" s="20" t="s">
        <v>82</v>
      </c>
      <c r="B8" s="12">
        <v>41160</v>
      </c>
      <c r="C8" s="12">
        <v>349860</v>
      </c>
      <c r="D8" s="12">
        <v>1070160</v>
      </c>
      <c r="E8" s="12">
        <v>4671660</v>
      </c>
      <c r="F8" s="12">
        <v>12250000</v>
      </c>
      <c r="G8" s="21">
        <v>94800</v>
      </c>
      <c r="H8" s="21">
        <v>805800</v>
      </c>
      <c r="I8" s="21">
        <v>2464800</v>
      </c>
      <c r="J8" s="21">
        <v>10759800</v>
      </c>
      <c r="K8" s="21">
        <v>19750000</v>
      </c>
      <c r="L8" s="12">
        <v>154440</v>
      </c>
      <c r="M8" s="12">
        <v>1312740</v>
      </c>
      <c r="N8" s="12">
        <v>4015440</v>
      </c>
      <c r="O8" s="12">
        <v>17528940</v>
      </c>
      <c r="P8" s="12">
        <v>24750000</v>
      </c>
    </row>
    <row r="9" spans="1:17" x14ac:dyDescent="0.25">
      <c r="A9" s="20" t="s">
        <v>83</v>
      </c>
      <c r="B9" s="12">
        <v>41160</v>
      </c>
      <c r="C9" s="12">
        <v>349860</v>
      </c>
      <c r="D9" s="12">
        <v>1070160</v>
      </c>
      <c r="E9" s="12">
        <v>4671660</v>
      </c>
      <c r="F9" s="12">
        <v>12250000</v>
      </c>
      <c r="G9" s="21">
        <v>94800</v>
      </c>
      <c r="H9" s="21">
        <v>805800</v>
      </c>
      <c r="I9" s="21">
        <v>2464800</v>
      </c>
      <c r="J9" s="21">
        <v>10759800</v>
      </c>
      <c r="K9" s="21">
        <v>19750000</v>
      </c>
      <c r="L9" s="12">
        <v>154440</v>
      </c>
      <c r="M9" s="12">
        <v>1312740</v>
      </c>
      <c r="N9" s="12">
        <v>4015440</v>
      </c>
      <c r="O9" s="12">
        <v>17528940</v>
      </c>
      <c r="P9" s="12">
        <v>24750000</v>
      </c>
    </row>
    <row r="10" spans="1:17" x14ac:dyDescent="0.25">
      <c r="A10" s="20" t="s">
        <v>84</v>
      </c>
      <c r="B10" s="12">
        <v>763.04766446353676</v>
      </c>
      <c r="C10" s="12">
        <v>14241.53550210538</v>
      </c>
      <c r="D10" s="12">
        <v>70677.421069347401</v>
      </c>
      <c r="E10" s="12">
        <v>655520.6522559108</v>
      </c>
      <c r="F10" s="12">
        <v>5620333.1475335127</v>
      </c>
      <c r="G10" s="21">
        <v>1757.45671990144</v>
      </c>
      <c r="H10" s="21">
        <v>32801.204217677121</v>
      </c>
      <c r="I10" s="21">
        <v>162784.73074281181</v>
      </c>
      <c r="J10" s="21">
        <v>1509799.7530092411</v>
      </c>
      <c r="K10" s="21">
        <v>10971089.86545969</v>
      </c>
      <c r="L10" s="12">
        <v>2863.0972133077889</v>
      </c>
      <c r="M10" s="12">
        <v>53436.898516646143</v>
      </c>
      <c r="N10" s="12">
        <v>265194.87147594779</v>
      </c>
      <c r="O10" s="12">
        <v>2459635.800155561</v>
      </c>
      <c r="P10" s="12">
        <v>15405394.372478129</v>
      </c>
    </row>
    <row r="11" spans="1:17" x14ac:dyDescent="0.25">
      <c r="A11" s="20" t="s">
        <v>85</v>
      </c>
      <c r="B11" s="12">
        <v>270837.34700352448</v>
      </c>
      <c r="C11" s="12">
        <v>4636562.186133719</v>
      </c>
      <c r="D11" s="12">
        <v>22344063.74187357</v>
      </c>
      <c r="E11" s="12">
        <v>201983376.32902911</v>
      </c>
      <c r="F11" s="12">
        <v>1703970277.4075871</v>
      </c>
      <c r="G11" s="21">
        <v>623794.4726903335</v>
      </c>
      <c r="H11" s="21">
        <v>10678962.469520809</v>
      </c>
      <c r="I11" s="21">
        <v>51463003.953586347</v>
      </c>
      <c r="J11" s="21">
        <v>465209525.65578139</v>
      </c>
      <c r="K11" s="21">
        <v>3322048049.503366</v>
      </c>
      <c r="L11" s="12">
        <v>1016232.261205645</v>
      </c>
      <c r="M11" s="12">
        <v>17397246.453510489</v>
      </c>
      <c r="N11" s="12">
        <v>83839096.314260289</v>
      </c>
      <c r="O11" s="12">
        <v>757879315.84682369</v>
      </c>
      <c r="P11" s="12">
        <v>4661773706.1159172</v>
      </c>
    </row>
    <row r="12" spans="1:17" x14ac:dyDescent="0.25">
      <c r="A12" s="20" t="s">
        <v>54</v>
      </c>
      <c r="B12" s="14">
        <v>5.0595238095238093</v>
      </c>
      <c r="C12" s="14">
        <v>4.7969187675070026</v>
      </c>
      <c r="D12" s="14">
        <v>3.0792124542124539</v>
      </c>
      <c r="E12" s="14">
        <v>2.1213551499895109</v>
      </c>
      <c r="F12" s="14">
        <v>2.8490000000000002</v>
      </c>
      <c r="G12" s="22">
        <v>2.9513888888888888</v>
      </c>
      <c r="H12" s="22">
        <v>2.7982026143790848</v>
      </c>
      <c r="I12" s="22">
        <v>1.7962072649572649</v>
      </c>
      <c r="J12" s="22">
        <v>1.2374571708272151</v>
      </c>
      <c r="K12" s="22">
        <v>2.374166666666667</v>
      </c>
      <c r="L12" s="14">
        <v>1.9459706959706959</v>
      </c>
      <c r="M12" s="14">
        <v>1.8449687567334629</v>
      </c>
      <c r="N12" s="14">
        <v>1.184312482389406</v>
      </c>
      <c r="O12" s="14">
        <v>0.8159058269190429</v>
      </c>
      <c r="P12" s="14">
        <v>2.0350000000000001</v>
      </c>
    </row>
    <row r="13" spans="1:17" x14ac:dyDescent="0.25">
      <c r="A13" s="20" t="s">
        <v>86</v>
      </c>
      <c r="B13" s="12">
        <v>21840000</v>
      </c>
      <c r="C13" s="12">
        <v>367080000</v>
      </c>
      <c r="D13" s="12">
        <v>1737120000</v>
      </c>
      <c r="E13" s="12">
        <v>14937720000</v>
      </c>
      <c r="F13" s="12">
        <v>111110420000</v>
      </c>
      <c r="G13" s="21">
        <v>37440000</v>
      </c>
      <c r="H13" s="21">
        <v>629280000</v>
      </c>
      <c r="I13" s="21">
        <v>2977920000</v>
      </c>
      <c r="J13" s="21">
        <v>25607520000</v>
      </c>
      <c r="K13" s="21">
        <v>157627440000</v>
      </c>
      <c r="L13" s="12">
        <v>56784000</v>
      </c>
      <c r="M13" s="12">
        <v>954408000</v>
      </c>
      <c r="N13" s="12">
        <v>4516512000</v>
      </c>
      <c r="O13" s="12">
        <v>38838072000</v>
      </c>
      <c r="P13" s="12">
        <v>202456464000</v>
      </c>
    </row>
    <row r="14" spans="1:17" x14ac:dyDescent="0.25">
      <c r="A14" s="20" t="s">
        <v>87</v>
      </c>
      <c r="B14" s="12">
        <v>267540</v>
      </c>
      <c r="C14" s="12">
        <v>4496730</v>
      </c>
      <c r="D14" s="12">
        <v>21279720</v>
      </c>
      <c r="E14" s="12">
        <v>182987070</v>
      </c>
      <c r="F14" s="12">
        <v>1361102645</v>
      </c>
      <c r="G14" s="21">
        <v>616200</v>
      </c>
      <c r="H14" s="21">
        <v>10356900</v>
      </c>
      <c r="I14" s="21">
        <v>49011600</v>
      </c>
      <c r="J14" s="21">
        <v>421457100</v>
      </c>
      <c r="K14" s="21">
        <v>2594284950</v>
      </c>
      <c r="L14" s="12">
        <v>1003860</v>
      </c>
      <c r="M14" s="12">
        <v>16872570</v>
      </c>
      <c r="N14" s="12">
        <v>79845480</v>
      </c>
      <c r="O14" s="12">
        <v>686601630</v>
      </c>
      <c r="P14" s="12">
        <v>3579141060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 Network — Model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g</cp:lastModifiedBy>
  <dcterms:created xsi:type="dcterms:W3CDTF">2026-04-03T19:57:13Z</dcterms:created>
  <dcterms:modified xsi:type="dcterms:W3CDTF">2026-04-03T21:48:15Z</dcterms:modified>
</cp:coreProperties>
</file>