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se Financial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0"/>
    </font>
    <font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3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5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32"/>
  <sheetViews>
    <sheetView workbookViewId="0">
      <pane ySplit="32" topLeftCell="A3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2" customWidth="1" min="5" max="5"/>
    <col width="16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12" customWidth="1" min="12" max="12"/>
    <col width="22" customWidth="1" min="13" max="13"/>
    <col width="14" customWidth="1" min="14" max="14"/>
    <col width="18" customWidth="1" min="15" max="15"/>
    <col width="20" customWidth="1" min="16" max="16"/>
    <col width="22" customWidth="1" min="17" max="17"/>
  </cols>
  <sheetData>
    <row r="2">
      <c r="A2" s="1" t="inlineStr">
        <is>
          <t>Raise | Financial Model</t>
        </is>
      </c>
    </row>
    <row r="4">
      <c r="A4" s="2" t="inlineStr">
        <is>
          <t>EDITABLE ASSUMPTIONS</t>
        </is>
      </c>
      <c r="F4" s="2" t="inlineStr">
        <is>
          <t>CAPACITY GROWTH PER MONTH (by year)</t>
        </is>
      </c>
    </row>
    <row r="5">
      <c r="A5" s="3" t="inlineStr">
        <is>
          <t>Credits per Employee / Month (max 3,000)</t>
        </is>
      </c>
      <c r="B5" s="3" t="inlineStr">
        <is>
          <t>Credits per Employee / Month (max 3,000)</t>
        </is>
      </c>
      <c r="C5" s="3" t="inlineStr">
        <is>
          <t>Credits per Employee / Month (max 3,000)</t>
        </is>
      </c>
      <c r="D5" s="4" t="n">
        <v>3000</v>
      </c>
      <c r="F5" s="5" t="inlineStr">
        <is>
          <t>Year</t>
        </is>
      </c>
      <c r="G5" s="5" t="inlineStr">
        <is>
          <t>Monthly Growth</t>
        </is>
      </c>
    </row>
    <row r="6">
      <c r="A6" s="3" t="inlineStr">
        <is>
          <t>Treasury Allocation ($ per credit)</t>
        </is>
      </c>
      <c r="B6" s="3" t="inlineStr">
        <is>
          <t>Treasury Allocation ($ per credit)</t>
        </is>
      </c>
      <c r="C6" s="3" t="inlineStr">
        <is>
          <t>Treasury Allocation ($ per credit)</t>
        </is>
      </c>
      <c r="D6" s="4" t="n">
        <v>0.1</v>
      </c>
      <c r="F6" s="6" t="inlineStr">
        <is>
          <t>Year 1</t>
        </is>
      </c>
      <c r="G6" s="6" t="n">
        <v>1000000</v>
      </c>
    </row>
    <row r="7">
      <c r="A7" s="3" t="inlineStr">
        <is>
          <t>Admin Allocation ($ per credit)</t>
        </is>
      </c>
      <c r="B7" s="3" t="inlineStr">
        <is>
          <t>Admin Allocation ($ per credit)</t>
        </is>
      </c>
      <c r="C7" s="3" t="inlineStr">
        <is>
          <t>Admin Allocation ($ per credit)</t>
        </is>
      </c>
      <c r="D7" s="4" t="n">
        <v>0.3</v>
      </c>
      <c r="F7" s="6" t="inlineStr">
        <is>
          <t>Year 2</t>
        </is>
      </c>
      <c r="G7" s="6" t="n">
        <v>5000000</v>
      </c>
    </row>
    <row r="8">
      <c r="A8" s="3" t="inlineStr">
        <is>
          <t>Escrow Allocation ($ per credit)</t>
        </is>
      </c>
      <c r="B8" s="3" t="inlineStr">
        <is>
          <t>Escrow Allocation ($ per credit)</t>
        </is>
      </c>
      <c r="C8" s="3" t="inlineStr">
        <is>
          <t>Escrow Allocation ($ per credit)</t>
        </is>
      </c>
      <c r="D8" s="4" t="n">
        <v>1</v>
      </c>
      <c r="F8" s="6" t="inlineStr">
        <is>
          <t>Year 3</t>
        </is>
      </c>
      <c r="G8" s="6" t="n">
        <v>5000000</v>
      </c>
    </row>
    <row r="9">
      <c r="A9" s="3" t="inlineStr">
        <is>
          <t>Annual Interest Rate (Escrow)</t>
        </is>
      </c>
      <c r="B9" s="3" t="inlineStr">
        <is>
          <t>Annual Interest Rate (Escrow)</t>
        </is>
      </c>
      <c r="C9" s="3" t="inlineStr">
        <is>
          <t>Annual Interest Rate (Escrow)</t>
        </is>
      </c>
      <c r="D9" s="4" t="n">
        <v>0.05</v>
      </c>
      <c r="F9" s="6" t="inlineStr">
        <is>
          <t>Year 4</t>
        </is>
      </c>
      <c r="G9" s="6" t="n">
        <v>5000000</v>
      </c>
    </row>
    <row r="10">
      <c r="A10" s="3" t="inlineStr">
        <is>
          <t>System Credit Capacity (Month 1)</t>
        </is>
      </c>
      <c r="B10" s="3" t="inlineStr">
        <is>
          <t>System Credit Capacity (Month 1)</t>
        </is>
      </c>
      <c r="C10" s="3" t="inlineStr">
        <is>
          <t>System Credit Capacity (Month 1)</t>
        </is>
      </c>
      <c r="D10" s="4" t="n">
        <v>5000000</v>
      </c>
      <c r="F10" s="6" t="inlineStr">
        <is>
          <t>Year 5</t>
        </is>
      </c>
      <c r="G10" s="6" t="n">
        <v>6000000</v>
      </c>
    </row>
    <row r="11">
      <c r="A11" s="3" t="inlineStr">
        <is>
          <t>System Credit Ceiling (max total credits)</t>
        </is>
      </c>
      <c r="B11" s="3" t="inlineStr">
        <is>
          <t>System Credit Ceiling (max total credits)</t>
        </is>
      </c>
      <c r="C11" s="3" t="inlineStr">
        <is>
          <t>System Credit Ceiling (max total credits)</t>
        </is>
      </c>
      <c r="D11" s="4" t="n">
        <v>500000000000</v>
      </c>
      <c r="F11" s="6" t="inlineStr">
        <is>
          <t>Year 6</t>
        </is>
      </c>
      <c r="G11" s="6" t="n">
        <v>7000000</v>
      </c>
    </row>
    <row r="12">
      <c r="A12" s="3" t="inlineStr">
        <is>
          <t>Value per Credit ($) — Employee Buying Power</t>
        </is>
      </c>
      <c r="B12" s="3" t="inlineStr">
        <is>
          <t>Value per Credit ($) — Employee Buying Power</t>
        </is>
      </c>
      <c r="C12" s="3" t="inlineStr">
        <is>
          <t>Value per Credit ($) — Employee Buying Power</t>
        </is>
      </c>
      <c r="D12" s="4" t="n">
        <v>2</v>
      </c>
      <c r="F12" s="6" t="inlineStr">
        <is>
          <t>Year 7</t>
        </is>
      </c>
      <c r="G12" s="6" t="n">
        <v>8000000</v>
      </c>
    </row>
    <row r="13">
      <c r="A13" s="3" t="inlineStr">
        <is>
          <t>Price per Credit ($) — Employee Purchase Price</t>
        </is>
      </c>
      <c r="B13" s="3" t="inlineStr">
        <is>
          <t>Price per Credit ($) — Employee Purchase Price</t>
        </is>
      </c>
      <c r="C13" s="3" t="inlineStr">
        <is>
          <t>Price per Credit ($) — Employee Purchase Price</t>
        </is>
      </c>
      <c r="D13" s="4" t="n">
        <v>1.4</v>
      </c>
      <c r="F13" s="6" t="inlineStr">
        <is>
          <t>Year 8</t>
        </is>
      </c>
      <c r="G13" s="6" t="n">
        <v>10000000</v>
      </c>
    </row>
    <row r="14">
      <c r="A14" s="3" t="inlineStr">
        <is>
          <t>Interest Gate Start Month</t>
        </is>
      </c>
      <c r="B14" s="3" t="inlineStr">
        <is>
          <t>Interest Gate Start Month</t>
        </is>
      </c>
      <c r="C14" s="3" t="inlineStr">
        <is>
          <t>Interest Gate Start Month</t>
        </is>
      </c>
      <c r="D14" s="4" t="n">
        <v>25</v>
      </c>
      <c r="F14" s="6" t="inlineStr">
        <is>
          <t>Year 9</t>
        </is>
      </c>
      <c r="G14" s="6" t="n">
        <v>10000000</v>
      </c>
    </row>
    <row r="15">
      <c r="A15" s="3" t="inlineStr">
        <is>
          <t>Monthly Logistic Growth Rate</t>
        </is>
      </c>
      <c r="B15" s="3" t="inlineStr">
        <is>
          <t>Monthly Logistic Growth Rate</t>
        </is>
      </c>
      <c r="C15" s="3" t="inlineStr">
        <is>
          <t>Monthly Logistic Growth Rate</t>
        </is>
      </c>
      <c r="D15" s="4" t="n">
        <v>0.5</v>
      </c>
      <c r="F15" s="6" t="inlineStr">
        <is>
          <t>Year 10</t>
        </is>
      </c>
      <c r="G15" s="6" t="n">
        <v>10000000</v>
      </c>
    </row>
    <row r="16">
      <c r="A16" s="3" t="inlineStr">
        <is>
          <t>Admin Wallet Interest Rate</t>
        </is>
      </c>
      <c r="B16" s="3" t="inlineStr">
        <is>
          <t>Admin Wallet Interest Rate</t>
        </is>
      </c>
      <c r="C16" s="3" t="inlineStr">
        <is>
          <t>Admin Wallet Interest Rate</t>
        </is>
      </c>
      <c r="D16" s="4" t="n">
        <v>0.04</v>
      </c>
      <c r="F16" s="6" t="inlineStr">
        <is>
          <t>Year 11</t>
        </is>
      </c>
      <c r="G16" s="6" t="n">
        <v>10000000</v>
      </c>
    </row>
    <row r="17">
      <c r="F17" s="6" t="inlineStr">
        <is>
          <t>Year 12</t>
        </is>
      </c>
      <c r="G17" s="6" t="n">
        <v>10000000</v>
      </c>
    </row>
    <row r="18">
      <c r="F18" s="6" t="inlineStr">
        <is>
          <t>Year 13</t>
        </is>
      </c>
      <c r="G18" s="6" t="n">
        <v>10000000</v>
      </c>
    </row>
    <row r="19">
      <c r="F19" s="6" t="inlineStr">
        <is>
          <t>Year 14</t>
        </is>
      </c>
      <c r="G19" s="6" t="n">
        <v>20000000</v>
      </c>
    </row>
    <row r="20">
      <c r="F20" s="6" t="inlineStr">
        <is>
          <t>Year 15</t>
        </is>
      </c>
      <c r="G20" s="6" t="n">
        <v>20000000</v>
      </c>
    </row>
    <row r="21">
      <c r="F21" s="6" t="inlineStr">
        <is>
          <t>Year 16</t>
        </is>
      </c>
      <c r="G21" s="6" t="n">
        <v>20000000</v>
      </c>
    </row>
    <row r="22">
      <c r="F22" s="6" t="inlineStr">
        <is>
          <t>Year 17</t>
        </is>
      </c>
      <c r="G22" s="6" t="n">
        <v>20000000</v>
      </c>
    </row>
    <row r="23">
      <c r="F23" s="6" t="inlineStr">
        <is>
          <t>Year 18</t>
        </is>
      </c>
      <c r="G23" s="6" t="n">
        <v>20000000</v>
      </c>
    </row>
    <row r="24">
      <c r="F24" s="6" t="inlineStr">
        <is>
          <t>Year 19</t>
        </is>
      </c>
      <c r="G24" s="6" t="n">
        <v>20000000</v>
      </c>
    </row>
    <row r="25">
      <c r="F25" s="6" t="inlineStr">
        <is>
          <t>Year 20</t>
        </is>
      </c>
      <c r="G25" s="6" t="n">
        <v>20000000</v>
      </c>
    </row>
    <row r="26">
      <c r="F26" s="6" t="inlineStr">
        <is>
          <t>Year 21</t>
        </is>
      </c>
      <c r="G26" s="6" t="n">
        <v>20000000</v>
      </c>
    </row>
    <row r="27">
      <c r="F27" s="6" t="inlineStr">
        <is>
          <t>Year 22</t>
        </is>
      </c>
      <c r="G27" s="6" t="n">
        <v>20000000</v>
      </c>
    </row>
    <row r="28">
      <c r="F28" s="6" t="inlineStr">
        <is>
          <t>Year 23</t>
        </is>
      </c>
      <c r="G28" s="6" t="n">
        <v>20000000</v>
      </c>
    </row>
    <row r="29">
      <c r="F29" s="6" t="inlineStr">
        <is>
          <t>Year 24</t>
        </is>
      </c>
      <c r="G29" s="6" t="n">
        <v>20000000</v>
      </c>
    </row>
    <row r="30">
      <c r="F30" s="6" t="inlineStr">
        <is>
          <t>Year 25</t>
        </is>
      </c>
      <c r="G30" s="6" t="n">
        <v>20000000</v>
      </c>
    </row>
    <row r="32" ht="36" customHeight="1">
      <c r="A32" s="7" t="inlineStr">
        <is>
          <t>Month</t>
        </is>
      </c>
      <c r="B32" s="7" t="inlineStr">
        <is>
          <t>L-Growth Floor
(employees/mo)</t>
        </is>
      </c>
      <c r="C32" s="7" t="inlineStr">
        <is>
          <t>New Employees
Added</t>
        </is>
      </c>
      <c r="D32" s="7" t="inlineStr">
        <is>
          <t>Cumulative
Employees</t>
        </is>
      </c>
      <c r="E32" s="7" t="inlineStr">
        <is>
          <t>Credits per
Employee</t>
        </is>
      </c>
      <c r="F32" s="7" t="inlineStr">
        <is>
          <t>Credits Minted
(Month)</t>
        </is>
      </c>
      <c r="G32" s="7" t="inlineStr">
        <is>
          <t>Total System
Credits</t>
        </is>
      </c>
      <c r="H32" s="7" t="inlineStr">
        <is>
          <t>Treasury
Wallet ($)</t>
        </is>
      </c>
      <c r="I32" s="7" t="inlineStr">
        <is>
          <t>Admin Wallet
($)</t>
        </is>
      </c>
      <c r="J32" s="7" t="inlineStr">
        <is>
          <t>Escrow
Wallet ($)</t>
        </is>
      </c>
      <c r="K32" s="7" t="inlineStr">
        <is>
          <t>Interest
Earned ($)</t>
        </is>
      </c>
      <c r="L32" s="7" t="inlineStr">
        <is>
          <t>Cash / Credit
Reserve</t>
        </is>
      </c>
      <c r="M32" s="7" t="inlineStr">
        <is>
          <t>Admin Profit per credit accepted</t>
        </is>
      </c>
      <c r="N32" s="7" t="inlineStr">
        <is>
          <t>Capacity
Growth</t>
        </is>
      </c>
      <c r="O32" s="7" t="inlineStr">
        <is>
          <t>Total Liability ($)</t>
        </is>
      </c>
      <c r="P32" s="7" t="inlineStr">
        <is>
          <t>Total Admin Fees ($)</t>
        </is>
      </c>
      <c r="Q32" s="7" t="inlineStr">
        <is>
          <t>Treasury
Interest Earned ($)</t>
        </is>
      </c>
    </row>
    <row r="33">
      <c r="A33" t="n">
        <v>1</v>
      </c>
      <c r="B33" t="n">
        <v>0</v>
      </c>
      <c r="C33">
        <f>MAX(0,MIN(INT($D$10/$D$5),INT($D$11/$D$5)))</f>
        <v/>
      </c>
      <c r="D33">
        <f>C33</f>
        <v/>
      </c>
      <c r="E33">
        <f>$D$5</f>
        <v/>
      </c>
      <c r="F33">
        <f>MIN(D33*E33,$D$11)</f>
        <v/>
      </c>
      <c r="G33">
        <f>F33</f>
        <v/>
      </c>
      <c r="H33">
        <f>$D$6*F33</f>
        <v/>
      </c>
      <c r="I33">
        <f>MAX($D$7*F33+Q33-0.01*G33,0.01*G33)</f>
        <v/>
      </c>
      <c r="J33">
        <f>$D$8*F33-MAX(0,0.02*G33-$D$7*F33-Q33)</f>
        <v/>
      </c>
      <c r="K33" t="n">
        <v>0</v>
      </c>
      <c r="L33">
        <f>IF(G33=0,0,J33/(G33*$D$12))</f>
        <v/>
      </c>
      <c r="M33">
        <f>MIN(0.06,MAX(0.01,IF(G33=0,0,I33/G33)))</f>
        <v/>
      </c>
      <c r="N33">
        <f>INDEX($G$6:$G$30,MIN(INT((A33-1)/12)+1,25))</f>
        <v/>
      </c>
      <c r="O33">
        <f>G33*$D$12</f>
        <v/>
      </c>
      <c r="P33">
        <f>M33*G33</f>
        <v/>
      </c>
      <c r="Q33" t="n">
        <v>0</v>
      </c>
    </row>
    <row r="34">
      <c r="A34" t="n">
        <v>2</v>
      </c>
      <c r="B34">
        <f>CEILING(0.0101*G33/$D$5,1)</f>
        <v/>
      </c>
      <c r="C34">
        <f>MAX(0,MIN(MAX(0,FLOOR($D$15*D33*MAX(0,1-D33/(($D$10+SUM($N$33:N33))/$D$5)),1)),IF(A34&gt;=$D$14,IF(AND(D33&gt;0,F33&gt;0),INT(K33*D33/F33),0),1000000000),MIN(IF($D$11&gt;G33,INT(($D$11-G33)/$D$5),0)-D33,MAX(B34,INT(($D$10+SUM($N$33:N33))/$D$5)-D33))))</f>
        <v/>
      </c>
      <c r="D34">
        <f>D33+C34</f>
        <v/>
      </c>
      <c r="E34">
        <f>$D$5</f>
        <v/>
      </c>
      <c r="F34">
        <f>IF(G33&gt;=$D$11,0,MIN(D34*E34,$D$11-G33))</f>
        <v/>
      </c>
      <c r="G34">
        <f>G33+F34</f>
        <v/>
      </c>
      <c r="H34">
        <f>H33+$D$6*F34</f>
        <v/>
      </c>
      <c r="I34">
        <f>MAX(I33+$D$7*F34+Q34-0.01*G34,0.01*G34)</f>
        <v/>
      </c>
      <c r="J34">
        <f>J33+$D$8*F34+K34-MAX(0,0.02*G34-I33-$D$7*F34-Q34)</f>
        <v/>
      </c>
      <c r="K34">
        <f>($D$9/12)*J33</f>
        <v/>
      </c>
      <c r="L34">
        <f>IF(G34=0,0,J34/(G34*$D$12))</f>
        <v/>
      </c>
      <c r="M34">
        <f>MIN(0.06,MAX(0.01,IF(G34=0,0,I34/G34)))</f>
        <v/>
      </c>
      <c r="N34">
        <f>INDEX($G$6:$G$30,MIN(INT((A34-1)/12)+1,25))</f>
        <v/>
      </c>
      <c r="O34">
        <f>G34*$D$12</f>
        <v/>
      </c>
      <c r="P34">
        <f>M34*G34</f>
        <v/>
      </c>
      <c r="Q34">
        <f>($D$16/12)*I33</f>
        <v/>
      </c>
    </row>
    <row r="35">
      <c r="A35" t="n">
        <v>3</v>
      </c>
      <c r="B35">
        <f>CEILING(0.0101*G34/$D$5,1)</f>
        <v/>
      </c>
      <c r="C35">
        <f>MAX(0,MIN(MAX(0,FLOOR($D$15*D34*MAX(0,1-D34/(($D$10+SUM($N$33:N34))/$D$5)),1)),IF(A35&gt;=$D$14,IF(AND(D34&gt;0,F34&gt;0),INT(K34*D34/F34),0),1000000000),MIN(IF($D$11&gt;G34,INT(($D$11-G34)/$D$5),0)-D34,MAX(B35,INT(($D$10+SUM($N$33:N34))/$D$5)-D34))))</f>
        <v/>
      </c>
      <c r="D35">
        <f>D34+C35</f>
        <v/>
      </c>
      <c r="E35">
        <f>$D$5</f>
        <v/>
      </c>
      <c r="F35">
        <f>IF(G34&gt;=$D$11,0,MIN(D35*E35,$D$11-G34))</f>
        <v/>
      </c>
      <c r="G35">
        <f>G34+F35</f>
        <v/>
      </c>
      <c r="H35">
        <f>H34+$D$6*F35</f>
        <v/>
      </c>
      <c r="I35">
        <f>MAX(I34+$D$7*F35+Q35-0.01*G35,0.01*G35)</f>
        <v/>
      </c>
      <c r="J35">
        <f>J34+$D$8*F35+K35-MAX(0,0.02*G35-I34-$D$7*F35-Q35)</f>
        <v/>
      </c>
      <c r="K35">
        <f>($D$9/12)*J34</f>
        <v/>
      </c>
      <c r="L35">
        <f>IF(G35=0,0,J35/(G35*$D$12))</f>
        <v/>
      </c>
      <c r="M35">
        <f>MIN(0.06,MAX(0.01,IF(G35=0,0,I35/G35)))</f>
        <v/>
      </c>
      <c r="N35">
        <f>INDEX($G$6:$G$30,MIN(INT((A35-1)/12)+1,25))</f>
        <v/>
      </c>
      <c r="O35">
        <f>G35*$D$12</f>
        <v/>
      </c>
      <c r="P35">
        <f>M35*G35</f>
        <v/>
      </c>
      <c r="Q35">
        <f>($D$16/12)*I34</f>
        <v/>
      </c>
    </row>
    <row r="36">
      <c r="A36" t="n">
        <v>4</v>
      </c>
      <c r="B36">
        <f>CEILING(0.0101*G35/$D$5,1)</f>
        <v/>
      </c>
      <c r="C36">
        <f>MAX(0,MIN(MAX(0,FLOOR($D$15*D35*MAX(0,1-D35/(($D$10+SUM($N$33:N35))/$D$5)),1)),IF(A36&gt;=$D$14,IF(AND(D35&gt;0,F35&gt;0),INT(K35*D35/F35),0),1000000000),MIN(IF($D$11&gt;G35,INT(($D$11-G35)/$D$5),0)-D35,MAX(B36,INT(($D$10+SUM($N$33:N35))/$D$5)-D35))))</f>
        <v/>
      </c>
      <c r="D36">
        <f>D35+C36</f>
        <v/>
      </c>
      <c r="E36">
        <f>$D$5</f>
        <v/>
      </c>
      <c r="F36">
        <f>IF(G35&gt;=$D$11,0,MIN(D36*E36,$D$11-G35))</f>
        <v/>
      </c>
      <c r="G36">
        <f>G35+F36</f>
        <v/>
      </c>
      <c r="H36">
        <f>H35+$D$6*F36</f>
        <v/>
      </c>
      <c r="I36">
        <f>MAX(I35+$D$7*F36+Q36-0.01*G36,0.01*G36)</f>
        <v/>
      </c>
      <c r="J36">
        <f>J35+$D$8*F36+K36-MAX(0,0.02*G36-I35-$D$7*F36-Q36)</f>
        <v/>
      </c>
      <c r="K36">
        <f>($D$9/12)*J35</f>
        <v/>
      </c>
      <c r="L36">
        <f>IF(G36=0,0,J36/(G36*$D$12))</f>
        <v/>
      </c>
      <c r="M36">
        <f>MIN(0.06,MAX(0.01,IF(G36=0,0,I36/G36)))</f>
        <v/>
      </c>
      <c r="N36">
        <f>INDEX($G$6:$G$30,MIN(INT((A36-1)/12)+1,25))</f>
        <v/>
      </c>
      <c r="O36">
        <f>G36*$D$12</f>
        <v/>
      </c>
      <c r="P36">
        <f>M36*G36</f>
        <v/>
      </c>
      <c r="Q36">
        <f>($D$16/12)*I35</f>
        <v/>
      </c>
    </row>
    <row r="37">
      <c r="A37" t="n">
        <v>5</v>
      </c>
      <c r="B37">
        <f>CEILING(0.0101*G36/$D$5,1)</f>
        <v/>
      </c>
      <c r="C37">
        <f>MAX(0,MIN(MAX(0,FLOOR($D$15*D36*MAX(0,1-D36/(($D$10+SUM($N$33:N36))/$D$5)),1)),IF(A37&gt;=$D$14,IF(AND(D36&gt;0,F36&gt;0),INT(K36*D36/F36),0),1000000000),MIN(IF($D$11&gt;G36,INT(($D$11-G36)/$D$5),0)-D36,MAX(B37,INT(($D$10+SUM($N$33:N36))/$D$5)-D36))))</f>
        <v/>
      </c>
      <c r="D37">
        <f>D36+C37</f>
        <v/>
      </c>
      <c r="E37">
        <f>$D$5</f>
        <v/>
      </c>
      <c r="F37">
        <f>IF(G36&gt;=$D$11,0,MIN(D37*E37,$D$11-G36))</f>
        <v/>
      </c>
      <c r="G37">
        <f>G36+F37</f>
        <v/>
      </c>
      <c r="H37">
        <f>H36+$D$6*F37</f>
        <v/>
      </c>
      <c r="I37">
        <f>MAX(I36+$D$7*F37+Q37-0.01*G37,0.01*G37)</f>
        <v/>
      </c>
      <c r="J37">
        <f>J36+$D$8*F37+K37-MAX(0,0.02*G37-I36-$D$7*F37-Q37)</f>
        <v/>
      </c>
      <c r="K37">
        <f>($D$9/12)*J36</f>
        <v/>
      </c>
      <c r="L37">
        <f>IF(G37=0,0,J37/(G37*$D$12))</f>
        <v/>
      </c>
      <c r="M37">
        <f>MIN(0.06,MAX(0.01,IF(G37=0,0,I37/G37)))</f>
        <v/>
      </c>
      <c r="N37">
        <f>INDEX($G$6:$G$30,MIN(INT((A37-1)/12)+1,25))</f>
        <v/>
      </c>
      <c r="O37">
        <f>G37*$D$12</f>
        <v/>
      </c>
      <c r="P37">
        <f>M37*G37</f>
        <v/>
      </c>
      <c r="Q37">
        <f>($D$16/12)*I36</f>
        <v/>
      </c>
    </row>
    <row r="38">
      <c r="A38" t="n">
        <v>6</v>
      </c>
      <c r="B38">
        <f>CEILING(0.0101*G37/$D$5,1)</f>
        <v/>
      </c>
      <c r="C38">
        <f>MAX(0,MIN(MAX(0,FLOOR($D$15*D37*MAX(0,1-D37/(($D$10+SUM($N$33:N37))/$D$5)),1)),IF(A38&gt;=$D$14,IF(AND(D37&gt;0,F37&gt;0),INT(K37*D37/F37),0),1000000000),MIN(IF($D$11&gt;G37,INT(($D$11-G37)/$D$5),0)-D37,MAX(B38,INT(($D$10+SUM($N$33:N37))/$D$5)-D37))))</f>
        <v/>
      </c>
      <c r="D38">
        <f>D37+C38</f>
        <v/>
      </c>
      <c r="E38">
        <f>$D$5</f>
        <v/>
      </c>
      <c r="F38">
        <f>IF(G37&gt;=$D$11,0,MIN(D38*E38,$D$11-G37))</f>
        <v/>
      </c>
      <c r="G38">
        <f>G37+F38</f>
        <v/>
      </c>
      <c r="H38">
        <f>H37+$D$6*F38</f>
        <v/>
      </c>
      <c r="I38">
        <f>MAX(I37+$D$7*F38+Q38-0.01*G38,0.01*G38)</f>
        <v/>
      </c>
      <c r="J38">
        <f>J37+$D$8*F38+K38-MAX(0,0.02*G38-I37-$D$7*F38-Q38)</f>
        <v/>
      </c>
      <c r="K38">
        <f>($D$9/12)*J37</f>
        <v/>
      </c>
      <c r="L38">
        <f>IF(G38=0,0,J38/(G38*$D$12))</f>
        <v/>
      </c>
      <c r="M38">
        <f>MIN(0.06,MAX(0.01,IF(G38=0,0,I38/G38)))</f>
        <v/>
      </c>
      <c r="N38">
        <f>INDEX($G$6:$G$30,MIN(INT((A38-1)/12)+1,25))</f>
        <v/>
      </c>
      <c r="O38">
        <f>G38*$D$12</f>
        <v/>
      </c>
      <c r="P38">
        <f>M38*G38</f>
        <v/>
      </c>
      <c r="Q38">
        <f>($D$16/12)*I37</f>
        <v/>
      </c>
    </row>
    <row r="39">
      <c r="A39" t="n">
        <v>7</v>
      </c>
      <c r="B39">
        <f>CEILING(0.0101*G38/$D$5,1)</f>
        <v/>
      </c>
      <c r="C39">
        <f>MAX(0,MIN(MAX(0,FLOOR($D$15*D38*MAX(0,1-D38/(($D$10+SUM($N$33:N38))/$D$5)),1)),IF(A39&gt;=$D$14,IF(AND(D38&gt;0,F38&gt;0),INT(K38*D38/F38),0),1000000000),MIN(IF($D$11&gt;G38,INT(($D$11-G38)/$D$5),0)-D38,MAX(B39,INT(($D$10+SUM($N$33:N38))/$D$5)-D38))))</f>
        <v/>
      </c>
      <c r="D39">
        <f>D38+C39</f>
        <v/>
      </c>
      <c r="E39">
        <f>$D$5</f>
        <v/>
      </c>
      <c r="F39">
        <f>IF(G38&gt;=$D$11,0,MIN(D39*E39,$D$11-G38))</f>
        <v/>
      </c>
      <c r="G39">
        <f>G38+F39</f>
        <v/>
      </c>
      <c r="H39">
        <f>H38+$D$6*F39</f>
        <v/>
      </c>
      <c r="I39">
        <f>MAX(I38+$D$7*F39+Q39-0.01*G39,0.01*G39)</f>
        <v/>
      </c>
      <c r="J39">
        <f>J38+$D$8*F39+K39-MAX(0,0.02*G39-I38-$D$7*F39-Q39)</f>
        <v/>
      </c>
      <c r="K39">
        <f>($D$9/12)*J38</f>
        <v/>
      </c>
      <c r="L39">
        <f>IF(G39=0,0,J39/(G39*$D$12))</f>
        <v/>
      </c>
      <c r="M39">
        <f>MIN(0.06,MAX(0.01,IF(G39=0,0,I39/G39)))</f>
        <v/>
      </c>
      <c r="N39">
        <f>INDEX($G$6:$G$30,MIN(INT((A39-1)/12)+1,25))</f>
        <v/>
      </c>
      <c r="O39">
        <f>G39*$D$12</f>
        <v/>
      </c>
      <c r="P39">
        <f>M39*G39</f>
        <v/>
      </c>
      <c r="Q39">
        <f>($D$16/12)*I38</f>
        <v/>
      </c>
    </row>
    <row r="40">
      <c r="A40" t="n">
        <v>8</v>
      </c>
      <c r="B40">
        <f>CEILING(0.0101*G39/$D$5,1)</f>
        <v/>
      </c>
      <c r="C40">
        <f>MAX(0,MIN(MAX(0,FLOOR($D$15*D39*MAX(0,1-D39/(($D$10+SUM($N$33:N39))/$D$5)),1)),IF(A40&gt;=$D$14,IF(AND(D39&gt;0,F39&gt;0),INT(K39*D39/F39),0),1000000000),MIN(IF($D$11&gt;G39,INT(($D$11-G39)/$D$5),0)-D39,MAX(B40,INT(($D$10+SUM($N$33:N39))/$D$5)-D39))))</f>
        <v/>
      </c>
      <c r="D40">
        <f>D39+C40</f>
        <v/>
      </c>
      <c r="E40">
        <f>$D$5</f>
        <v/>
      </c>
      <c r="F40">
        <f>IF(G39&gt;=$D$11,0,MIN(D40*E40,$D$11-G39))</f>
        <v/>
      </c>
      <c r="G40">
        <f>G39+F40</f>
        <v/>
      </c>
      <c r="H40">
        <f>H39+$D$6*F40</f>
        <v/>
      </c>
      <c r="I40">
        <f>MAX(I39+$D$7*F40+Q40-0.01*G40,0.01*G40)</f>
        <v/>
      </c>
      <c r="J40">
        <f>J39+$D$8*F40+K40-MAX(0,0.02*G40-I39-$D$7*F40-Q40)</f>
        <v/>
      </c>
      <c r="K40">
        <f>($D$9/12)*J39</f>
        <v/>
      </c>
      <c r="L40">
        <f>IF(G40=0,0,J40/(G40*$D$12))</f>
        <v/>
      </c>
      <c r="M40">
        <f>MIN(0.06,MAX(0.01,IF(G40=0,0,I40/G40)))</f>
        <v/>
      </c>
      <c r="N40">
        <f>INDEX($G$6:$G$30,MIN(INT((A40-1)/12)+1,25))</f>
        <v/>
      </c>
      <c r="O40">
        <f>G40*$D$12</f>
        <v/>
      </c>
      <c r="P40">
        <f>M40*G40</f>
        <v/>
      </c>
      <c r="Q40">
        <f>($D$16/12)*I39</f>
        <v/>
      </c>
    </row>
    <row r="41">
      <c r="A41" t="n">
        <v>9</v>
      </c>
      <c r="B41">
        <f>CEILING(0.0101*G40/$D$5,1)</f>
        <v/>
      </c>
      <c r="C41">
        <f>MAX(0,MIN(MAX(0,FLOOR($D$15*D40*MAX(0,1-D40/(($D$10+SUM($N$33:N40))/$D$5)),1)),IF(A41&gt;=$D$14,IF(AND(D40&gt;0,F40&gt;0),INT(K40*D40/F40),0),1000000000),MIN(IF($D$11&gt;G40,INT(($D$11-G40)/$D$5),0)-D40,MAX(B41,INT(($D$10+SUM($N$33:N40))/$D$5)-D40))))</f>
        <v/>
      </c>
      <c r="D41">
        <f>D40+C41</f>
        <v/>
      </c>
      <c r="E41">
        <f>$D$5</f>
        <v/>
      </c>
      <c r="F41">
        <f>IF(G40&gt;=$D$11,0,MIN(D41*E41,$D$11-G40))</f>
        <v/>
      </c>
      <c r="G41">
        <f>G40+F41</f>
        <v/>
      </c>
      <c r="H41">
        <f>H40+$D$6*F41</f>
        <v/>
      </c>
      <c r="I41">
        <f>MAX(I40+$D$7*F41+Q41-0.01*G41,0.01*G41)</f>
        <v/>
      </c>
      <c r="J41">
        <f>J40+$D$8*F41+K41-MAX(0,0.02*G41-I40-$D$7*F41-Q41)</f>
        <v/>
      </c>
      <c r="K41">
        <f>($D$9/12)*J40</f>
        <v/>
      </c>
      <c r="L41">
        <f>IF(G41=0,0,J41/(G41*$D$12))</f>
        <v/>
      </c>
      <c r="M41">
        <f>MIN(0.06,MAX(0.01,IF(G41=0,0,I41/G41)))</f>
        <v/>
      </c>
      <c r="N41">
        <f>INDEX($G$6:$G$30,MIN(INT((A41-1)/12)+1,25))</f>
        <v/>
      </c>
      <c r="O41">
        <f>G41*$D$12</f>
        <v/>
      </c>
      <c r="P41">
        <f>M41*G41</f>
        <v/>
      </c>
      <c r="Q41">
        <f>($D$16/12)*I40</f>
        <v/>
      </c>
    </row>
    <row r="42">
      <c r="A42" t="n">
        <v>10</v>
      </c>
      <c r="B42">
        <f>CEILING(0.0101*G41/$D$5,1)</f>
        <v/>
      </c>
      <c r="C42">
        <f>MAX(0,MIN(MAX(0,FLOOR($D$15*D41*MAX(0,1-D41/(($D$10+SUM($N$33:N41))/$D$5)),1)),IF(A42&gt;=$D$14,IF(AND(D41&gt;0,F41&gt;0),INT(K41*D41/F41),0),1000000000),MIN(IF($D$11&gt;G41,INT(($D$11-G41)/$D$5),0)-D41,MAX(B42,INT(($D$10+SUM($N$33:N41))/$D$5)-D41))))</f>
        <v/>
      </c>
      <c r="D42">
        <f>D41+C42</f>
        <v/>
      </c>
      <c r="E42">
        <f>$D$5</f>
        <v/>
      </c>
      <c r="F42">
        <f>IF(G41&gt;=$D$11,0,MIN(D42*E42,$D$11-G41))</f>
        <v/>
      </c>
      <c r="G42">
        <f>G41+F42</f>
        <v/>
      </c>
      <c r="H42">
        <f>H41+$D$6*F42</f>
        <v/>
      </c>
      <c r="I42">
        <f>MAX(I41+$D$7*F42+Q42-0.01*G42,0.01*G42)</f>
        <v/>
      </c>
      <c r="J42">
        <f>J41+$D$8*F42+K42-MAX(0,0.02*G42-I41-$D$7*F42-Q42)</f>
        <v/>
      </c>
      <c r="K42">
        <f>($D$9/12)*J41</f>
        <v/>
      </c>
      <c r="L42">
        <f>IF(G42=0,0,J42/(G42*$D$12))</f>
        <v/>
      </c>
      <c r="M42">
        <f>MIN(0.06,MAX(0.01,IF(G42=0,0,I42/G42)))</f>
        <v/>
      </c>
      <c r="N42">
        <f>INDEX($G$6:$G$30,MIN(INT((A42-1)/12)+1,25))</f>
        <v/>
      </c>
      <c r="O42">
        <f>G42*$D$12</f>
        <v/>
      </c>
      <c r="P42">
        <f>M42*G42</f>
        <v/>
      </c>
      <c r="Q42">
        <f>($D$16/12)*I41</f>
        <v/>
      </c>
    </row>
    <row r="43">
      <c r="A43" t="n">
        <v>11</v>
      </c>
      <c r="B43">
        <f>CEILING(0.0101*G42/$D$5,1)</f>
        <v/>
      </c>
      <c r="C43">
        <f>MAX(0,MIN(MAX(0,FLOOR($D$15*D42*MAX(0,1-D42/(($D$10+SUM($N$33:N42))/$D$5)),1)),IF(A43&gt;=$D$14,IF(AND(D42&gt;0,F42&gt;0),INT(K42*D42/F42),0),1000000000),MIN(IF($D$11&gt;G42,INT(($D$11-G42)/$D$5),0)-D42,MAX(B43,INT(($D$10+SUM($N$33:N42))/$D$5)-D42))))</f>
        <v/>
      </c>
      <c r="D43">
        <f>D42+C43</f>
        <v/>
      </c>
      <c r="E43">
        <f>$D$5</f>
        <v/>
      </c>
      <c r="F43">
        <f>IF(G42&gt;=$D$11,0,MIN(D43*E43,$D$11-G42))</f>
        <v/>
      </c>
      <c r="G43">
        <f>G42+F43</f>
        <v/>
      </c>
      <c r="H43">
        <f>H42+$D$6*F43</f>
        <v/>
      </c>
      <c r="I43">
        <f>MAX(I42+$D$7*F43+Q43-0.01*G43,0.01*G43)</f>
        <v/>
      </c>
      <c r="J43">
        <f>J42+$D$8*F43+K43-MAX(0,0.02*G43-I42-$D$7*F43-Q43)</f>
        <v/>
      </c>
      <c r="K43">
        <f>($D$9/12)*J42</f>
        <v/>
      </c>
      <c r="L43">
        <f>IF(G43=0,0,J43/(G43*$D$12))</f>
        <v/>
      </c>
      <c r="M43">
        <f>MIN(0.06,MAX(0.01,IF(G43=0,0,I43/G43)))</f>
        <v/>
      </c>
      <c r="N43">
        <f>INDEX($G$6:$G$30,MIN(INT((A43-1)/12)+1,25))</f>
        <v/>
      </c>
      <c r="O43">
        <f>G43*$D$12</f>
        <v/>
      </c>
      <c r="P43">
        <f>M43*G43</f>
        <v/>
      </c>
      <c r="Q43">
        <f>($D$16/12)*I42</f>
        <v/>
      </c>
    </row>
    <row r="44">
      <c r="A44" t="n">
        <v>12</v>
      </c>
      <c r="B44">
        <f>CEILING(0.0101*G43/$D$5,1)</f>
        <v/>
      </c>
      <c r="C44">
        <f>MAX(0,MIN(MAX(0,FLOOR($D$15*D43*MAX(0,1-D43/(($D$10+SUM($N$33:N43))/$D$5)),1)),IF(A44&gt;=$D$14,IF(AND(D43&gt;0,F43&gt;0),INT(K43*D43/F43),0),1000000000),MIN(IF($D$11&gt;G43,INT(($D$11-G43)/$D$5),0)-D43,MAX(B44,INT(($D$10+SUM($N$33:N43))/$D$5)-D43))))</f>
        <v/>
      </c>
      <c r="D44">
        <f>D43+C44</f>
        <v/>
      </c>
      <c r="E44">
        <f>$D$5</f>
        <v/>
      </c>
      <c r="F44">
        <f>IF(G43&gt;=$D$11,0,MIN(D44*E44,$D$11-G43))</f>
        <v/>
      </c>
      <c r="G44">
        <f>G43+F44</f>
        <v/>
      </c>
      <c r="H44">
        <f>H43+$D$6*F44</f>
        <v/>
      </c>
      <c r="I44">
        <f>MAX(I43+$D$7*F44+Q44-0.01*G44,0.01*G44)</f>
        <v/>
      </c>
      <c r="J44">
        <f>J43+$D$8*F44+K44-MAX(0,0.02*G44-I43-$D$7*F44-Q44)</f>
        <v/>
      </c>
      <c r="K44">
        <f>($D$9/12)*J43</f>
        <v/>
      </c>
      <c r="L44">
        <f>IF(G44=0,0,J44/(G44*$D$12))</f>
        <v/>
      </c>
      <c r="M44">
        <f>MIN(0.06,MAX(0.01,IF(G44=0,0,I44/G44)))</f>
        <v/>
      </c>
      <c r="N44">
        <f>INDEX($G$6:$G$30,MIN(INT((A44-1)/12)+1,25))</f>
        <v/>
      </c>
      <c r="O44">
        <f>G44*$D$12</f>
        <v/>
      </c>
      <c r="P44">
        <f>M44*G44</f>
        <v/>
      </c>
      <c r="Q44">
        <f>($D$16/12)*I43</f>
        <v/>
      </c>
    </row>
    <row r="45">
      <c r="A45" t="n">
        <v>13</v>
      </c>
      <c r="B45">
        <f>CEILING(0.0101*G44/$D$5,1)</f>
        <v/>
      </c>
      <c r="C45">
        <f>MAX(0,MIN(MAX(0,FLOOR($D$15*D44*MAX(0,1-D44/(($D$10+SUM($N$33:N44))/$D$5)),1)),IF(A45&gt;=$D$14,IF(AND(D44&gt;0,F44&gt;0),INT(K44*D44/F44),0),1000000000),MIN(IF($D$11&gt;G44,INT(($D$11-G44)/$D$5),0)-D44,MAX(B45,INT(($D$10+SUM($N$33:N44))/$D$5)-D44))))</f>
        <v/>
      </c>
      <c r="D45">
        <f>D44+C45</f>
        <v/>
      </c>
      <c r="E45">
        <f>$D$5</f>
        <v/>
      </c>
      <c r="F45">
        <f>IF(G44&gt;=$D$11,0,MIN(D45*E45,$D$11-G44))</f>
        <v/>
      </c>
      <c r="G45">
        <f>G44+F45</f>
        <v/>
      </c>
      <c r="H45">
        <f>H44+$D$6*F45</f>
        <v/>
      </c>
      <c r="I45">
        <f>MAX(I44+$D$7*F45+Q45-0.01*G45,0.01*G45)</f>
        <v/>
      </c>
      <c r="J45">
        <f>J44+$D$8*F45+K45-MAX(0,0.02*G45-I44-$D$7*F45-Q45)</f>
        <v/>
      </c>
      <c r="K45">
        <f>($D$9/12)*J44</f>
        <v/>
      </c>
      <c r="L45">
        <f>IF(G45=0,0,J45/(G45*$D$12))</f>
        <v/>
      </c>
      <c r="M45">
        <f>MIN(0.06,MAX(0.01,IF(G45=0,0,I45/G45)))</f>
        <v/>
      </c>
      <c r="N45">
        <f>INDEX($G$6:$G$30,MIN(INT((A45-1)/12)+1,25))</f>
        <v/>
      </c>
      <c r="O45">
        <f>G45*$D$12</f>
        <v/>
      </c>
      <c r="P45">
        <f>M45*G45</f>
        <v/>
      </c>
      <c r="Q45">
        <f>($D$16/12)*I44</f>
        <v/>
      </c>
    </row>
    <row r="46">
      <c r="A46" t="n">
        <v>14</v>
      </c>
      <c r="B46">
        <f>CEILING(0.0101*G45/$D$5,1)</f>
        <v/>
      </c>
      <c r="C46">
        <f>MAX(0,MIN(MAX(0,FLOOR($D$15*D45*MAX(0,1-D45/(($D$10+SUM($N$33:N45))/$D$5)),1)),IF(A46&gt;=$D$14,IF(AND(D45&gt;0,F45&gt;0),INT(K45*D45/F45),0),1000000000),MIN(IF($D$11&gt;G45,INT(($D$11-G45)/$D$5),0)-D45,MAX(B46,INT(($D$10+SUM($N$33:N45))/$D$5)-D45))))</f>
        <v/>
      </c>
      <c r="D46">
        <f>D45+C46</f>
        <v/>
      </c>
      <c r="E46">
        <f>$D$5</f>
        <v/>
      </c>
      <c r="F46">
        <f>IF(G45&gt;=$D$11,0,MIN(D46*E46,$D$11-G45))</f>
        <v/>
      </c>
      <c r="G46">
        <f>G45+F46</f>
        <v/>
      </c>
      <c r="H46">
        <f>H45+$D$6*F46</f>
        <v/>
      </c>
      <c r="I46">
        <f>MAX(I45+$D$7*F46+Q46-0.01*G46,0.01*G46)</f>
        <v/>
      </c>
      <c r="J46">
        <f>J45+$D$8*F46+K46-MAX(0,0.02*G46-I45-$D$7*F46-Q46)</f>
        <v/>
      </c>
      <c r="K46">
        <f>($D$9/12)*J45</f>
        <v/>
      </c>
      <c r="L46">
        <f>IF(G46=0,0,J46/(G46*$D$12))</f>
        <v/>
      </c>
      <c r="M46">
        <f>MIN(0.06,MAX(0.01,IF(G46=0,0,I46/G46)))</f>
        <v/>
      </c>
      <c r="N46">
        <f>INDEX($G$6:$G$30,MIN(INT((A46-1)/12)+1,25))</f>
        <v/>
      </c>
      <c r="O46">
        <f>G46*$D$12</f>
        <v/>
      </c>
      <c r="P46">
        <f>M46*G46</f>
        <v/>
      </c>
      <c r="Q46">
        <f>($D$16/12)*I45</f>
        <v/>
      </c>
    </row>
    <row r="47">
      <c r="A47" t="n">
        <v>15</v>
      </c>
      <c r="B47">
        <f>CEILING(0.0101*G46/$D$5,1)</f>
        <v/>
      </c>
      <c r="C47">
        <f>MAX(0,MIN(MAX(0,FLOOR($D$15*D46*MAX(0,1-D46/(($D$10+SUM($N$33:N46))/$D$5)),1)),IF(A47&gt;=$D$14,IF(AND(D46&gt;0,F46&gt;0),INT(K46*D46/F46),0),1000000000),MIN(IF($D$11&gt;G46,INT(($D$11-G46)/$D$5),0)-D46,MAX(B47,INT(($D$10+SUM($N$33:N46))/$D$5)-D46))))</f>
        <v/>
      </c>
      <c r="D47">
        <f>D46+C47</f>
        <v/>
      </c>
      <c r="E47">
        <f>$D$5</f>
        <v/>
      </c>
      <c r="F47">
        <f>IF(G46&gt;=$D$11,0,MIN(D47*E47,$D$11-G46))</f>
        <v/>
      </c>
      <c r="G47">
        <f>G46+F47</f>
        <v/>
      </c>
      <c r="H47">
        <f>H46+$D$6*F47</f>
        <v/>
      </c>
      <c r="I47">
        <f>MAX(I46+$D$7*F47+Q47-0.01*G47,0.01*G47)</f>
        <v/>
      </c>
      <c r="J47">
        <f>J46+$D$8*F47+K47-MAX(0,0.02*G47-I46-$D$7*F47-Q47)</f>
        <v/>
      </c>
      <c r="K47">
        <f>($D$9/12)*J46</f>
        <v/>
      </c>
      <c r="L47">
        <f>IF(G47=0,0,J47/(G47*$D$12))</f>
        <v/>
      </c>
      <c r="M47">
        <f>MIN(0.06,MAX(0.01,IF(G47=0,0,I47/G47)))</f>
        <v/>
      </c>
      <c r="N47">
        <f>INDEX($G$6:$G$30,MIN(INT((A47-1)/12)+1,25))</f>
        <v/>
      </c>
      <c r="O47">
        <f>G47*$D$12</f>
        <v/>
      </c>
      <c r="P47">
        <f>M47*G47</f>
        <v/>
      </c>
      <c r="Q47">
        <f>($D$16/12)*I46</f>
        <v/>
      </c>
    </row>
    <row r="48">
      <c r="A48" t="n">
        <v>16</v>
      </c>
      <c r="B48">
        <f>CEILING(0.0101*G47/$D$5,1)</f>
        <v/>
      </c>
      <c r="C48">
        <f>MAX(0,MIN(MAX(0,FLOOR($D$15*D47*MAX(0,1-D47/(($D$10+SUM($N$33:N47))/$D$5)),1)),IF(A48&gt;=$D$14,IF(AND(D47&gt;0,F47&gt;0),INT(K47*D47/F47),0),1000000000),MIN(IF($D$11&gt;G47,INT(($D$11-G47)/$D$5),0)-D47,MAX(B48,INT(($D$10+SUM($N$33:N47))/$D$5)-D47))))</f>
        <v/>
      </c>
      <c r="D48">
        <f>D47+C48</f>
        <v/>
      </c>
      <c r="E48">
        <f>$D$5</f>
        <v/>
      </c>
      <c r="F48">
        <f>IF(G47&gt;=$D$11,0,MIN(D48*E48,$D$11-G47))</f>
        <v/>
      </c>
      <c r="G48">
        <f>G47+F48</f>
        <v/>
      </c>
      <c r="H48">
        <f>H47+$D$6*F48</f>
        <v/>
      </c>
      <c r="I48">
        <f>MAX(I47+$D$7*F48+Q48-0.01*G48,0.01*G48)</f>
        <v/>
      </c>
      <c r="J48">
        <f>J47+$D$8*F48+K48-MAX(0,0.02*G48-I47-$D$7*F48-Q48)</f>
        <v/>
      </c>
      <c r="K48">
        <f>($D$9/12)*J47</f>
        <v/>
      </c>
      <c r="L48">
        <f>IF(G48=0,0,J48/(G48*$D$12))</f>
        <v/>
      </c>
      <c r="M48">
        <f>MIN(0.06,MAX(0.01,IF(G48=0,0,I48/G48)))</f>
        <v/>
      </c>
      <c r="N48">
        <f>INDEX($G$6:$G$30,MIN(INT((A48-1)/12)+1,25))</f>
        <v/>
      </c>
      <c r="O48">
        <f>G48*$D$12</f>
        <v/>
      </c>
      <c r="P48">
        <f>M48*G48</f>
        <v/>
      </c>
      <c r="Q48">
        <f>($D$16/12)*I47</f>
        <v/>
      </c>
    </row>
    <row r="49">
      <c r="A49" t="n">
        <v>17</v>
      </c>
      <c r="B49">
        <f>CEILING(0.0101*G48/$D$5,1)</f>
        <v/>
      </c>
      <c r="C49">
        <f>MAX(0,MIN(MAX(0,FLOOR($D$15*D48*MAX(0,1-D48/(($D$10+SUM($N$33:N48))/$D$5)),1)),IF(A49&gt;=$D$14,IF(AND(D48&gt;0,F48&gt;0),INT(K48*D48/F48),0),1000000000),MIN(IF($D$11&gt;G48,INT(($D$11-G48)/$D$5),0)-D48,MAX(B49,INT(($D$10+SUM($N$33:N48))/$D$5)-D48))))</f>
        <v/>
      </c>
      <c r="D49">
        <f>D48+C49</f>
        <v/>
      </c>
      <c r="E49">
        <f>$D$5</f>
        <v/>
      </c>
      <c r="F49">
        <f>IF(G48&gt;=$D$11,0,MIN(D49*E49,$D$11-G48))</f>
        <v/>
      </c>
      <c r="G49">
        <f>G48+F49</f>
        <v/>
      </c>
      <c r="H49">
        <f>H48+$D$6*F49</f>
        <v/>
      </c>
      <c r="I49">
        <f>MAX(I48+$D$7*F49+Q49-0.01*G49,0.01*G49)</f>
        <v/>
      </c>
      <c r="J49">
        <f>J48+$D$8*F49+K49-MAX(0,0.02*G49-I48-$D$7*F49-Q49)</f>
        <v/>
      </c>
      <c r="K49">
        <f>($D$9/12)*J48</f>
        <v/>
      </c>
      <c r="L49">
        <f>IF(G49=0,0,J49/(G49*$D$12))</f>
        <v/>
      </c>
      <c r="M49">
        <f>MIN(0.06,MAX(0.01,IF(G49=0,0,I49/G49)))</f>
        <v/>
      </c>
      <c r="N49">
        <f>INDEX($G$6:$G$30,MIN(INT((A49-1)/12)+1,25))</f>
        <v/>
      </c>
      <c r="O49">
        <f>G49*$D$12</f>
        <v/>
      </c>
      <c r="P49">
        <f>M49*G49</f>
        <v/>
      </c>
      <c r="Q49">
        <f>($D$16/12)*I48</f>
        <v/>
      </c>
    </row>
    <row r="50">
      <c r="A50" t="n">
        <v>18</v>
      </c>
      <c r="B50">
        <f>CEILING(0.0101*G49/$D$5,1)</f>
        <v/>
      </c>
      <c r="C50">
        <f>MAX(0,MIN(MAX(0,FLOOR($D$15*D49*MAX(0,1-D49/(($D$10+SUM($N$33:N49))/$D$5)),1)),IF(A50&gt;=$D$14,IF(AND(D49&gt;0,F49&gt;0),INT(K49*D49/F49),0),1000000000),MIN(IF($D$11&gt;G49,INT(($D$11-G49)/$D$5),0)-D49,MAX(B50,INT(($D$10+SUM($N$33:N49))/$D$5)-D49))))</f>
        <v/>
      </c>
      <c r="D50">
        <f>D49+C50</f>
        <v/>
      </c>
      <c r="E50">
        <f>$D$5</f>
        <v/>
      </c>
      <c r="F50">
        <f>IF(G49&gt;=$D$11,0,MIN(D50*E50,$D$11-G49))</f>
        <v/>
      </c>
      <c r="G50">
        <f>G49+F50</f>
        <v/>
      </c>
      <c r="H50">
        <f>H49+$D$6*F50</f>
        <v/>
      </c>
      <c r="I50">
        <f>MAX(I49+$D$7*F50+Q50-0.01*G50,0.01*G50)</f>
        <v/>
      </c>
      <c r="J50">
        <f>J49+$D$8*F50+K50-MAX(0,0.02*G50-I49-$D$7*F50-Q50)</f>
        <v/>
      </c>
      <c r="K50">
        <f>($D$9/12)*J49</f>
        <v/>
      </c>
      <c r="L50">
        <f>IF(G50=0,0,J50/(G50*$D$12))</f>
        <v/>
      </c>
      <c r="M50">
        <f>MIN(0.06,MAX(0.01,IF(G50=0,0,I50/G50)))</f>
        <v/>
      </c>
      <c r="N50">
        <f>INDEX($G$6:$G$30,MIN(INT((A50-1)/12)+1,25))</f>
        <v/>
      </c>
      <c r="O50">
        <f>G50*$D$12</f>
        <v/>
      </c>
      <c r="P50">
        <f>M50*G50</f>
        <v/>
      </c>
      <c r="Q50">
        <f>($D$16/12)*I49</f>
        <v/>
      </c>
    </row>
    <row r="51">
      <c r="A51" t="n">
        <v>19</v>
      </c>
      <c r="B51">
        <f>CEILING(0.0101*G50/$D$5,1)</f>
        <v/>
      </c>
      <c r="C51">
        <f>MAX(0,MIN(MAX(0,FLOOR($D$15*D50*MAX(0,1-D50/(($D$10+SUM($N$33:N50))/$D$5)),1)),IF(A51&gt;=$D$14,IF(AND(D50&gt;0,F50&gt;0),INT(K50*D50/F50),0),1000000000),MIN(IF($D$11&gt;G50,INT(($D$11-G50)/$D$5),0)-D50,MAX(B51,INT(($D$10+SUM($N$33:N50))/$D$5)-D50))))</f>
        <v/>
      </c>
      <c r="D51">
        <f>D50+C51</f>
        <v/>
      </c>
      <c r="E51">
        <f>$D$5</f>
        <v/>
      </c>
      <c r="F51">
        <f>IF(G50&gt;=$D$11,0,MIN(D51*E51,$D$11-G50))</f>
        <v/>
      </c>
      <c r="G51">
        <f>G50+F51</f>
        <v/>
      </c>
      <c r="H51">
        <f>H50+$D$6*F51</f>
        <v/>
      </c>
      <c r="I51">
        <f>MAX(I50+$D$7*F51+Q51-0.01*G51,0.01*G51)</f>
        <v/>
      </c>
      <c r="J51">
        <f>J50+$D$8*F51+K51-MAX(0,0.02*G51-I50-$D$7*F51-Q51)</f>
        <v/>
      </c>
      <c r="K51">
        <f>($D$9/12)*J50</f>
        <v/>
      </c>
      <c r="L51">
        <f>IF(G51=0,0,J51/(G51*$D$12))</f>
        <v/>
      </c>
      <c r="M51">
        <f>MIN(0.06,MAX(0.01,IF(G51=0,0,I51/G51)))</f>
        <v/>
      </c>
      <c r="N51">
        <f>INDEX($G$6:$G$30,MIN(INT((A51-1)/12)+1,25))</f>
        <v/>
      </c>
      <c r="O51">
        <f>G51*$D$12</f>
        <v/>
      </c>
      <c r="P51">
        <f>M51*G51</f>
        <v/>
      </c>
      <c r="Q51">
        <f>($D$16/12)*I50</f>
        <v/>
      </c>
    </row>
    <row r="52">
      <c r="A52" t="n">
        <v>20</v>
      </c>
      <c r="B52">
        <f>CEILING(0.0101*G51/$D$5,1)</f>
        <v/>
      </c>
      <c r="C52">
        <f>MAX(0,MIN(MAX(0,FLOOR($D$15*D51*MAX(0,1-D51/(($D$10+SUM($N$33:N51))/$D$5)),1)),IF(A52&gt;=$D$14,IF(AND(D51&gt;0,F51&gt;0),INT(K51*D51/F51),0),1000000000),MIN(IF($D$11&gt;G51,INT(($D$11-G51)/$D$5),0)-D51,MAX(B52,INT(($D$10+SUM($N$33:N51))/$D$5)-D51))))</f>
        <v/>
      </c>
      <c r="D52">
        <f>D51+C52</f>
        <v/>
      </c>
      <c r="E52">
        <f>$D$5</f>
        <v/>
      </c>
      <c r="F52">
        <f>IF(G51&gt;=$D$11,0,MIN(D52*E52,$D$11-G51))</f>
        <v/>
      </c>
      <c r="G52">
        <f>G51+F52</f>
        <v/>
      </c>
      <c r="H52">
        <f>H51+$D$6*F52</f>
        <v/>
      </c>
      <c r="I52">
        <f>MAX(I51+$D$7*F52+Q52-0.01*G52,0.01*G52)</f>
        <v/>
      </c>
      <c r="J52">
        <f>J51+$D$8*F52+K52-MAX(0,0.02*G52-I51-$D$7*F52-Q52)</f>
        <v/>
      </c>
      <c r="K52">
        <f>($D$9/12)*J51</f>
        <v/>
      </c>
      <c r="L52">
        <f>IF(G52=0,0,J52/(G52*$D$12))</f>
        <v/>
      </c>
      <c r="M52">
        <f>MIN(0.06,MAX(0.01,IF(G52=0,0,I52/G52)))</f>
        <v/>
      </c>
      <c r="N52">
        <f>INDEX($G$6:$G$30,MIN(INT((A52-1)/12)+1,25))</f>
        <v/>
      </c>
      <c r="O52">
        <f>G52*$D$12</f>
        <v/>
      </c>
      <c r="P52">
        <f>M52*G52</f>
        <v/>
      </c>
      <c r="Q52">
        <f>($D$16/12)*I51</f>
        <v/>
      </c>
    </row>
    <row r="53">
      <c r="A53" t="n">
        <v>21</v>
      </c>
      <c r="B53">
        <f>CEILING(0.0101*G52/$D$5,1)</f>
        <v/>
      </c>
      <c r="C53">
        <f>MAX(0,MIN(MAX(0,FLOOR($D$15*D52*MAX(0,1-D52/(($D$10+SUM($N$33:N52))/$D$5)),1)),IF(A53&gt;=$D$14,IF(AND(D52&gt;0,F52&gt;0),INT(K52*D52/F52),0),1000000000),MIN(IF($D$11&gt;G52,INT(($D$11-G52)/$D$5),0)-D52,MAX(B53,INT(($D$10+SUM($N$33:N52))/$D$5)-D52))))</f>
        <v/>
      </c>
      <c r="D53">
        <f>D52+C53</f>
        <v/>
      </c>
      <c r="E53">
        <f>$D$5</f>
        <v/>
      </c>
      <c r="F53">
        <f>IF(G52&gt;=$D$11,0,MIN(D53*E53,$D$11-G52))</f>
        <v/>
      </c>
      <c r="G53">
        <f>G52+F53</f>
        <v/>
      </c>
      <c r="H53">
        <f>H52+$D$6*F53</f>
        <v/>
      </c>
      <c r="I53">
        <f>MAX(I52+$D$7*F53+Q53-0.01*G53,0.01*G53)</f>
        <v/>
      </c>
      <c r="J53">
        <f>J52+$D$8*F53+K53-MAX(0,0.02*G53-I52-$D$7*F53-Q53)</f>
        <v/>
      </c>
      <c r="K53">
        <f>($D$9/12)*J52</f>
        <v/>
      </c>
      <c r="L53">
        <f>IF(G53=0,0,J53/(G53*$D$12))</f>
        <v/>
      </c>
      <c r="M53">
        <f>MIN(0.06,MAX(0.01,IF(G53=0,0,I53/G53)))</f>
        <v/>
      </c>
      <c r="N53">
        <f>INDEX($G$6:$G$30,MIN(INT((A53-1)/12)+1,25))</f>
        <v/>
      </c>
      <c r="O53">
        <f>G53*$D$12</f>
        <v/>
      </c>
      <c r="P53">
        <f>M53*G53</f>
        <v/>
      </c>
      <c r="Q53">
        <f>($D$16/12)*I52</f>
        <v/>
      </c>
    </row>
    <row r="54">
      <c r="A54" t="n">
        <v>22</v>
      </c>
      <c r="B54">
        <f>CEILING(0.0101*G53/$D$5,1)</f>
        <v/>
      </c>
      <c r="C54">
        <f>MAX(0,MIN(MAX(0,FLOOR($D$15*D53*MAX(0,1-D53/(($D$10+SUM($N$33:N53))/$D$5)),1)),IF(A54&gt;=$D$14,IF(AND(D53&gt;0,F53&gt;0),INT(K53*D53/F53),0),1000000000),MIN(IF($D$11&gt;G53,INT(($D$11-G53)/$D$5),0)-D53,MAX(B54,INT(($D$10+SUM($N$33:N53))/$D$5)-D53))))</f>
        <v/>
      </c>
      <c r="D54">
        <f>D53+C54</f>
        <v/>
      </c>
      <c r="E54">
        <f>$D$5</f>
        <v/>
      </c>
      <c r="F54">
        <f>IF(G53&gt;=$D$11,0,MIN(D54*E54,$D$11-G53))</f>
        <v/>
      </c>
      <c r="G54">
        <f>G53+F54</f>
        <v/>
      </c>
      <c r="H54">
        <f>H53+$D$6*F54</f>
        <v/>
      </c>
      <c r="I54">
        <f>MAX(I53+$D$7*F54+Q54-0.01*G54,0.01*G54)</f>
        <v/>
      </c>
      <c r="J54">
        <f>J53+$D$8*F54+K54-MAX(0,0.02*G54-I53-$D$7*F54-Q54)</f>
        <v/>
      </c>
      <c r="K54">
        <f>($D$9/12)*J53</f>
        <v/>
      </c>
      <c r="L54">
        <f>IF(G54=0,0,J54/(G54*$D$12))</f>
        <v/>
      </c>
      <c r="M54">
        <f>MIN(0.06,MAX(0.01,IF(G54=0,0,I54/G54)))</f>
        <v/>
      </c>
      <c r="N54">
        <f>INDEX($G$6:$G$30,MIN(INT((A54-1)/12)+1,25))</f>
        <v/>
      </c>
      <c r="O54">
        <f>G54*$D$12</f>
        <v/>
      </c>
      <c r="P54">
        <f>M54*G54</f>
        <v/>
      </c>
      <c r="Q54">
        <f>($D$16/12)*I53</f>
        <v/>
      </c>
    </row>
    <row r="55">
      <c r="A55" t="n">
        <v>23</v>
      </c>
      <c r="B55">
        <f>CEILING(0.0101*G54/$D$5,1)</f>
        <v/>
      </c>
      <c r="C55">
        <f>MAX(0,MIN(MAX(0,FLOOR($D$15*D54*MAX(0,1-D54/(($D$10+SUM($N$33:N54))/$D$5)),1)),IF(A55&gt;=$D$14,IF(AND(D54&gt;0,F54&gt;0),INT(K54*D54/F54),0),1000000000),MIN(IF($D$11&gt;G54,INT(($D$11-G54)/$D$5),0)-D54,MAX(B55,INT(($D$10+SUM($N$33:N54))/$D$5)-D54))))</f>
        <v/>
      </c>
      <c r="D55">
        <f>D54+C55</f>
        <v/>
      </c>
      <c r="E55">
        <f>$D$5</f>
        <v/>
      </c>
      <c r="F55">
        <f>IF(G54&gt;=$D$11,0,MIN(D55*E55,$D$11-G54))</f>
        <v/>
      </c>
      <c r="G55">
        <f>G54+F55</f>
        <v/>
      </c>
      <c r="H55">
        <f>H54+$D$6*F55</f>
        <v/>
      </c>
      <c r="I55">
        <f>MAX(I54+$D$7*F55+Q55-0.01*G55,0.01*G55)</f>
        <v/>
      </c>
      <c r="J55">
        <f>J54+$D$8*F55+K55-MAX(0,0.02*G55-I54-$D$7*F55-Q55)</f>
        <v/>
      </c>
      <c r="K55">
        <f>($D$9/12)*J54</f>
        <v/>
      </c>
      <c r="L55">
        <f>IF(G55=0,0,J55/(G55*$D$12))</f>
        <v/>
      </c>
      <c r="M55">
        <f>MIN(0.06,MAX(0.01,IF(G55=0,0,I55/G55)))</f>
        <v/>
      </c>
      <c r="N55">
        <f>INDEX($G$6:$G$30,MIN(INT((A55-1)/12)+1,25))</f>
        <v/>
      </c>
      <c r="O55">
        <f>G55*$D$12</f>
        <v/>
      </c>
      <c r="P55">
        <f>M55*G55</f>
        <v/>
      </c>
      <c r="Q55">
        <f>($D$16/12)*I54</f>
        <v/>
      </c>
    </row>
    <row r="56">
      <c r="A56" t="n">
        <v>24</v>
      </c>
      <c r="B56">
        <f>CEILING(0.0101*G55/$D$5,1)</f>
        <v/>
      </c>
      <c r="C56">
        <f>MAX(0,MIN(MAX(0,FLOOR($D$15*D55*MAX(0,1-D55/(($D$10+SUM($N$33:N55))/$D$5)),1)),IF(A56&gt;=$D$14,IF(AND(D55&gt;0,F55&gt;0),INT(K55*D55/F55),0),1000000000),MIN(IF($D$11&gt;G55,INT(($D$11-G55)/$D$5),0)-D55,MAX(B56,INT(($D$10+SUM($N$33:N55))/$D$5)-D55))))</f>
        <v/>
      </c>
      <c r="D56">
        <f>D55+C56</f>
        <v/>
      </c>
      <c r="E56">
        <f>$D$5</f>
        <v/>
      </c>
      <c r="F56">
        <f>IF(G55&gt;=$D$11,0,MIN(D56*E56,$D$11-G55))</f>
        <v/>
      </c>
      <c r="G56">
        <f>G55+F56</f>
        <v/>
      </c>
      <c r="H56">
        <f>H55+$D$6*F56</f>
        <v/>
      </c>
      <c r="I56">
        <f>MAX(I55+$D$7*F56+Q56-0.01*G56,0.01*G56)</f>
        <v/>
      </c>
      <c r="J56">
        <f>J55+$D$8*F56+K56-MAX(0,0.02*G56-I55-$D$7*F56-Q56)</f>
        <v/>
      </c>
      <c r="K56">
        <f>($D$9/12)*J55</f>
        <v/>
      </c>
      <c r="L56">
        <f>IF(G56=0,0,J56/(G56*$D$12))</f>
        <v/>
      </c>
      <c r="M56">
        <f>MIN(0.06,MAX(0.01,IF(G56=0,0,I56/G56)))</f>
        <v/>
      </c>
      <c r="N56">
        <f>INDEX($G$6:$G$30,MIN(INT((A56-1)/12)+1,25))</f>
        <v/>
      </c>
      <c r="O56">
        <f>G56*$D$12</f>
        <v/>
      </c>
      <c r="P56">
        <f>M56*G56</f>
        <v/>
      </c>
      <c r="Q56">
        <f>($D$16/12)*I55</f>
        <v/>
      </c>
    </row>
    <row r="57">
      <c r="A57" t="n">
        <v>25</v>
      </c>
      <c r="B57">
        <f>CEILING(0.0101*G56/$D$5,1)</f>
        <v/>
      </c>
      <c r="C57">
        <f>MAX(0,MIN(MAX(0,FLOOR($D$15*D56*MAX(0,1-D56/(($D$10+SUM($N$33:N56))/$D$5)),1)),IF(A57&gt;=$D$14,IF(AND(D56&gt;0,F56&gt;0),INT(K56*D56/F56),0),1000000000),MIN(IF($D$11&gt;G56,INT(($D$11-G56)/$D$5),0)-D56,MAX(B57,INT(($D$10+SUM($N$33:N56))/$D$5)-D56))))</f>
        <v/>
      </c>
      <c r="D57">
        <f>D56+C57</f>
        <v/>
      </c>
      <c r="E57">
        <f>$D$5</f>
        <v/>
      </c>
      <c r="F57">
        <f>IF(G56&gt;=$D$11,0,MIN(D57*E57,$D$11-G56))</f>
        <v/>
      </c>
      <c r="G57">
        <f>G56+F57</f>
        <v/>
      </c>
      <c r="H57">
        <f>H56+$D$6*F57</f>
        <v/>
      </c>
      <c r="I57">
        <f>MAX(I56+$D$7*F57+Q57-0.01*G57,0.01*G57)</f>
        <v/>
      </c>
      <c r="J57">
        <f>J56+$D$8*F57+K57-MAX(0,0.02*G57-I56-$D$7*F57-Q57)</f>
        <v/>
      </c>
      <c r="K57">
        <f>($D$9/12)*J56</f>
        <v/>
      </c>
      <c r="L57">
        <f>IF(G57=0,0,J57/(G57*$D$12))</f>
        <v/>
      </c>
      <c r="M57">
        <f>MIN(0.06,MAX(0.01,IF(G57=0,0,I57/G57)))</f>
        <v/>
      </c>
      <c r="N57">
        <f>INDEX($G$6:$G$30,MIN(INT((A57-1)/12)+1,25))</f>
        <v/>
      </c>
      <c r="O57">
        <f>G57*$D$12</f>
        <v/>
      </c>
      <c r="P57">
        <f>M57*G57</f>
        <v/>
      </c>
      <c r="Q57">
        <f>($D$16/12)*I56</f>
        <v/>
      </c>
    </row>
    <row r="58">
      <c r="A58" t="n">
        <v>26</v>
      </c>
      <c r="B58">
        <f>CEILING(0.0101*G57/$D$5,1)</f>
        <v/>
      </c>
      <c r="C58">
        <f>MAX(0,MIN(MAX(0,FLOOR($D$15*D57*MAX(0,1-D57/(($D$10+SUM($N$33:N57))/$D$5)),1)),IF(A58&gt;=$D$14,IF(AND(D57&gt;0,F57&gt;0),INT(K57*D57/F57),0),1000000000),MIN(IF($D$11&gt;G57,INT(($D$11-G57)/$D$5),0)-D57,MAX(B58,INT(($D$10+SUM($N$33:N57))/$D$5)-D57))))</f>
        <v/>
      </c>
      <c r="D58">
        <f>D57+C58</f>
        <v/>
      </c>
      <c r="E58">
        <f>$D$5</f>
        <v/>
      </c>
      <c r="F58">
        <f>IF(G57&gt;=$D$11,0,MIN(D58*E58,$D$11-G57))</f>
        <v/>
      </c>
      <c r="G58">
        <f>G57+F58</f>
        <v/>
      </c>
      <c r="H58">
        <f>H57+$D$6*F58</f>
        <v/>
      </c>
      <c r="I58">
        <f>MAX(I57+$D$7*F58+Q58-0.01*G58,0.01*G58)</f>
        <v/>
      </c>
      <c r="J58">
        <f>J57+$D$8*F58+K58-MAX(0,0.02*G58-I57-$D$7*F58-Q58)</f>
        <v/>
      </c>
      <c r="K58">
        <f>($D$9/12)*J57</f>
        <v/>
      </c>
      <c r="L58">
        <f>IF(G58=0,0,J58/(G58*$D$12))</f>
        <v/>
      </c>
      <c r="M58">
        <f>MIN(0.06,MAX(0.01,IF(G58=0,0,I58/G58)))</f>
        <v/>
      </c>
      <c r="N58">
        <f>INDEX($G$6:$G$30,MIN(INT((A58-1)/12)+1,25))</f>
        <v/>
      </c>
      <c r="O58">
        <f>G58*$D$12</f>
        <v/>
      </c>
      <c r="P58">
        <f>M58*G58</f>
        <v/>
      </c>
      <c r="Q58">
        <f>($D$16/12)*I57</f>
        <v/>
      </c>
    </row>
    <row r="59">
      <c r="A59" t="n">
        <v>27</v>
      </c>
      <c r="B59">
        <f>CEILING(0.0101*G58/$D$5,1)</f>
        <v/>
      </c>
      <c r="C59">
        <f>MAX(0,MIN(MAX(0,FLOOR($D$15*D58*MAX(0,1-D58/(($D$10+SUM($N$33:N58))/$D$5)),1)),IF(A59&gt;=$D$14,IF(AND(D58&gt;0,F58&gt;0),INT(K58*D58/F58),0),1000000000),MIN(IF($D$11&gt;G58,INT(($D$11-G58)/$D$5),0)-D58,MAX(B59,INT(($D$10+SUM($N$33:N58))/$D$5)-D58))))</f>
        <v/>
      </c>
      <c r="D59">
        <f>D58+C59</f>
        <v/>
      </c>
      <c r="E59">
        <f>$D$5</f>
        <v/>
      </c>
      <c r="F59">
        <f>IF(G58&gt;=$D$11,0,MIN(D59*E59,$D$11-G58))</f>
        <v/>
      </c>
      <c r="G59">
        <f>G58+F59</f>
        <v/>
      </c>
      <c r="H59">
        <f>H58+$D$6*F59</f>
        <v/>
      </c>
      <c r="I59">
        <f>MAX(I58+$D$7*F59+Q59-0.01*G59,0.01*G59)</f>
        <v/>
      </c>
      <c r="J59">
        <f>J58+$D$8*F59+K59-MAX(0,0.02*G59-I58-$D$7*F59-Q59)</f>
        <v/>
      </c>
      <c r="K59">
        <f>($D$9/12)*J58</f>
        <v/>
      </c>
      <c r="L59">
        <f>IF(G59=0,0,J59/(G59*$D$12))</f>
        <v/>
      </c>
      <c r="M59">
        <f>MIN(0.06,MAX(0.01,IF(G59=0,0,I59/G59)))</f>
        <v/>
      </c>
      <c r="N59">
        <f>INDEX($G$6:$G$30,MIN(INT((A59-1)/12)+1,25))</f>
        <v/>
      </c>
      <c r="O59">
        <f>G59*$D$12</f>
        <v/>
      </c>
      <c r="P59">
        <f>M59*G59</f>
        <v/>
      </c>
      <c r="Q59">
        <f>($D$16/12)*I58</f>
        <v/>
      </c>
    </row>
    <row r="60">
      <c r="A60" t="n">
        <v>28</v>
      </c>
      <c r="B60">
        <f>CEILING(0.0101*G59/$D$5,1)</f>
        <v/>
      </c>
      <c r="C60">
        <f>MAX(0,MIN(MAX(0,FLOOR($D$15*D59*MAX(0,1-D59/(($D$10+SUM($N$33:N59))/$D$5)),1)),IF(A60&gt;=$D$14,IF(AND(D59&gt;0,F59&gt;0),INT(K59*D59/F59),0),1000000000),MIN(IF($D$11&gt;G59,INT(($D$11-G59)/$D$5),0)-D59,MAX(B60,INT(($D$10+SUM($N$33:N59))/$D$5)-D59))))</f>
        <v/>
      </c>
      <c r="D60">
        <f>D59+C60</f>
        <v/>
      </c>
      <c r="E60">
        <f>$D$5</f>
        <v/>
      </c>
      <c r="F60">
        <f>IF(G59&gt;=$D$11,0,MIN(D60*E60,$D$11-G59))</f>
        <v/>
      </c>
      <c r="G60">
        <f>G59+F60</f>
        <v/>
      </c>
      <c r="H60">
        <f>H59+$D$6*F60</f>
        <v/>
      </c>
      <c r="I60">
        <f>MAX(I59+$D$7*F60+Q60-0.01*G60,0.01*G60)</f>
        <v/>
      </c>
      <c r="J60">
        <f>J59+$D$8*F60+K60-MAX(0,0.02*G60-I59-$D$7*F60-Q60)</f>
        <v/>
      </c>
      <c r="K60">
        <f>($D$9/12)*J59</f>
        <v/>
      </c>
      <c r="L60">
        <f>IF(G60=0,0,J60/(G60*$D$12))</f>
        <v/>
      </c>
      <c r="M60">
        <f>MIN(0.06,MAX(0.01,IF(G60=0,0,I60/G60)))</f>
        <v/>
      </c>
      <c r="N60">
        <f>INDEX($G$6:$G$30,MIN(INT((A60-1)/12)+1,25))</f>
        <v/>
      </c>
      <c r="O60">
        <f>G60*$D$12</f>
        <v/>
      </c>
      <c r="P60">
        <f>M60*G60</f>
        <v/>
      </c>
      <c r="Q60">
        <f>($D$16/12)*I59</f>
        <v/>
      </c>
    </row>
    <row r="61">
      <c r="A61" t="n">
        <v>29</v>
      </c>
      <c r="B61">
        <f>CEILING(0.0101*G60/$D$5,1)</f>
        <v/>
      </c>
      <c r="C61">
        <f>MAX(0,MIN(MAX(0,FLOOR($D$15*D60*MAX(0,1-D60/(($D$10+SUM($N$33:N60))/$D$5)),1)),IF(A61&gt;=$D$14,IF(AND(D60&gt;0,F60&gt;0),INT(K60*D60/F60),0),1000000000),MIN(IF($D$11&gt;G60,INT(($D$11-G60)/$D$5),0)-D60,MAX(B61,INT(($D$10+SUM($N$33:N60))/$D$5)-D60))))</f>
        <v/>
      </c>
      <c r="D61">
        <f>D60+C61</f>
        <v/>
      </c>
      <c r="E61">
        <f>$D$5</f>
        <v/>
      </c>
      <c r="F61">
        <f>IF(G60&gt;=$D$11,0,MIN(D61*E61,$D$11-G60))</f>
        <v/>
      </c>
      <c r="G61">
        <f>G60+F61</f>
        <v/>
      </c>
      <c r="H61">
        <f>H60+$D$6*F61</f>
        <v/>
      </c>
      <c r="I61">
        <f>MAX(I60+$D$7*F61+Q61-0.01*G61,0.01*G61)</f>
        <v/>
      </c>
      <c r="J61">
        <f>J60+$D$8*F61+K61-MAX(0,0.02*G61-I60-$D$7*F61-Q61)</f>
        <v/>
      </c>
      <c r="K61">
        <f>($D$9/12)*J60</f>
        <v/>
      </c>
      <c r="L61">
        <f>IF(G61=0,0,J61/(G61*$D$12))</f>
        <v/>
      </c>
      <c r="M61">
        <f>MIN(0.06,MAX(0.01,IF(G61=0,0,I61/G61)))</f>
        <v/>
      </c>
      <c r="N61">
        <f>INDEX($G$6:$G$30,MIN(INT((A61-1)/12)+1,25))</f>
        <v/>
      </c>
      <c r="O61">
        <f>G61*$D$12</f>
        <v/>
      </c>
      <c r="P61">
        <f>M61*G61</f>
        <v/>
      </c>
      <c r="Q61">
        <f>($D$16/12)*I60</f>
        <v/>
      </c>
    </row>
    <row r="62">
      <c r="A62" t="n">
        <v>30</v>
      </c>
      <c r="B62">
        <f>CEILING(0.0101*G61/$D$5,1)</f>
        <v/>
      </c>
      <c r="C62">
        <f>MAX(0,MIN(MAX(0,FLOOR($D$15*D61*MAX(0,1-D61/(($D$10+SUM($N$33:N61))/$D$5)),1)),IF(A62&gt;=$D$14,IF(AND(D61&gt;0,F61&gt;0),INT(K61*D61/F61),0),1000000000),MIN(IF($D$11&gt;G61,INT(($D$11-G61)/$D$5),0)-D61,MAX(B62,INT(($D$10+SUM($N$33:N61))/$D$5)-D61))))</f>
        <v/>
      </c>
      <c r="D62">
        <f>D61+C62</f>
        <v/>
      </c>
      <c r="E62">
        <f>$D$5</f>
        <v/>
      </c>
      <c r="F62">
        <f>IF(G61&gt;=$D$11,0,MIN(D62*E62,$D$11-G61))</f>
        <v/>
      </c>
      <c r="G62">
        <f>G61+F62</f>
        <v/>
      </c>
      <c r="H62">
        <f>H61+$D$6*F62</f>
        <v/>
      </c>
      <c r="I62">
        <f>MAX(I61+$D$7*F62+Q62-0.01*G62,0.01*G62)</f>
        <v/>
      </c>
      <c r="J62">
        <f>J61+$D$8*F62+K62-MAX(0,0.02*G62-I61-$D$7*F62-Q62)</f>
        <v/>
      </c>
      <c r="K62">
        <f>($D$9/12)*J61</f>
        <v/>
      </c>
      <c r="L62">
        <f>IF(G62=0,0,J62/(G62*$D$12))</f>
        <v/>
      </c>
      <c r="M62">
        <f>MIN(0.06,MAX(0.01,IF(G62=0,0,I62/G62)))</f>
        <v/>
      </c>
      <c r="N62">
        <f>INDEX($G$6:$G$30,MIN(INT((A62-1)/12)+1,25))</f>
        <v/>
      </c>
      <c r="O62">
        <f>G62*$D$12</f>
        <v/>
      </c>
      <c r="P62">
        <f>M62*G62</f>
        <v/>
      </c>
      <c r="Q62">
        <f>($D$16/12)*I61</f>
        <v/>
      </c>
    </row>
    <row r="63">
      <c r="A63" t="n">
        <v>31</v>
      </c>
      <c r="B63">
        <f>CEILING(0.0101*G62/$D$5,1)</f>
        <v/>
      </c>
      <c r="C63">
        <f>MAX(0,MIN(MAX(0,FLOOR($D$15*D62*MAX(0,1-D62/(($D$10+SUM($N$33:N62))/$D$5)),1)),IF(A63&gt;=$D$14,IF(AND(D62&gt;0,F62&gt;0),INT(K62*D62/F62),0),1000000000),MIN(IF($D$11&gt;G62,INT(($D$11-G62)/$D$5),0)-D62,MAX(B63,INT(($D$10+SUM($N$33:N62))/$D$5)-D62))))</f>
        <v/>
      </c>
      <c r="D63">
        <f>D62+C63</f>
        <v/>
      </c>
      <c r="E63">
        <f>$D$5</f>
        <v/>
      </c>
      <c r="F63">
        <f>IF(G62&gt;=$D$11,0,MIN(D63*E63,$D$11-G62))</f>
        <v/>
      </c>
      <c r="G63">
        <f>G62+F63</f>
        <v/>
      </c>
      <c r="H63">
        <f>H62+$D$6*F63</f>
        <v/>
      </c>
      <c r="I63">
        <f>MAX(I62+$D$7*F63+Q63-0.01*G63,0.01*G63)</f>
        <v/>
      </c>
      <c r="J63">
        <f>J62+$D$8*F63+K63-MAX(0,0.02*G63-I62-$D$7*F63-Q63)</f>
        <v/>
      </c>
      <c r="K63">
        <f>($D$9/12)*J62</f>
        <v/>
      </c>
      <c r="L63">
        <f>IF(G63=0,0,J63/(G63*$D$12))</f>
        <v/>
      </c>
      <c r="M63">
        <f>MIN(0.06,MAX(0.01,IF(G63=0,0,I63/G63)))</f>
        <v/>
      </c>
      <c r="N63">
        <f>INDEX($G$6:$G$30,MIN(INT((A63-1)/12)+1,25))</f>
        <v/>
      </c>
      <c r="O63">
        <f>G63*$D$12</f>
        <v/>
      </c>
      <c r="P63">
        <f>M63*G63</f>
        <v/>
      </c>
      <c r="Q63">
        <f>($D$16/12)*I62</f>
        <v/>
      </c>
    </row>
    <row r="64">
      <c r="A64" t="n">
        <v>32</v>
      </c>
      <c r="B64">
        <f>CEILING(0.0101*G63/$D$5,1)</f>
        <v/>
      </c>
      <c r="C64">
        <f>MAX(0,MIN(MAX(0,FLOOR($D$15*D63*MAX(0,1-D63/(($D$10+SUM($N$33:N63))/$D$5)),1)),IF(A64&gt;=$D$14,IF(AND(D63&gt;0,F63&gt;0),INT(K63*D63/F63),0),1000000000),MIN(IF($D$11&gt;G63,INT(($D$11-G63)/$D$5),0)-D63,MAX(B64,INT(($D$10+SUM($N$33:N63))/$D$5)-D63))))</f>
        <v/>
      </c>
      <c r="D64">
        <f>D63+C64</f>
        <v/>
      </c>
      <c r="E64">
        <f>$D$5</f>
        <v/>
      </c>
      <c r="F64">
        <f>IF(G63&gt;=$D$11,0,MIN(D64*E64,$D$11-G63))</f>
        <v/>
      </c>
      <c r="G64">
        <f>G63+F64</f>
        <v/>
      </c>
      <c r="H64">
        <f>H63+$D$6*F64</f>
        <v/>
      </c>
      <c r="I64">
        <f>MAX(I63+$D$7*F64+Q64-0.01*G64,0.01*G64)</f>
        <v/>
      </c>
      <c r="J64">
        <f>J63+$D$8*F64+K64-MAX(0,0.02*G64-I63-$D$7*F64-Q64)</f>
        <v/>
      </c>
      <c r="K64">
        <f>($D$9/12)*J63</f>
        <v/>
      </c>
      <c r="L64">
        <f>IF(G64=0,0,J64/(G64*$D$12))</f>
        <v/>
      </c>
      <c r="M64">
        <f>MIN(0.06,MAX(0.01,IF(G64=0,0,I64/G64)))</f>
        <v/>
      </c>
      <c r="N64">
        <f>INDEX($G$6:$G$30,MIN(INT((A64-1)/12)+1,25))</f>
        <v/>
      </c>
      <c r="O64">
        <f>G64*$D$12</f>
        <v/>
      </c>
      <c r="P64">
        <f>M64*G64</f>
        <v/>
      </c>
      <c r="Q64">
        <f>($D$16/12)*I63</f>
        <v/>
      </c>
    </row>
    <row r="65">
      <c r="A65" t="n">
        <v>33</v>
      </c>
      <c r="B65">
        <f>CEILING(0.0101*G64/$D$5,1)</f>
        <v/>
      </c>
      <c r="C65">
        <f>MAX(0,MIN(MAX(0,FLOOR($D$15*D64*MAX(0,1-D64/(($D$10+SUM($N$33:N64))/$D$5)),1)),IF(A65&gt;=$D$14,IF(AND(D64&gt;0,F64&gt;0),INT(K64*D64/F64),0),1000000000),MIN(IF($D$11&gt;G64,INT(($D$11-G64)/$D$5),0)-D64,MAX(B65,INT(($D$10+SUM($N$33:N64))/$D$5)-D64))))</f>
        <v/>
      </c>
      <c r="D65">
        <f>D64+C65</f>
        <v/>
      </c>
      <c r="E65">
        <f>$D$5</f>
        <v/>
      </c>
      <c r="F65">
        <f>IF(G64&gt;=$D$11,0,MIN(D65*E65,$D$11-G64))</f>
        <v/>
      </c>
      <c r="G65">
        <f>G64+F65</f>
        <v/>
      </c>
      <c r="H65">
        <f>H64+$D$6*F65</f>
        <v/>
      </c>
      <c r="I65">
        <f>MAX(I64+$D$7*F65+Q65-0.01*G65,0.01*G65)</f>
        <v/>
      </c>
      <c r="J65">
        <f>J64+$D$8*F65+K65-MAX(0,0.02*G65-I64-$D$7*F65-Q65)</f>
        <v/>
      </c>
      <c r="K65">
        <f>($D$9/12)*J64</f>
        <v/>
      </c>
      <c r="L65">
        <f>IF(G65=0,0,J65/(G65*$D$12))</f>
        <v/>
      </c>
      <c r="M65">
        <f>MIN(0.06,MAX(0.01,IF(G65=0,0,I65/G65)))</f>
        <v/>
      </c>
      <c r="N65">
        <f>INDEX($G$6:$G$30,MIN(INT((A65-1)/12)+1,25))</f>
        <v/>
      </c>
      <c r="O65">
        <f>G65*$D$12</f>
        <v/>
      </c>
      <c r="P65">
        <f>M65*G65</f>
        <v/>
      </c>
      <c r="Q65">
        <f>($D$16/12)*I64</f>
        <v/>
      </c>
    </row>
    <row r="66">
      <c r="A66" t="n">
        <v>34</v>
      </c>
      <c r="B66">
        <f>CEILING(0.0101*G65/$D$5,1)</f>
        <v/>
      </c>
      <c r="C66">
        <f>MAX(0,MIN(MAX(0,FLOOR($D$15*D65*MAX(0,1-D65/(($D$10+SUM($N$33:N65))/$D$5)),1)),IF(A66&gt;=$D$14,IF(AND(D65&gt;0,F65&gt;0),INT(K65*D65/F65),0),1000000000),MIN(IF($D$11&gt;G65,INT(($D$11-G65)/$D$5),0)-D65,MAX(B66,INT(($D$10+SUM($N$33:N65))/$D$5)-D65))))</f>
        <v/>
      </c>
      <c r="D66">
        <f>D65+C66</f>
        <v/>
      </c>
      <c r="E66">
        <f>$D$5</f>
        <v/>
      </c>
      <c r="F66">
        <f>IF(G65&gt;=$D$11,0,MIN(D66*E66,$D$11-G65))</f>
        <v/>
      </c>
      <c r="G66">
        <f>G65+F66</f>
        <v/>
      </c>
      <c r="H66">
        <f>H65+$D$6*F66</f>
        <v/>
      </c>
      <c r="I66">
        <f>MAX(I65+$D$7*F66+Q66-0.01*G66,0.01*G66)</f>
        <v/>
      </c>
      <c r="J66">
        <f>J65+$D$8*F66+K66-MAX(0,0.02*G66-I65-$D$7*F66-Q66)</f>
        <v/>
      </c>
      <c r="K66">
        <f>($D$9/12)*J65</f>
        <v/>
      </c>
      <c r="L66">
        <f>IF(G66=0,0,J66/(G66*$D$12))</f>
        <v/>
      </c>
      <c r="M66">
        <f>MIN(0.06,MAX(0.01,IF(G66=0,0,I66/G66)))</f>
        <v/>
      </c>
      <c r="N66">
        <f>INDEX($G$6:$G$30,MIN(INT((A66-1)/12)+1,25))</f>
        <v/>
      </c>
      <c r="O66">
        <f>G66*$D$12</f>
        <v/>
      </c>
      <c r="P66">
        <f>M66*G66</f>
        <v/>
      </c>
      <c r="Q66">
        <f>($D$16/12)*I65</f>
        <v/>
      </c>
    </row>
    <row r="67">
      <c r="A67" t="n">
        <v>35</v>
      </c>
      <c r="B67">
        <f>CEILING(0.0101*G66/$D$5,1)</f>
        <v/>
      </c>
      <c r="C67">
        <f>MAX(0,MIN(MAX(0,FLOOR($D$15*D66*MAX(0,1-D66/(($D$10+SUM($N$33:N66))/$D$5)),1)),IF(A67&gt;=$D$14,IF(AND(D66&gt;0,F66&gt;0),INT(K66*D66/F66),0),1000000000),MIN(IF($D$11&gt;G66,INT(($D$11-G66)/$D$5),0)-D66,MAX(B67,INT(($D$10+SUM($N$33:N66))/$D$5)-D66))))</f>
        <v/>
      </c>
      <c r="D67">
        <f>D66+C67</f>
        <v/>
      </c>
      <c r="E67">
        <f>$D$5</f>
        <v/>
      </c>
      <c r="F67">
        <f>IF(G66&gt;=$D$11,0,MIN(D67*E67,$D$11-G66))</f>
        <v/>
      </c>
      <c r="G67">
        <f>G66+F67</f>
        <v/>
      </c>
      <c r="H67">
        <f>H66+$D$6*F67</f>
        <v/>
      </c>
      <c r="I67">
        <f>MAX(I66+$D$7*F67+Q67-0.01*G67,0.01*G67)</f>
        <v/>
      </c>
      <c r="J67">
        <f>J66+$D$8*F67+K67-MAX(0,0.02*G67-I66-$D$7*F67-Q67)</f>
        <v/>
      </c>
      <c r="K67">
        <f>($D$9/12)*J66</f>
        <v/>
      </c>
      <c r="L67">
        <f>IF(G67=0,0,J67/(G67*$D$12))</f>
        <v/>
      </c>
      <c r="M67">
        <f>MIN(0.06,MAX(0.01,IF(G67=0,0,I67/G67)))</f>
        <v/>
      </c>
      <c r="N67">
        <f>INDEX($G$6:$G$30,MIN(INT((A67-1)/12)+1,25))</f>
        <v/>
      </c>
      <c r="O67">
        <f>G67*$D$12</f>
        <v/>
      </c>
      <c r="P67">
        <f>M67*G67</f>
        <v/>
      </c>
      <c r="Q67">
        <f>($D$16/12)*I66</f>
        <v/>
      </c>
    </row>
    <row r="68">
      <c r="A68" t="n">
        <v>36</v>
      </c>
      <c r="B68">
        <f>CEILING(0.0101*G67/$D$5,1)</f>
        <v/>
      </c>
      <c r="C68">
        <f>MAX(0,MIN(MAX(0,FLOOR($D$15*D67*MAX(0,1-D67/(($D$10+SUM($N$33:N67))/$D$5)),1)),IF(A68&gt;=$D$14,IF(AND(D67&gt;0,F67&gt;0),INT(K67*D67/F67),0),1000000000),MIN(IF($D$11&gt;G67,INT(($D$11-G67)/$D$5),0)-D67,MAX(B68,INT(($D$10+SUM($N$33:N67))/$D$5)-D67))))</f>
        <v/>
      </c>
      <c r="D68">
        <f>D67+C68</f>
        <v/>
      </c>
      <c r="E68">
        <f>$D$5</f>
        <v/>
      </c>
      <c r="F68">
        <f>IF(G67&gt;=$D$11,0,MIN(D68*E68,$D$11-G67))</f>
        <v/>
      </c>
      <c r="G68">
        <f>G67+F68</f>
        <v/>
      </c>
      <c r="H68">
        <f>H67+$D$6*F68</f>
        <v/>
      </c>
      <c r="I68">
        <f>MAX(I67+$D$7*F68+Q68-0.01*G68,0.01*G68)</f>
        <v/>
      </c>
      <c r="J68">
        <f>J67+$D$8*F68+K68-MAX(0,0.02*G68-I67-$D$7*F68-Q68)</f>
        <v/>
      </c>
      <c r="K68">
        <f>($D$9/12)*J67</f>
        <v/>
      </c>
      <c r="L68">
        <f>IF(G68=0,0,J68/(G68*$D$12))</f>
        <v/>
      </c>
      <c r="M68">
        <f>MIN(0.06,MAX(0.01,IF(G68=0,0,I68/G68)))</f>
        <v/>
      </c>
      <c r="N68">
        <f>INDEX($G$6:$G$30,MIN(INT((A68-1)/12)+1,25))</f>
        <v/>
      </c>
      <c r="O68">
        <f>G68*$D$12</f>
        <v/>
      </c>
      <c r="P68">
        <f>M68*G68</f>
        <v/>
      </c>
      <c r="Q68">
        <f>($D$16/12)*I67</f>
        <v/>
      </c>
    </row>
    <row r="69">
      <c r="A69" t="n">
        <v>37</v>
      </c>
      <c r="B69">
        <f>CEILING(0.0101*G68/$D$5,1)</f>
        <v/>
      </c>
      <c r="C69">
        <f>MAX(0,MIN(MAX(0,FLOOR($D$15*D68*MAX(0,1-D68/(($D$10+SUM($N$33:N68))/$D$5)),1)),IF(A69&gt;=$D$14,IF(AND(D68&gt;0,F68&gt;0),INT(K68*D68/F68),0),1000000000),MIN(IF($D$11&gt;G68,INT(($D$11-G68)/$D$5),0)-D68,MAX(B69,INT(($D$10+SUM($N$33:N68))/$D$5)-D68))))</f>
        <v/>
      </c>
      <c r="D69">
        <f>D68+C69</f>
        <v/>
      </c>
      <c r="E69">
        <f>$D$5</f>
        <v/>
      </c>
      <c r="F69">
        <f>IF(G68&gt;=$D$11,0,MIN(D69*E69,$D$11-G68))</f>
        <v/>
      </c>
      <c r="G69">
        <f>G68+F69</f>
        <v/>
      </c>
      <c r="H69">
        <f>H68+$D$6*F69</f>
        <v/>
      </c>
      <c r="I69">
        <f>MAX(I68+$D$7*F69+Q69-0.01*G69,0.01*G69)</f>
        <v/>
      </c>
      <c r="J69">
        <f>J68+$D$8*F69+K69-MAX(0,0.02*G69-I68-$D$7*F69-Q69)</f>
        <v/>
      </c>
      <c r="K69">
        <f>($D$9/12)*J68</f>
        <v/>
      </c>
      <c r="L69">
        <f>IF(G69=0,0,J69/(G69*$D$12))</f>
        <v/>
      </c>
      <c r="M69">
        <f>MIN(0.06,MAX(0.01,IF(G69=0,0,I69/G69)))</f>
        <v/>
      </c>
      <c r="N69">
        <f>INDEX($G$6:$G$30,MIN(INT((A69-1)/12)+1,25))</f>
        <v/>
      </c>
      <c r="O69">
        <f>G69*$D$12</f>
        <v/>
      </c>
      <c r="P69">
        <f>M69*G69</f>
        <v/>
      </c>
      <c r="Q69">
        <f>($D$16/12)*I68</f>
        <v/>
      </c>
    </row>
    <row r="70">
      <c r="A70" t="n">
        <v>38</v>
      </c>
      <c r="B70">
        <f>CEILING(0.0101*G69/$D$5,1)</f>
        <v/>
      </c>
      <c r="C70">
        <f>MAX(0,MIN(MAX(0,FLOOR($D$15*D69*MAX(0,1-D69/(($D$10+SUM($N$33:N69))/$D$5)),1)),IF(A70&gt;=$D$14,IF(AND(D69&gt;0,F69&gt;0),INT(K69*D69/F69),0),1000000000),MIN(IF($D$11&gt;G69,INT(($D$11-G69)/$D$5),0)-D69,MAX(B70,INT(($D$10+SUM($N$33:N69))/$D$5)-D69))))</f>
        <v/>
      </c>
      <c r="D70">
        <f>D69+C70</f>
        <v/>
      </c>
      <c r="E70">
        <f>$D$5</f>
        <v/>
      </c>
      <c r="F70">
        <f>IF(G69&gt;=$D$11,0,MIN(D70*E70,$D$11-G69))</f>
        <v/>
      </c>
      <c r="G70">
        <f>G69+F70</f>
        <v/>
      </c>
      <c r="H70">
        <f>H69+$D$6*F70</f>
        <v/>
      </c>
      <c r="I70">
        <f>MAX(I69+$D$7*F70+Q70-0.01*G70,0.01*G70)</f>
        <v/>
      </c>
      <c r="J70">
        <f>J69+$D$8*F70+K70-MAX(0,0.02*G70-I69-$D$7*F70-Q70)</f>
        <v/>
      </c>
      <c r="K70">
        <f>($D$9/12)*J69</f>
        <v/>
      </c>
      <c r="L70">
        <f>IF(G70=0,0,J70/(G70*$D$12))</f>
        <v/>
      </c>
      <c r="M70">
        <f>MIN(0.06,MAX(0.01,IF(G70=0,0,I70/G70)))</f>
        <v/>
      </c>
      <c r="N70">
        <f>INDEX($G$6:$G$30,MIN(INT((A70-1)/12)+1,25))</f>
        <v/>
      </c>
      <c r="O70">
        <f>G70*$D$12</f>
        <v/>
      </c>
      <c r="P70">
        <f>M70*G70</f>
        <v/>
      </c>
      <c r="Q70">
        <f>($D$16/12)*I69</f>
        <v/>
      </c>
    </row>
    <row r="71">
      <c r="A71" t="n">
        <v>39</v>
      </c>
      <c r="B71">
        <f>CEILING(0.0101*G70/$D$5,1)</f>
        <v/>
      </c>
      <c r="C71">
        <f>MAX(0,MIN(MAX(0,FLOOR($D$15*D70*MAX(0,1-D70/(($D$10+SUM($N$33:N70))/$D$5)),1)),IF(A71&gt;=$D$14,IF(AND(D70&gt;0,F70&gt;0),INT(K70*D70/F70),0),1000000000),MIN(IF($D$11&gt;G70,INT(($D$11-G70)/$D$5),0)-D70,MAX(B71,INT(($D$10+SUM($N$33:N70))/$D$5)-D70))))</f>
        <v/>
      </c>
      <c r="D71">
        <f>D70+C71</f>
        <v/>
      </c>
      <c r="E71">
        <f>$D$5</f>
        <v/>
      </c>
      <c r="F71">
        <f>IF(G70&gt;=$D$11,0,MIN(D71*E71,$D$11-G70))</f>
        <v/>
      </c>
      <c r="G71">
        <f>G70+F71</f>
        <v/>
      </c>
      <c r="H71">
        <f>H70+$D$6*F71</f>
        <v/>
      </c>
      <c r="I71">
        <f>MAX(I70+$D$7*F71+Q71-0.01*G71,0.01*G71)</f>
        <v/>
      </c>
      <c r="J71">
        <f>J70+$D$8*F71+K71-MAX(0,0.02*G71-I70-$D$7*F71-Q71)</f>
        <v/>
      </c>
      <c r="K71">
        <f>($D$9/12)*J70</f>
        <v/>
      </c>
      <c r="L71">
        <f>IF(G71=0,0,J71/(G71*$D$12))</f>
        <v/>
      </c>
      <c r="M71">
        <f>MIN(0.06,MAX(0.01,IF(G71=0,0,I71/G71)))</f>
        <v/>
      </c>
      <c r="N71">
        <f>INDEX($G$6:$G$30,MIN(INT((A71-1)/12)+1,25))</f>
        <v/>
      </c>
      <c r="O71">
        <f>G71*$D$12</f>
        <v/>
      </c>
      <c r="P71">
        <f>M71*G71</f>
        <v/>
      </c>
      <c r="Q71">
        <f>($D$16/12)*I70</f>
        <v/>
      </c>
    </row>
    <row r="72">
      <c r="A72" t="n">
        <v>40</v>
      </c>
      <c r="B72">
        <f>CEILING(0.0101*G71/$D$5,1)</f>
        <v/>
      </c>
      <c r="C72">
        <f>MAX(0,MIN(MAX(0,FLOOR($D$15*D71*MAX(0,1-D71/(($D$10+SUM($N$33:N71))/$D$5)),1)),IF(A72&gt;=$D$14,IF(AND(D71&gt;0,F71&gt;0),INT(K71*D71/F71),0),1000000000),MIN(IF($D$11&gt;G71,INT(($D$11-G71)/$D$5),0)-D71,MAX(B72,INT(($D$10+SUM($N$33:N71))/$D$5)-D71))))</f>
        <v/>
      </c>
      <c r="D72">
        <f>D71+C72</f>
        <v/>
      </c>
      <c r="E72">
        <f>$D$5</f>
        <v/>
      </c>
      <c r="F72">
        <f>IF(G71&gt;=$D$11,0,MIN(D72*E72,$D$11-G71))</f>
        <v/>
      </c>
      <c r="G72">
        <f>G71+F72</f>
        <v/>
      </c>
      <c r="H72">
        <f>H71+$D$6*F72</f>
        <v/>
      </c>
      <c r="I72">
        <f>MAX(I71+$D$7*F72+Q72-0.01*G72,0.01*G72)</f>
        <v/>
      </c>
      <c r="J72">
        <f>J71+$D$8*F72+K72-MAX(0,0.02*G72-I71-$D$7*F72-Q72)</f>
        <v/>
      </c>
      <c r="K72">
        <f>($D$9/12)*J71</f>
        <v/>
      </c>
      <c r="L72">
        <f>IF(G72=0,0,J72/(G72*$D$12))</f>
        <v/>
      </c>
      <c r="M72">
        <f>MIN(0.06,MAX(0.01,IF(G72=0,0,I72/G72)))</f>
        <v/>
      </c>
      <c r="N72">
        <f>INDEX($G$6:$G$30,MIN(INT((A72-1)/12)+1,25))</f>
        <v/>
      </c>
      <c r="O72">
        <f>G72*$D$12</f>
        <v/>
      </c>
      <c r="P72">
        <f>M72*G72</f>
        <v/>
      </c>
      <c r="Q72">
        <f>($D$16/12)*I71</f>
        <v/>
      </c>
    </row>
    <row r="73">
      <c r="A73" t="n">
        <v>41</v>
      </c>
      <c r="B73">
        <f>CEILING(0.0101*G72/$D$5,1)</f>
        <v/>
      </c>
      <c r="C73">
        <f>MAX(0,MIN(MAX(0,FLOOR($D$15*D72*MAX(0,1-D72/(($D$10+SUM($N$33:N72))/$D$5)),1)),IF(A73&gt;=$D$14,IF(AND(D72&gt;0,F72&gt;0),INT(K72*D72/F72),0),1000000000),MIN(IF($D$11&gt;G72,INT(($D$11-G72)/$D$5),0)-D72,MAX(B73,INT(($D$10+SUM($N$33:N72))/$D$5)-D72))))</f>
        <v/>
      </c>
      <c r="D73">
        <f>D72+C73</f>
        <v/>
      </c>
      <c r="E73">
        <f>$D$5</f>
        <v/>
      </c>
      <c r="F73">
        <f>IF(G72&gt;=$D$11,0,MIN(D73*E73,$D$11-G72))</f>
        <v/>
      </c>
      <c r="G73">
        <f>G72+F73</f>
        <v/>
      </c>
      <c r="H73">
        <f>H72+$D$6*F73</f>
        <v/>
      </c>
      <c r="I73">
        <f>MAX(I72+$D$7*F73+Q73-0.01*G73,0.01*G73)</f>
        <v/>
      </c>
      <c r="J73">
        <f>J72+$D$8*F73+K73-MAX(0,0.02*G73-I72-$D$7*F73-Q73)</f>
        <v/>
      </c>
      <c r="K73">
        <f>($D$9/12)*J72</f>
        <v/>
      </c>
      <c r="L73">
        <f>IF(G73=0,0,J73/(G73*$D$12))</f>
        <v/>
      </c>
      <c r="M73">
        <f>MIN(0.06,MAX(0.01,IF(G73=0,0,I73/G73)))</f>
        <v/>
      </c>
      <c r="N73">
        <f>INDEX($G$6:$G$30,MIN(INT((A73-1)/12)+1,25))</f>
        <v/>
      </c>
      <c r="O73">
        <f>G73*$D$12</f>
        <v/>
      </c>
      <c r="P73">
        <f>M73*G73</f>
        <v/>
      </c>
      <c r="Q73">
        <f>($D$16/12)*I72</f>
        <v/>
      </c>
    </row>
    <row r="74">
      <c r="A74" t="n">
        <v>42</v>
      </c>
      <c r="B74">
        <f>CEILING(0.0101*G73/$D$5,1)</f>
        <v/>
      </c>
      <c r="C74">
        <f>MAX(0,MIN(MAX(0,FLOOR($D$15*D73*MAX(0,1-D73/(($D$10+SUM($N$33:N73))/$D$5)),1)),IF(A74&gt;=$D$14,IF(AND(D73&gt;0,F73&gt;0),INT(K73*D73/F73),0),1000000000),MIN(IF($D$11&gt;G73,INT(($D$11-G73)/$D$5),0)-D73,MAX(B74,INT(($D$10+SUM($N$33:N73))/$D$5)-D73))))</f>
        <v/>
      </c>
      <c r="D74">
        <f>D73+C74</f>
        <v/>
      </c>
      <c r="E74">
        <f>$D$5</f>
        <v/>
      </c>
      <c r="F74">
        <f>IF(G73&gt;=$D$11,0,MIN(D74*E74,$D$11-G73))</f>
        <v/>
      </c>
      <c r="G74">
        <f>G73+F74</f>
        <v/>
      </c>
      <c r="H74">
        <f>H73+$D$6*F74</f>
        <v/>
      </c>
      <c r="I74">
        <f>MAX(I73+$D$7*F74+Q74-0.01*G74,0.01*G74)</f>
        <v/>
      </c>
      <c r="J74">
        <f>J73+$D$8*F74+K74-MAX(0,0.02*G74-I73-$D$7*F74-Q74)</f>
        <v/>
      </c>
      <c r="K74">
        <f>($D$9/12)*J73</f>
        <v/>
      </c>
      <c r="L74">
        <f>IF(G74=0,0,J74/(G74*$D$12))</f>
        <v/>
      </c>
      <c r="M74">
        <f>MIN(0.06,MAX(0.01,IF(G74=0,0,I74/G74)))</f>
        <v/>
      </c>
      <c r="N74">
        <f>INDEX($G$6:$G$30,MIN(INT((A74-1)/12)+1,25))</f>
        <v/>
      </c>
      <c r="O74">
        <f>G74*$D$12</f>
        <v/>
      </c>
      <c r="P74">
        <f>M74*G74</f>
        <v/>
      </c>
      <c r="Q74">
        <f>($D$16/12)*I73</f>
        <v/>
      </c>
    </row>
    <row r="75">
      <c r="A75" t="n">
        <v>43</v>
      </c>
      <c r="B75">
        <f>CEILING(0.0101*G74/$D$5,1)</f>
        <v/>
      </c>
      <c r="C75">
        <f>MAX(0,MIN(MAX(0,FLOOR($D$15*D74*MAX(0,1-D74/(($D$10+SUM($N$33:N74))/$D$5)),1)),IF(A75&gt;=$D$14,IF(AND(D74&gt;0,F74&gt;0),INT(K74*D74/F74),0),1000000000),MIN(IF($D$11&gt;G74,INT(($D$11-G74)/$D$5),0)-D74,MAX(B75,INT(($D$10+SUM($N$33:N74))/$D$5)-D74))))</f>
        <v/>
      </c>
      <c r="D75">
        <f>D74+C75</f>
        <v/>
      </c>
      <c r="E75">
        <f>$D$5</f>
        <v/>
      </c>
      <c r="F75">
        <f>IF(G74&gt;=$D$11,0,MIN(D75*E75,$D$11-G74))</f>
        <v/>
      </c>
      <c r="G75">
        <f>G74+F75</f>
        <v/>
      </c>
      <c r="H75">
        <f>H74+$D$6*F75</f>
        <v/>
      </c>
      <c r="I75">
        <f>MAX(I74+$D$7*F75+Q75-0.01*G75,0.01*G75)</f>
        <v/>
      </c>
      <c r="J75">
        <f>J74+$D$8*F75+K75-MAX(0,0.02*G75-I74-$D$7*F75-Q75)</f>
        <v/>
      </c>
      <c r="K75">
        <f>($D$9/12)*J74</f>
        <v/>
      </c>
      <c r="L75">
        <f>IF(G75=0,0,J75/(G75*$D$12))</f>
        <v/>
      </c>
      <c r="M75">
        <f>MIN(0.06,MAX(0.01,IF(G75=0,0,I75/G75)))</f>
        <v/>
      </c>
      <c r="N75">
        <f>INDEX($G$6:$G$30,MIN(INT((A75-1)/12)+1,25))</f>
        <v/>
      </c>
      <c r="O75">
        <f>G75*$D$12</f>
        <v/>
      </c>
      <c r="P75">
        <f>M75*G75</f>
        <v/>
      </c>
      <c r="Q75">
        <f>($D$16/12)*I74</f>
        <v/>
      </c>
    </row>
    <row r="76">
      <c r="A76" t="n">
        <v>44</v>
      </c>
      <c r="B76">
        <f>CEILING(0.0101*G75/$D$5,1)</f>
        <v/>
      </c>
      <c r="C76">
        <f>MAX(0,MIN(MAX(0,FLOOR($D$15*D75*MAX(0,1-D75/(($D$10+SUM($N$33:N75))/$D$5)),1)),IF(A76&gt;=$D$14,IF(AND(D75&gt;0,F75&gt;0),INT(K75*D75/F75),0),1000000000),MIN(IF($D$11&gt;G75,INT(($D$11-G75)/$D$5),0)-D75,MAX(B76,INT(($D$10+SUM($N$33:N75))/$D$5)-D75))))</f>
        <v/>
      </c>
      <c r="D76">
        <f>D75+C76</f>
        <v/>
      </c>
      <c r="E76">
        <f>$D$5</f>
        <v/>
      </c>
      <c r="F76">
        <f>IF(G75&gt;=$D$11,0,MIN(D76*E76,$D$11-G75))</f>
        <v/>
      </c>
      <c r="G76">
        <f>G75+F76</f>
        <v/>
      </c>
      <c r="H76">
        <f>H75+$D$6*F76</f>
        <v/>
      </c>
      <c r="I76">
        <f>MAX(I75+$D$7*F76+Q76-0.01*G76,0.01*G76)</f>
        <v/>
      </c>
      <c r="J76">
        <f>J75+$D$8*F76+K76-MAX(0,0.02*G76-I75-$D$7*F76-Q76)</f>
        <v/>
      </c>
      <c r="K76">
        <f>($D$9/12)*J75</f>
        <v/>
      </c>
      <c r="L76">
        <f>IF(G76=0,0,J76/(G76*$D$12))</f>
        <v/>
      </c>
      <c r="M76">
        <f>MIN(0.06,MAX(0.01,IF(G76=0,0,I76/G76)))</f>
        <v/>
      </c>
      <c r="N76">
        <f>INDEX($G$6:$G$30,MIN(INT((A76-1)/12)+1,25))</f>
        <v/>
      </c>
      <c r="O76">
        <f>G76*$D$12</f>
        <v/>
      </c>
      <c r="P76">
        <f>M76*G76</f>
        <v/>
      </c>
      <c r="Q76">
        <f>($D$16/12)*I75</f>
        <v/>
      </c>
    </row>
    <row r="77">
      <c r="A77" t="n">
        <v>45</v>
      </c>
      <c r="B77">
        <f>CEILING(0.0101*G76/$D$5,1)</f>
        <v/>
      </c>
      <c r="C77">
        <f>MAX(0,MIN(MAX(0,FLOOR($D$15*D76*MAX(0,1-D76/(($D$10+SUM($N$33:N76))/$D$5)),1)),IF(A77&gt;=$D$14,IF(AND(D76&gt;0,F76&gt;0),INT(K76*D76/F76),0),1000000000),MIN(IF($D$11&gt;G76,INT(($D$11-G76)/$D$5),0)-D76,MAX(B77,INT(($D$10+SUM($N$33:N76))/$D$5)-D76))))</f>
        <v/>
      </c>
      <c r="D77">
        <f>D76+C77</f>
        <v/>
      </c>
      <c r="E77">
        <f>$D$5</f>
        <v/>
      </c>
      <c r="F77">
        <f>IF(G76&gt;=$D$11,0,MIN(D77*E77,$D$11-G76))</f>
        <v/>
      </c>
      <c r="G77">
        <f>G76+F77</f>
        <v/>
      </c>
      <c r="H77">
        <f>H76+$D$6*F77</f>
        <v/>
      </c>
      <c r="I77">
        <f>MAX(I76+$D$7*F77+Q77-0.01*G77,0.01*G77)</f>
        <v/>
      </c>
      <c r="J77">
        <f>J76+$D$8*F77+K77-MAX(0,0.02*G77-I76-$D$7*F77-Q77)</f>
        <v/>
      </c>
      <c r="K77">
        <f>($D$9/12)*J76</f>
        <v/>
      </c>
      <c r="L77">
        <f>IF(G77=0,0,J77/(G77*$D$12))</f>
        <v/>
      </c>
      <c r="M77">
        <f>MIN(0.06,MAX(0.01,IF(G77=0,0,I77/G77)))</f>
        <v/>
      </c>
      <c r="N77">
        <f>INDEX($G$6:$G$30,MIN(INT((A77-1)/12)+1,25))</f>
        <v/>
      </c>
      <c r="O77">
        <f>G77*$D$12</f>
        <v/>
      </c>
      <c r="P77">
        <f>M77*G77</f>
        <v/>
      </c>
      <c r="Q77">
        <f>($D$16/12)*I76</f>
        <v/>
      </c>
    </row>
    <row r="78">
      <c r="A78" t="n">
        <v>46</v>
      </c>
      <c r="B78">
        <f>CEILING(0.0101*G77/$D$5,1)</f>
        <v/>
      </c>
      <c r="C78">
        <f>MAX(0,MIN(MAX(0,FLOOR($D$15*D77*MAX(0,1-D77/(($D$10+SUM($N$33:N77))/$D$5)),1)),IF(A78&gt;=$D$14,IF(AND(D77&gt;0,F77&gt;0),INT(K77*D77/F77),0),1000000000),MIN(IF($D$11&gt;G77,INT(($D$11-G77)/$D$5),0)-D77,MAX(B78,INT(($D$10+SUM($N$33:N77))/$D$5)-D77))))</f>
        <v/>
      </c>
      <c r="D78">
        <f>D77+C78</f>
        <v/>
      </c>
      <c r="E78">
        <f>$D$5</f>
        <v/>
      </c>
      <c r="F78">
        <f>IF(G77&gt;=$D$11,0,MIN(D78*E78,$D$11-G77))</f>
        <v/>
      </c>
      <c r="G78">
        <f>G77+F78</f>
        <v/>
      </c>
      <c r="H78">
        <f>H77+$D$6*F78</f>
        <v/>
      </c>
      <c r="I78">
        <f>MAX(I77+$D$7*F78+Q78-0.01*G78,0.01*G78)</f>
        <v/>
      </c>
      <c r="J78">
        <f>J77+$D$8*F78+K78-MAX(0,0.02*G78-I77-$D$7*F78-Q78)</f>
        <v/>
      </c>
      <c r="K78">
        <f>($D$9/12)*J77</f>
        <v/>
      </c>
      <c r="L78">
        <f>IF(G78=0,0,J78/(G78*$D$12))</f>
        <v/>
      </c>
      <c r="M78">
        <f>MIN(0.06,MAX(0.01,IF(G78=0,0,I78/G78)))</f>
        <v/>
      </c>
      <c r="N78">
        <f>INDEX($G$6:$G$30,MIN(INT((A78-1)/12)+1,25))</f>
        <v/>
      </c>
      <c r="O78">
        <f>G78*$D$12</f>
        <v/>
      </c>
      <c r="P78">
        <f>M78*G78</f>
        <v/>
      </c>
      <c r="Q78">
        <f>($D$16/12)*I77</f>
        <v/>
      </c>
    </row>
    <row r="79">
      <c r="A79" t="n">
        <v>47</v>
      </c>
      <c r="B79">
        <f>CEILING(0.0101*G78/$D$5,1)</f>
        <v/>
      </c>
      <c r="C79">
        <f>MAX(0,MIN(MAX(0,FLOOR($D$15*D78*MAX(0,1-D78/(($D$10+SUM($N$33:N78))/$D$5)),1)),IF(A79&gt;=$D$14,IF(AND(D78&gt;0,F78&gt;0),INT(K78*D78/F78),0),1000000000),MIN(IF($D$11&gt;G78,INT(($D$11-G78)/$D$5),0)-D78,MAX(B79,INT(($D$10+SUM($N$33:N78))/$D$5)-D78))))</f>
        <v/>
      </c>
      <c r="D79">
        <f>D78+C79</f>
        <v/>
      </c>
      <c r="E79">
        <f>$D$5</f>
        <v/>
      </c>
      <c r="F79">
        <f>IF(G78&gt;=$D$11,0,MIN(D79*E79,$D$11-G78))</f>
        <v/>
      </c>
      <c r="G79">
        <f>G78+F79</f>
        <v/>
      </c>
      <c r="H79">
        <f>H78+$D$6*F79</f>
        <v/>
      </c>
      <c r="I79">
        <f>MAX(I78+$D$7*F79+Q79-0.01*G79,0.01*G79)</f>
        <v/>
      </c>
      <c r="J79">
        <f>J78+$D$8*F79+K79-MAX(0,0.02*G79-I78-$D$7*F79-Q79)</f>
        <v/>
      </c>
      <c r="K79">
        <f>($D$9/12)*J78</f>
        <v/>
      </c>
      <c r="L79">
        <f>IF(G79=0,0,J79/(G79*$D$12))</f>
        <v/>
      </c>
      <c r="M79">
        <f>MIN(0.06,MAX(0.01,IF(G79=0,0,I79/G79)))</f>
        <v/>
      </c>
      <c r="N79">
        <f>INDEX($G$6:$G$30,MIN(INT((A79-1)/12)+1,25))</f>
        <v/>
      </c>
      <c r="O79">
        <f>G79*$D$12</f>
        <v/>
      </c>
      <c r="P79">
        <f>M79*G79</f>
        <v/>
      </c>
      <c r="Q79">
        <f>($D$16/12)*I78</f>
        <v/>
      </c>
    </row>
    <row r="80">
      <c r="A80" t="n">
        <v>48</v>
      </c>
      <c r="B80">
        <f>CEILING(0.0101*G79/$D$5,1)</f>
        <v/>
      </c>
      <c r="C80">
        <f>MAX(0,MIN(MAX(0,FLOOR($D$15*D79*MAX(0,1-D79/(($D$10+SUM($N$33:N79))/$D$5)),1)),IF(A80&gt;=$D$14,IF(AND(D79&gt;0,F79&gt;0),INT(K79*D79/F79),0),1000000000),MIN(IF($D$11&gt;G79,INT(($D$11-G79)/$D$5),0)-D79,MAX(B80,INT(($D$10+SUM($N$33:N79))/$D$5)-D79))))</f>
        <v/>
      </c>
      <c r="D80">
        <f>D79+C80</f>
        <v/>
      </c>
      <c r="E80">
        <f>$D$5</f>
        <v/>
      </c>
      <c r="F80">
        <f>IF(G79&gt;=$D$11,0,MIN(D80*E80,$D$11-G79))</f>
        <v/>
      </c>
      <c r="G80">
        <f>G79+F80</f>
        <v/>
      </c>
      <c r="H80">
        <f>H79+$D$6*F80</f>
        <v/>
      </c>
      <c r="I80">
        <f>MAX(I79+$D$7*F80+Q80-0.01*G80,0.01*G80)</f>
        <v/>
      </c>
      <c r="J80">
        <f>J79+$D$8*F80+K80-MAX(0,0.02*G80-I79-$D$7*F80-Q80)</f>
        <v/>
      </c>
      <c r="K80">
        <f>($D$9/12)*J79</f>
        <v/>
      </c>
      <c r="L80">
        <f>IF(G80=0,0,J80/(G80*$D$12))</f>
        <v/>
      </c>
      <c r="M80">
        <f>MIN(0.06,MAX(0.01,IF(G80=0,0,I80/G80)))</f>
        <v/>
      </c>
      <c r="N80">
        <f>INDEX($G$6:$G$30,MIN(INT((A80-1)/12)+1,25))</f>
        <v/>
      </c>
      <c r="O80">
        <f>G80*$D$12</f>
        <v/>
      </c>
      <c r="P80">
        <f>M80*G80</f>
        <v/>
      </c>
      <c r="Q80">
        <f>($D$16/12)*I79</f>
        <v/>
      </c>
    </row>
    <row r="81">
      <c r="A81" t="n">
        <v>49</v>
      </c>
      <c r="B81">
        <f>CEILING(0.0101*G80/$D$5,1)</f>
        <v/>
      </c>
      <c r="C81">
        <f>MAX(0,MIN(MAX(0,FLOOR($D$15*D80*MAX(0,1-D80/(($D$10+SUM($N$33:N80))/$D$5)),1)),IF(A81&gt;=$D$14,IF(AND(D80&gt;0,F80&gt;0),INT(K80*D80/F80),0),1000000000),MIN(IF($D$11&gt;G80,INT(($D$11-G80)/$D$5),0)-D80,MAX(B81,INT(($D$10+SUM($N$33:N80))/$D$5)-D80))))</f>
        <v/>
      </c>
      <c r="D81">
        <f>D80+C81</f>
        <v/>
      </c>
      <c r="E81">
        <f>$D$5</f>
        <v/>
      </c>
      <c r="F81">
        <f>IF(G80&gt;=$D$11,0,MIN(D81*E81,$D$11-G80))</f>
        <v/>
      </c>
      <c r="G81">
        <f>G80+F81</f>
        <v/>
      </c>
      <c r="H81">
        <f>H80+$D$6*F81</f>
        <v/>
      </c>
      <c r="I81">
        <f>MAX(I80+$D$7*F81+Q81-0.01*G81,0.01*G81)</f>
        <v/>
      </c>
      <c r="J81">
        <f>J80+$D$8*F81+K81-MAX(0,0.02*G81-I80-$D$7*F81-Q81)</f>
        <v/>
      </c>
      <c r="K81">
        <f>($D$9/12)*J80</f>
        <v/>
      </c>
      <c r="L81">
        <f>IF(G81=0,0,J81/(G81*$D$12))</f>
        <v/>
      </c>
      <c r="M81">
        <f>MIN(0.06,MAX(0.01,IF(G81=0,0,I81/G81)))</f>
        <v/>
      </c>
      <c r="N81">
        <f>INDEX($G$6:$G$30,MIN(INT((A81-1)/12)+1,25))</f>
        <v/>
      </c>
      <c r="O81">
        <f>G81*$D$12</f>
        <v/>
      </c>
      <c r="P81">
        <f>M81*G81</f>
        <v/>
      </c>
      <c r="Q81">
        <f>($D$16/12)*I80</f>
        <v/>
      </c>
    </row>
    <row r="82">
      <c r="A82" t="n">
        <v>50</v>
      </c>
      <c r="B82">
        <f>CEILING(0.0101*G81/$D$5,1)</f>
        <v/>
      </c>
      <c r="C82">
        <f>MAX(0,MIN(MAX(0,FLOOR($D$15*D81*MAX(0,1-D81/(($D$10+SUM($N$33:N81))/$D$5)),1)),IF(A82&gt;=$D$14,IF(AND(D81&gt;0,F81&gt;0),INT(K81*D81/F81),0),1000000000),MIN(IF($D$11&gt;G81,INT(($D$11-G81)/$D$5),0)-D81,MAX(B82,INT(($D$10+SUM($N$33:N81))/$D$5)-D81))))</f>
        <v/>
      </c>
      <c r="D82">
        <f>D81+C82</f>
        <v/>
      </c>
      <c r="E82">
        <f>$D$5</f>
        <v/>
      </c>
      <c r="F82">
        <f>IF(G81&gt;=$D$11,0,MIN(D82*E82,$D$11-G81))</f>
        <v/>
      </c>
      <c r="G82">
        <f>G81+F82</f>
        <v/>
      </c>
      <c r="H82">
        <f>H81+$D$6*F82</f>
        <v/>
      </c>
      <c r="I82">
        <f>MAX(I81+$D$7*F82+Q82-0.01*G82,0.01*G82)</f>
        <v/>
      </c>
      <c r="J82">
        <f>J81+$D$8*F82+K82-MAX(0,0.02*G82-I81-$D$7*F82-Q82)</f>
        <v/>
      </c>
      <c r="K82">
        <f>($D$9/12)*J81</f>
        <v/>
      </c>
      <c r="L82">
        <f>IF(G82=0,0,J82/(G82*$D$12))</f>
        <v/>
      </c>
      <c r="M82">
        <f>MIN(0.06,MAX(0.01,IF(G82=0,0,I82/G82)))</f>
        <v/>
      </c>
      <c r="N82">
        <f>INDEX($G$6:$G$30,MIN(INT((A82-1)/12)+1,25))</f>
        <v/>
      </c>
      <c r="O82">
        <f>G82*$D$12</f>
        <v/>
      </c>
      <c r="P82">
        <f>M82*G82</f>
        <v/>
      </c>
      <c r="Q82">
        <f>($D$16/12)*I81</f>
        <v/>
      </c>
    </row>
    <row r="83">
      <c r="A83" t="n">
        <v>51</v>
      </c>
      <c r="B83">
        <f>CEILING(0.0101*G82/$D$5,1)</f>
        <v/>
      </c>
      <c r="C83">
        <f>MAX(0,MIN(MAX(0,FLOOR($D$15*D82*MAX(0,1-D82/(($D$10+SUM($N$33:N82))/$D$5)),1)),IF(A83&gt;=$D$14,IF(AND(D82&gt;0,F82&gt;0),INT(K82*D82/F82),0),1000000000),MIN(IF($D$11&gt;G82,INT(($D$11-G82)/$D$5),0)-D82,MAX(B83,INT(($D$10+SUM($N$33:N82))/$D$5)-D82))))</f>
        <v/>
      </c>
      <c r="D83">
        <f>D82+C83</f>
        <v/>
      </c>
      <c r="E83">
        <f>$D$5</f>
        <v/>
      </c>
      <c r="F83">
        <f>IF(G82&gt;=$D$11,0,MIN(D83*E83,$D$11-G82))</f>
        <v/>
      </c>
      <c r="G83">
        <f>G82+F83</f>
        <v/>
      </c>
      <c r="H83">
        <f>H82+$D$6*F83</f>
        <v/>
      </c>
      <c r="I83">
        <f>MAX(I82+$D$7*F83+Q83-0.01*G83,0.01*G83)</f>
        <v/>
      </c>
      <c r="J83">
        <f>J82+$D$8*F83+K83-MAX(0,0.02*G83-I82-$D$7*F83-Q83)</f>
        <v/>
      </c>
      <c r="K83">
        <f>($D$9/12)*J82</f>
        <v/>
      </c>
      <c r="L83">
        <f>IF(G83=0,0,J83/(G83*$D$12))</f>
        <v/>
      </c>
      <c r="M83">
        <f>MIN(0.06,MAX(0.01,IF(G83=0,0,I83/G83)))</f>
        <v/>
      </c>
      <c r="N83">
        <f>INDEX($G$6:$G$30,MIN(INT((A83-1)/12)+1,25))</f>
        <v/>
      </c>
      <c r="O83">
        <f>G83*$D$12</f>
        <v/>
      </c>
      <c r="P83">
        <f>M83*G83</f>
        <v/>
      </c>
      <c r="Q83">
        <f>($D$16/12)*I82</f>
        <v/>
      </c>
    </row>
    <row r="84">
      <c r="A84" t="n">
        <v>52</v>
      </c>
      <c r="B84">
        <f>CEILING(0.0101*G83/$D$5,1)</f>
        <v/>
      </c>
      <c r="C84">
        <f>MAX(0,MIN(MAX(0,FLOOR($D$15*D83*MAX(0,1-D83/(($D$10+SUM($N$33:N83))/$D$5)),1)),IF(A84&gt;=$D$14,IF(AND(D83&gt;0,F83&gt;0),INT(K83*D83/F83),0),1000000000),MIN(IF($D$11&gt;G83,INT(($D$11-G83)/$D$5),0)-D83,MAX(B84,INT(($D$10+SUM($N$33:N83))/$D$5)-D83))))</f>
        <v/>
      </c>
      <c r="D84">
        <f>D83+C84</f>
        <v/>
      </c>
      <c r="E84">
        <f>$D$5</f>
        <v/>
      </c>
      <c r="F84">
        <f>IF(G83&gt;=$D$11,0,MIN(D84*E84,$D$11-G83))</f>
        <v/>
      </c>
      <c r="G84">
        <f>G83+F84</f>
        <v/>
      </c>
      <c r="H84">
        <f>H83+$D$6*F84</f>
        <v/>
      </c>
      <c r="I84">
        <f>MAX(I83+$D$7*F84+Q84-0.01*G84,0.01*G84)</f>
        <v/>
      </c>
      <c r="J84">
        <f>J83+$D$8*F84+K84-MAX(0,0.02*G84-I83-$D$7*F84-Q84)</f>
        <v/>
      </c>
      <c r="K84">
        <f>($D$9/12)*J83</f>
        <v/>
      </c>
      <c r="L84">
        <f>IF(G84=0,0,J84/(G84*$D$12))</f>
        <v/>
      </c>
      <c r="M84">
        <f>MIN(0.06,MAX(0.01,IF(G84=0,0,I84/G84)))</f>
        <v/>
      </c>
      <c r="N84">
        <f>INDEX($G$6:$G$30,MIN(INT((A84-1)/12)+1,25))</f>
        <v/>
      </c>
      <c r="O84">
        <f>G84*$D$12</f>
        <v/>
      </c>
      <c r="P84">
        <f>M84*G84</f>
        <v/>
      </c>
      <c r="Q84">
        <f>($D$16/12)*I83</f>
        <v/>
      </c>
    </row>
    <row r="85">
      <c r="A85" t="n">
        <v>53</v>
      </c>
      <c r="B85">
        <f>CEILING(0.0101*G84/$D$5,1)</f>
        <v/>
      </c>
      <c r="C85">
        <f>MAX(0,MIN(MAX(0,FLOOR($D$15*D84*MAX(0,1-D84/(($D$10+SUM($N$33:N84))/$D$5)),1)),IF(A85&gt;=$D$14,IF(AND(D84&gt;0,F84&gt;0),INT(K84*D84/F84),0),1000000000),MIN(IF($D$11&gt;G84,INT(($D$11-G84)/$D$5),0)-D84,MAX(B85,INT(($D$10+SUM($N$33:N84))/$D$5)-D84))))</f>
        <v/>
      </c>
      <c r="D85">
        <f>D84+C85</f>
        <v/>
      </c>
      <c r="E85">
        <f>$D$5</f>
        <v/>
      </c>
      <c r="F85">
        <f>IF(G84&gt;=$D$11,0,MIN(D85*E85,$D$11-G84))</f>
        <v/>
      </c>
      <c r="G85">
        <f>G84+F85</f>
        <v/>
      </c>
      <c r="H85">
        <f>H84+$D$6*F85</f>
        <v/>
      </c>
      <c r="I85">
        <f>MAX(I84+$D$7*F85+Q85-0.01*G85,0.01*G85)</f>
        <v/>
      </c>
      <c r="J85">
        <f>J84+$D$8*F85+K85-MAX(0,0.02*G85-I84-$D$7*F85-Q85)</f>
        <v/>
      </c>
      <c r="K85">
        <f>($D$9/12)*J84</f>
        <v/>
      </c>
      <c r="L85">
        <f>IF(G85=0,0,J85/(G85*$D$12))</f>
        <v/>
      </c>
      <c r="M85">
        <f>MIN(0.06,MAX(0.01,IF(G85=0,0,I85/G85)))</f>
        <v/>
      </c>
      <c r="N85">
        <f>INDEX($G$6:$G$30,MIN(INT((A85-1)/12)+1,25))</f>
        <v/>
      </c>
      <c r="O85">
        <f>G85*$D$12</f>
        <v/>
      </c>
      <c r="P85">
        <f>M85*G85</f>
        <v/>
      </c>
      <c r="Q85">
        <f>($D$16/12)*I84</f>
        <v/>
      </c>
    </row>
    <row r="86">
      <c r="A86" t="n">
        <v>54</v>
      </c>
      <c r="B86">
        <f>CEILING(0.0101*G85/$D$5,1)</f>
        <v/>
      </c>
      <c r="C86">
        <f>MAX(0,MIN(MAX(0,FLOOR($D$15*D85*MAX(0,1-D85/(($D$10+SUM($N$33:N85))/$D$5)),1)),IF(A86&gt;=$D$14,IF(AND(D85&gt;0,F85&gt;0),INT(K85*D85/F85),0),1000000000),MIN(IF($D$11&gt;G85,INT(($D$11-G85)/$D$5),0)-D85,MAX(B86,INT(($D$10+SUM($N$33:N85))/$D$5)-D85))))</f>
        <v/>
      </c>
      <c r="D86">
        <f>D85+C86</f>
        <v/>
      </c>
      <c r="E86">
        <f>$D$5</f>
        <v/>
      </c>
      <c r="F86">
        <f>IF(G85&gt;=$D$11,0,MIN(D86*E86,$D$11-G85))</f>
        <v/>
      </c>
      <c r="G86">
        <f>G85+F86</f>
        <v/>
      </c>
      <c r="H86">
        <f>H85+$D$6*F86</f>
        <v/>
      </c>
      <c r="I86">
        <f>MAX(I85+$D$7*F86+Q86-0.01*G86,0.01*G86)</f>
        <v/>
      </c>
      <c r="J86">
        <f>J85+$D$8*F86+K86-MAX(0,0.02*G86-I85-$D$7*F86-Q86)</f>
        <v/>
      </c>
      <c r="K86">
        <f>($D$9/12)*J85</f>
        <v/>
      </c>
      <c r="L86">
        <f>IF(G86=0,0,J86/(G86*$D$12))</f>
        <v/>
      </c>
      <c r="M86">
        <f>MIN(0.06,MAX(0.01,IF(G86=0,0,I86/G86)))</f>
        <v/>
      </c>
      <c r="N86">
        <f>INDEX($G$6:$G$30,MIN(INT((A86-1)/12)+1,25))</f>
        <v/>
      </c>
      <c r="O86">
        <f>G86*$D$12</f>
        <v/>
      </c>
      <c r="P86">
        <f>M86*G86</f>
        <v/>
      </c>
      <c r="Q86">
        <f>($D$16/12)*I85</f>
        <v/>
      </c>
    </row>
    <row r="87">
      <c r="A87" t="n">
        <v>55</v>
      </c>
      <c r="B87">
        <f>CEILING(0.0101*G86/$D$5,1)</f>
        <v/>
      </c>
      <c r="C87">
        <f>MAX(0,MIN(MAX(0,FLOOR($D$15*D86*MAX(0,1-D86/(($D$10+SUM($N$33:N86))/$D$5)),1)),IF(A87&gt;=$D$14,IF(AND(D86&gt;0,F86&gt;0),INT(K86*D86/F86),0),1000000000),MIN(IF($D$11&gt;G86,INT(($D$11-G86)/$D$5),0)-D86,MAX(B87,INT(($D$10+SUM($N$33:N86))/$D$5)-D86))))</f>
        <v/>
      </c>
      <c r="D87">
        <f>D86+C87</f>
        <v/>
      </c>
      <c r="E87">
        <f>$D$5</f>
        <v/>
      </c>
      <c r="F87">
        <f>IF(G86&gt;=$D$11,0,MIN(D87*E87,$D$11-G86))</f>
        <v/>
      </c>
      <c r="G87">
        <f>G86+F87</f>
        <v/>
      </c>
      <c r="H87">
        <f>H86+$D$6*F87</f>
        <v/>
      </c>
      <c r="I87">
        <f>MAX(I86+$D$7*F87+Q87-0.01*G87,0.01*G87)</f>
        <v/>
      </c>
      <c r="J87">
        <f>J86+$D$8*F87+K87-MAX(0,0.02*G87-I86-$D$7*F87-Q87)</f>
        <v/>
      </c>
      <c r="K87">
        <f>($D$9/12)*J86</f>
        <v/>
      </c>
      <c r="L87">
        <f>IF(G87=0,0,J87/(G87*$D$12))</f>
        <v/>
      </c>
      <c r="M87">
        <f>MIN(0.06,MAX(0.01,IF(G87=0,0,I87/G87)))</f>
        <v/>
      </c>
      <c r="N87">
        <f>INDEX($G$6:$G$30,MIN(INT((A87-1)/12)+1,25))</f>
        <v/>
      </c>
      <c r="O87">
        <f>G87*$D$12</f>
        <v/>
      </c>
      <c r="P87">
        <f>M87*G87</f>
        <v/>
      </c>
      <c r="Q87">
        <f>($D$16/12)*I86</f>
        <v/>
      </c>
    </row>
    <row r="88">
      <c r="A88" t="n">
        <v>56</v>
      </c>
      <c r="B88">
        <f>CEILING(0.0101*G87/$D$5,1)</f>
        <v/>
      </c>
      <c r="C88">
        <f>MAX(0,MIN(MAX(0,FLOOR($D$15*D87*MAX(0,1-D87/(($D$10+SUM($N$33:N87))/$D$5)),1)),IF(A88&gt;=$D$14,IF(AND(D87&gt;0,F87&gt;0),INT(K87*D87/F87),0),1000000000),MIN(IF($D$11&gt;G87,INT(($D$11-G87)/$D$5),0)-D87,MAX(B88,INT(($D$10+SUM($N$33:N87))/$D$5)-D87))))</f>
        <v/>
      </c>
      <c r="D88">
        <f>D87+C88</f>
        <v/>
      </c>
      <c r="E88">
        <f>$D$5</f>
        <v/>
      </c>
      <c r="F88">
        <f>IF(G87&gt;=$D$11,0,MIN(D88*E88,$D$11-G87))</f>
        <v/>
      </c>
      <c r="G88">
        <f>G87+F88</f>
        <v/>
      </c>
      <c r="H88">
        <f>H87+$D$6*F88</f>
        <v/>
      </c>
      <c r="I88">
        <f>MAX(I87+$D$7*F88+Q88-0.01*G88,0.01*G88)</f>
        <v/>
      </c>
      <c r="J88">
        <f>J87+$D$8*F88+K88-MAX(0,0.02*G88-I87-$D$7*F88-Q88)</f>
        <v/>
      </c>
      <c r="K88">
        <f>($D$9/12)*J87</f>
        <v/>
      </c>
      <c r="L88">
        <f>IF(G88=0,0,J88/(G88*$D$12))</f>
        <v/>
      </c>
      <c r="M88">
        <f>MIN(0.06,MAX(0.01,IF(G88=0,0,I88/G88)))</f>
        <v/>
      </c>
      <c r="N88">
        <f>INDEX($G$6:$G$30,MIN(INT((A88-1)/12)+1,25))</f>
        <v/>
      </c>
      <c r="O88">
        <f>G88*$D$12</f>
        <v/>
      </c>
      <c r="P88">
        <f>M88*G88</f>
        <v/>
      </c>
      <c r="Q88">
        <f>($D$16/12)*I87</f>
        <v/>
      </c>
    </row>
    <row r="89">
      <c r="A89" t="n">
        <v>57</v>
      </c>
      <c r="B89">
        <f>CEILING(0.0101*G88/$D$5,1)</f>
        <v/>
      </c>
      <c r="C89">
        <f>MAX(0,MIN(MAX(0,FLOOR($D$15*D88*MAX(0,1-D88/(($D$10+SUM($N$33:N88))/$D$5)),1)),IF(A89&gt;=$D$14,IF(AND(D88&gt;0,F88&gt;0),INT(K88*D88/F88),0),1000000000),MIN(IF($D$11&gt;G88,INT(($D$11-G88)/$D$5),0)-D88,MAX(B89,INT(($D$10+SUM($N$33:N88))/$D$5)-D88))))</f>
        <v/>
      </c>
      <c r="D89">
        <f>D88+C89</f>
        <v/>
      </c>
      <c r="E89">
        <f>$D$5</f>
        <v/>
      </c>
      <c r="F89">
        <f>IF(G88&gt;=$D$11,0,MIN(D89*E89,$D$11-G88))</f>
        <v/>
      </c>
      <c r="G89">
        <f>G88+F89</f>
        <v/>
      </c>
      <c r="H89">
        <f>H88+$D$6*F89</f>
        <v/>
      </c>
      <c r="I89">
        <f>MAX(I88+$D$7*F89+Q89-0.01*G89,0.01*G89)</f>
        <v/>
      </c>
      <c r="J89">
        <f>J88+$D$8*F89+K89-MAX(0,0.02*G89-I88-$D$7*F89-Q89)</f>
        <v/>
      </c>
      <c r="K89">
        <f>($D$9/12)*J88</f>
        <v/>
      </c>
      <c r="L89">
        <f>IF(G89=0,0,J89/(G89*$D$12))</f>
        <v/>
      </c>
      <c r="M89">
        <f>MIN(0.06,MAX(0.01,IF(G89=0,0,I89/G89)))</f>
        <v/>
      </c>
      <c r="N89">
        <f>INDEX($G$6:$G$30,MIN(INT((A89-1)/12)+1,25))</f>
        <v/>
      </c>
      <c r="O89">
        <f>G89*$D$12</f>
        <v/>
      </c>
      <c r="P89">
        <f>M89*G89</f>
        <v/>
      </c>
      <c r="Q89">
        <f>($D$16/12)*I88</f>
        <v/>
      </c>
    </row>
    <row r="90">
      <c r="A90" t="n">
        <v>58</v>
      </c>
      <c r="B90">
        <f>CEILING(0.0101*G89/$D$5,1)</f>
        <v/>
      </c>
      <c r="C90">
        <f>MAX(0,MIN(MAX(0,FLOOR($D$15*D89*MAX(0,1-D89/(($D$10+SUM($N$33:N89))/$D$5)),1)),IF(A90&gt;=$D$14,IF(AND(D89&gt;0,F89&gt;0),INT(K89*D89/F89),0),1000000000),MIN(IF($D$11&gt;G89,INT(($D$11-G89)/$D$5),0)-D89,MAX(B90,INT(($D$10+SUM($N$33:N89))/$D$5)-D89))))</f>
        <v/>
      </c>
      <c r="D90">
        <f>D89+C90</f>
        <v/>
      </c>
      <c r="E90">
        <f>$D$5</f>
        <v/>
      </c>
      <c r="F90">
        <f>IF(G89&gt;=$D$11,0,MIN(D90*E90,$D$11-G89))</f>
        <v/>
      </c>
      <c r="G90">
        <f>G89+F90</f>
        <v/>
      </c>
      <c r="H90">
        <f>H89+$D$6*F90</f>
        <v/>
      </c>
      <c r="I90">
        <f>MAX(I89+$D$7*F90+Q90-0.01*G90,0.01*G90)</f>
        <v/>
      </c>
      <c r="J90">
        <f>J89+$D$8*F90+K90-MAX(0,0.02*G90-I89-$D$7*F90-Q90)</f>
        <v/>
      </c>
      <c r="K90">
        <f>($D$9/12)*J89</f>
        <v/>
      </c>
      <c r="L90">
        <f>IF(G90=0,0,J90/(G90*$D$12))</f>
        <v/>
      </c>
      <c r="M90">
        <f>MIN(0.06,MAX(0.01,IF(G90=0,0,I90/G90)))</f>
        <v/>
      </c>
      <c r="N90">
        <f>INDEX($G$6:$G$30,MIN(INT((A90-1)/12)+1,25))</f>
        <v/>
      </c>
      <c r="O90">
        <f>G90*$D$12</f>
        <v/>
      </c>
      <c r="P90">
        <f>M90*G90</f>
        <v/>
      </c>
      <c r="Q90">
        <f>($D$16/12)*I89</f>
        <v/>
      </c>
    </row>
    <row r="91">
      <c r="A91" t="n">
        <v>59</v>
      </c>
      <c r="B91">
        <f>CEILING(0.0101*G90/$D$5,1)</f>
        <v/>
      </c>
      <c r="C91">
        <f>MAX(0,MIN(MAX(0,FLOOR($D$15*D90*MAX(0,1-D90/(($D$10+SUM($N$33:N90))/$D$5)),1)),IF(A91&gt;=$D$14,IF(AND(D90&gt;0,F90&gt;0),INT(K90*D90/F90),0),1000000000),MIN(IF($D$11&gt;G90,INT(($D$11-G90)/$D$5),0)-D90,MAX(B91,INT(($D$10+SUM($N$33:N90))/$D$5)-D90))))</f>
        <v/>
      </c>
      <c r="D91">
        <f>D90+C91</f>
        <v/>
      </c>
      <c r="E91">
        <f>$D$5</f>
        <v/>
      </c>
      <c r="F91">
        <f>IF(G90&gt;=$D$11,0,MIN(D91*E91,$D$11-G90))</f>
        <v/>
      </c>
      <c r="G91">
        <f>G90+F91</f>
        <v/>
      </c>
      <c r="H91">
        <f>H90+$D$6*F91</f>
        <v/>
      </c>
      <c r="I91">
        <f>MAX(I90+$D$7*F91+Q91-0.01*G91,0.01*G91)</f>
        <v/>
      </c>
      <c r="J91">
        <f>J90+$D$8*F91+K91-MAX(0,0.02*G91-I90-$D$7*F91-Q91)</f>
        <v/>
      </c>
      <c r="K91">
        <f>($D$9/12)*J90</f>
        <v/>
      </c>
      <c r="L91">
        <f>IF(G91=0,0,J91/(G91*$D$12))</f>
        <v/>
      </c>
      <c r="M91">
        <f>MIN(0.06,MAX(0.01,IF(G91=0,0,I91/G91)))</f>
        <v/>
      </c>
      <c r="N91">
        <f>INDEX($G$6:$G$30,MIN(INT((A91-1)/12)+1,25))</f>
        <v/>
      </c>
      <c r="O91">
        <f>G91*$D$12</f>
        <v/>
      </c>
      <c r="P91">
        <f>M91*G91</f>
        <v/>
      </c>
      <c r="Q91">
        <f>($D$16/12)*I90</f>
        <v/>
      </c>
    </row>
    <row r="92">
      <c r="A92" t="n">
        <v>60</v>
      </c>
      <c r="B92">
        <f>CEILING(0.0101*G91/$D$5,1)</f>
        <v/>
      </c>
      <c r="C92">
        <f>MAX(0,MIN(MAX(0,FLOOR($D$15*D91*MAX(0,1-D91/(($D$10+SUM($N$33:N91))/$D$5)),1)),IF(A92&gt;=$D$14,IF(AND(D91&gt;0,F91&gt;0),INT(K91*D91/F91),0),1000000000),MIN(IF($D$11&gt;G91,INT(($D$11-G91)/$D$5),0)-D91,MAX(B92,INT(($D$10+SUM($N$33:N91))/$D$5)-D91))))</f>
        <v/>
      </c>
      <c r="D92">
        <f>D91+C92</f>
        <v/>
      </c>
      <c r="E92">
        <f>$D$5</f>
        <v/>
      </c>
      <c r="F92">
        <f>IF(G91&gt;=$D$11,0,MIN(D92*E92,$D$11-G91))</f>
        <v/>
      </c>
      <c r="G92">
        <f>G91+F92</f>
        <v/>
      </c>
      <c r="H92">
        <f>H91+$D$6*F92</f>
        <v/>
      </c>
      <c r="I92">
        <f>MAX(I91+$D$7*F92+Q92-0.01*G92,0.01*G92)</f>
        <v/>
      </c>
      <c r="J92">
        <f>J91+$D$8*F92+K92-MAX(0,0.02*G92-I91-$D$7*F92-Q92)</f>
        <v/>
      </c>
      <c r="K92">
        <f>($D$9/12)*J91</f>
        <v/>
      </c>
      <c r="L92">
        <f>IF(G92=0,0,J92/(G92*$D$12))</f>
        <v/>
      </c>
      <c r="M92">
        <f>MIN(0.06,MAX(0.01,IF(G92=0,0,I92/G92)))</f>
        <v/>
      </c>
      <c r="N92">
        <f>INDEX($G$6:$G$30,MIN(INT((A92-1)/12)+1,25))</f>
        <v/>
      </c>
      <c r="O92">
        <f>G92*$D$12</f>
        <v/>
      </c>
      <c r="P92">
        <f>M92*G92</f>
        <v/>
      </c>
      <c r="Q92">
        <f>($D$16/12)*I91</f>
        <v/>
      </c>
    </row>
    <row r="93">
      <c r="A93" t="n">
        <v>61</v>
      </c>
      <c r="B93">
        <f>CEILING(0.0101*G92/$D$5,1)</f>
        <v/>
      </c>
      <c r="C93">
        <f>MAX(0,MIN(MAX(0,FLOOR($D$15*D92*MAX(0,1-D92/(($D$10+SUM($N$33:N92))/$D$5)),1)),IF(A93&gt;=$D$14,IF(AND(D92&gt;0,F92&gt;0),INT(K92*D92/F92),0),1000000000),MIN(IF($D$11&gt;G92,INT(($D$11-G92)/$D$5),0)-D92,MAX(B93,INT(($D$10+SUM($N$33:N92))/$D$5)-D92))))</f>
        <v/>
      </c>
      <c r="D93">
        <f>D92+C93</f>
        <v/>
      </c>
      <c r="E93">
        <f>$D$5</f>
        <v/>
      </c>
      <c r="F93">
        <f>IF(G92&gt;=$D$11,0,MIN(D93*E93,$D$11-G92))</f>
        <v/>
      </c>
      <c r="G93">
        <f>G92+F93</f>
        <v/>
      </c>
      <c r="H93">
        <f>H92+$D$6*F93</f>
        <v/>
      </c>
      <c r="I93">
        <f>MAX(I92+$D$7*F93+Q93-0.01*G93,0.01*G93)</f>
        <v/>
      </c>
      <c r="J93">
        <f>J92+$D$8*F93+K93-MAX(0,0.02*G93-I92-$D$7*F93-Q93)</f>
        <v/>
      </c>
      <c r="K93">
        <f>($D$9/12)*J92</f>
        <v/>
      </c>
      <c r="L93">
        <f>IF(G93=0,0,J93/(G93*$D$12))</f>
        <v/>
      </c>
      <c r="M93">
        <f>MIN(0.06,MAX(0.01,IF(G93=0,0,I93/G93)))</f>
        <v/>
      </c>
      <c r="N93">
        <f>INDEX($G$6:$G$30,MIN(INT((A93-1)/12)+1,25))</f>
        <v/>
      </c>
      <c r="O93">
        <f>G93*$D$12</f>
        <v/>
      </c>
      <c r="P93">
        <f>M93*G93</f>
        <v/>
      </c>
      <c r="Q93">
        <f>($D$16/12)*I92</f>
        <v/>
      </c>
    </row>
    <row r="94">
      <c r="A94" t="n">
        <v>62</v>
      </c>
      <c r="B94">
        <f>CEILING(0.0101*G93/$D$5,1)</f>
        <v/>
      </c>
      <c r="C94">
        <f>MAX(0,MIN(MAX(0,FLOOR($D$15*D93*MAX(0,1-D93/(($D$10+SUM($N$33:N93))/$D$5)),1)),IF(A94&gt;=$D$14,IF(AND(D93&gt;0,F93&gt;0),INT(K93*D93/F93),0),1000000000),MIN(IF($D$11&gt;G93,INT(($D$11-G93)/$D$5),0)-D93,MAX(B94,INT(($D$10+SUM($N$33:N93))/$D$5)-D93))))</f>
        <v/>
      </c>
      <c r="D94">
        <f>D93+C94</f>
        <v/>
      </c>
      <c r="E94">
        <f>$D$5</f>
        <v/>
      </c>
      <c r="F94">
        <f>IF(G93&gt;=$D$11,0,MIN(D94*E94,$D$11-G93))</f>
        <v/>
      </c>
      <c r="G94">
        <f>G93+F94</f>
        <v/>
      </c>
      <c r="H94">
        <f>H93+$D$6*F94</f>
        <v/>
      </c>
      <c r="I94">
        <f>MAX(I93+$D$7*F94+Q94-0.01*G94,0.01*G94)</f>
        <v/>
      </c>
      <c r="J94">
        <f>J93+$D$8*F94+K94-MAX(0,0.02*G94-I93-$D$7*F94-Q94)</f>
        <v/>
      </c>
      <c r="K94">
        <f>($D$9/12)*J93</f>
        <v/>
      </c>
      <c r="L94">
        <f>IF(G94=0,0,J94/(G94*$D$12))</f>
        <v/>
      </c>
      <c r="M94">
        <f>MIN(0.06,MAX(0.01,IF(G94=0,0,I94/G94)))</f>
        <v/>
      </c>
      <c r="N94">
        <f>INDEX($G$6:$G$30,MIN(INT((A94-1)/12)+1,25))</f>
        <v/>
      </c>
      <c r="O94">
        <f>G94*$D$12</f>
        <v/>
      </c>
      <c r="P94">
        <f>M94*G94</f>
        <v/>
      </c>
      <c r="Q94">
        <f>($D$16/12)*I93</f>
        <v/>
      </c>
    </row>
    <row r="95">
      <c r="A95" t="n">
        <v>63</v>
      </c>
      <c r="B95">
        <f>CEILING(0.0101*G94/$D$5,1)</f>
        <v/>
      </c>
      <c r="C95">
        <f>MAX(0,MIN(MAX(0,FLOOR($D$15*D94*MAX(0,1-D94/(($D$10+SUM($N$33:N94))/$D$5)),1)),IF(A95&gt;=$D$14,IF(AND(D94&gt;0,F94&gt;0),INT(K94*D94/F94),0),1000000000),MIN(IF($D$11&gt;G94,INT(($D$11-G94)/$D$5),0)-D94,MAX(B95,INT(($D$10+SUM($N$33:N94))/$D$5)-D94))))</f>
        <v/>
      </c>
      <c r="D95">
        <f>D94+C95</f>
        <v/>
      </c>
      <c r="E95">
        <f>$D$5</f>
        <v/>
      </c>
      <c r="F95">
        <f>IF(G94&gt;=$D$11,0,MIN(D95*E95,$D$11-G94))</f>
        <v/>
      </c>
      <c r="G95">
        <f>G94+F95</f>
        <v/>
      </c>
      <c r="H95">
        <f>H94+$D$6*F95</f>
        <v/>
      </c>
      <c r="I95">
        <f>MAX(I94+$D$7*F95+Q95-0.01*G95,0.01*G95)</f>
        <v/>
      </c>
      <c r="J95">
        <f>J94+$D$8*F95+K95-MAX(0,0.02*G95-I94-$D$7*F95-Q95)</f>
        <v/>
      </c>
      <c r="K95">
        <f>($D$9/12)*J94</f>
        <v/>
      </c>
      <c r="L95">
        <f>IF(G95=0,0,J95/(G95*$D$12))</f>
        <v/>
      </c>
      <c r="M95">
        <f>MIN(0.06,MAX(0.01,IF(G95=0,0,I95/G95)))</f>
        <v/>
      </c>
      <c r="N95">
        <f>INDEX($G$6:$G$30,MIN(INT((A95-1)/12)+1,25))</f>
        <v/>
      </c>
      <c r="O95">
        <f>G95*$D$12</f>
        <v/>
      </c>
      <c r="P95">
        <f>M95*G95</f>
        <v/>
      </c>
      <c r="Q95">
        <f>($D$16/12)*I94</f>
        <v/>
      </c>
    </row>
    <row r="96">
      <c r="A96" t="n">
        <v>64</v>
      </c>
      <c r="B96">
        <f>CEILING(0.0101*G95/$D$5,1)</f>
        <v/>
      </c>
      <c r="C96">
        <f>MAX(0,MIN(MAX(0,FLOOR($D$15*D95*MAX(0,1-D95/(($D$10+SUM($N$33:N95))/$D$5)),1)),IF(A96&gt;=$D$14,IF(AND(D95&gt;0,F95&gt;0),INT(K95*D95/F95),0),1000000000),MIN(IF($D$11&gt;G95,INT(($D$11-G95)/$D$5),0)-D95,MAX(B96,INT(($D$10+SUM($N$33:N95))/$D$5)-D95))))</f>
        <v/>
      </c>
      <c r="D96">
        <f>D95+C96</f>
        <v/>
      </c>
      <c r="E96">
        <f>$D$5</f>
        <v/>
      </c>
      <c r="F96">
        <f>IF(G95&gt;=$D$11,0,MIN(D96*E96,$D$11-G95))</f>
        <v/>
      </c>
      <c r="G96">
        <f>G95+F96</f>
        <v/>
      </c>
      <c r="H96">
        <f>H95+$D$6*F96</f>
        <v/>
      </c>
      <c r="I96">
        <f>MAX(I95+$D$7*F96+Q96-0.01*G96,0.01*G96)</f>
        <v/>
      </c>
      <c r="J96">
        <f>J95+$D$8*F96+K96-MAX(0,0.02*G96-I95-$D$7*F96-Q96)</f>
        <v/>
      </c>
      <c r="K96">
        <f>($D$9/12)*J95</f>
        <v/>
      </c>
      <c r="L96">
        <f>IF(G96=0,0,J96/(G96*$D$12))</f>
        <v/>
      </c>
      <c r="M96">
        <f>MIN(0.06,MAX(0.01,IF(G96=0,0,I96/G96)))</f>
        <v/>
      </c>
      <c r="N96">
        <f>INDEX($G$6:$G$30,MIN(INT((A96-1)/12)+1,25))</f>
        <v/>
      </c>
      <c r="O96">
        <f>G96*$D$12</f>
        <v/>
      </c>
      <c r="P96">
        <f>M96*G96</f>
        <v/>
      </c>
      <c r="Q96">
        <f>($D$16/12)*I95</f>
        <v/>
      </c>
    </row>
    <row r="97">
      <c r="A97" t="n">
        <v>65</v>
      </c>
      <c r="B97">
        <f>CEILING(0.0101*G96/$D$5,1)</f>
        <v/>
      </c>
      <c r="C97">
        <f>MAX(0,MIN(MAX(0,FLOOR($D$15*D96*MAX(0,1-D96/(($D$10+SUM($N$33:N96))/$D$5)),1)),IF(A97&gt;=$D$14,IF(AND(D96&gt;0,F96&gt;0),INT(K96*D96/F96),0),1000000000),MIN(IF($D$11&gt;G96,INT(($D$11-G96)/$D$5),0)-D96,MAX(B97,INT(($D$10+SUM($N$33:N96))/$D$5)-D96))))</f>
        <v/>
      </c>
      <c r="D97">
        <f>D96+C97</f>
        <v/>
      </c>
      <c r="E97">
        <f>$D$5</f>
        <v/>
      </c>
      <c r="F97">
        <f>IF(G96&gt;=$D$11,0,MIN(D97*E97,$D$11-G96))</f>
        <v/>
      </c>
      <c r="G97">
        <f>G96+F97</f>
        <v/>
      </c>
      <c r="H97">
        <f>H96+$D$6*F97</f>
        <v/>
      </c>
      <c r="I97">
        <f>MAX(I96+$D$7*F97+Q97-0.01*G97,0.01*G97)</f>
        <v/>
      </c>
      <c r="J97">
        <f>J96+$D$8*F97+K97-MAX(0,0.02*G97-I96-$D$7*F97-Q97)</f>
        <v/>
      </c>
      <c r="K97">
        <f>($D$9/12)*J96</f>
        <v/>
      </c>
      <c r="L97">
        <f>IF(G97=0,0,J97/(G97*$D$12))</f>
        <v/>
      </c>
      <c r="M97">
        <f>MIN(0.06,MAX(0.01,IF(G97=0,0,I97/G97)))</f>
        <v/>
      </c>
      <c r="N97">
        <f>INDEX($G$6:$G$30,MIN(INT((A97-1)/12)+1,25))</f>
        <v/>
      </c>
      <c r="O97">
        <f>G97*$D$12</f>
        <v/>
      </c>
      <c r="P97">
        <f>M97*G97</f>
        <v/>
      </c>
      <c r="Q97">
        <f>($D$16/12)*I96</f>
        <v/>
      </c>
    </row>
    <row r="98">
      <c r="A98" t="n">
        <v>66</v>
      </c>
      <c r="B98">
        <f>CEILING(0.0101*G97/$D$5,1)</f>
        <v/>
      </c>
      <c r="C98">
        <f>MAX(0,MIN(MAX(0,FLOOR($D$15*D97*MAX(0,1-D97/(($D$10+SUM($N$33:N97))/$D$5)),1)),IF(A98&gt;=$D$14,IF(AND(D97&gt;0,F97&gt;0),INT(K97*D97/F97),0),1000000000),MIN(IF($D$11&gt;G97,INT(($D$11-G97)/$D$5),0)-D97,MAX(B98,INT(($D$10+SUM($N$33:N97))/$D$5)-D97))))</f>
        <v/>
      </c>
      <c r="D98">
        <f>D97+C98</f>
        <v/>
      </c>
      <c r="E98">
        <f>$D$5</f>
        <v/>
      </c>
      <c r="F98">
        <f>IF(G97&gt;=$D$11,0,MIN(D98*E98,$D$11-G97))</f>
        <v/>
      </c>
      <c r="G98">
        <f>G97+F98</f>
        <v/>
      </c>
      <c r="H98">
        <f>H97+$D$6*F98</f>
        <v/>
      </c>
      <c r="I98">
        <f>MAX(I97+$D$7*F98+Q98-0.01*G98,0.01*G98)</f>
        <v/>
      </c>
      <c r="J98">
        <f>J97+$D$8*F98+K98-MAX(0,0.02*G98-I97-$D$7*F98-Q98)</f>
        <v/>
      </c>
      <c r="K98">
        <f>($D$9/12)*J97</f>
        <v/>
      </c>
      <c r="L98">
        <f>IF(G98=0,0,J98/(G98*$D$12))</f>
        <v/>
      </c>
      <c r="M98">
        <f>MIN(0.06,MAX(0.01,IF(G98=0,0,I98/G98)))</f>
        <v/>
      </c>
      <c r="N98">
        <f>INDEX($G$6:$G$30,MIN(INT((A98-1)/12)+1,25))</f>
        <v/>
      </c>
      <c r="O98">
        <f>G98*$D$12</f>
        <v/>
      </c>
      <c r="P98">
        <f>M98*G98</f>
        <v/>
      </c>
      <c r="Q98">
        <f>($D$16/12)*I97</f>
        <v/>
      </c>
    </row>
    <row r="99">
      <c r="A99" t="n">
        <v>67</v>
      </c>
      <c r="B99">
        <f>CEILING(0.0101*G98/$D$5,1)</f>
        <v/>
      </c>
      <c r="C99">
        <f>MAX(0,MIN(MAX(0,FLOOR($D$15*D98*MAX(0,1-D98/(($D$10+SUM($N$33:N98))/$D$5)),1)),IF(A99&gt;=$D$14,IF(AND(D98&gt;0,F98&gt;0),INT(K98*D98/F98),0),1000000000),MIN(IF($D$11&gt;G98,INT(($D$11-G98)/$D$5),0)-D98,MAX(B99,INT(($D$10+SUM($N$33:N98))/$D$5)-D98))))</f>
        <v/>
      </c>
      <c r="D99">
        <f>D98+C99</f>
        <v/>
      </c>
      <c r="E99">
        <f>$D$5</f>
        <v/>
      </c>
      <c r="F99">
        <f>IF(G98&gt;=$D$11,0,MIN(D99*E99,$D$11-G98))</f>
        <v/>
      </c>
      <c r="G99">
        <f>G98+F99</f>
        <v/>
      </c>
      <c r="H99">
        <f>H98+$D$6*F99</f>
        <v/>
      </c>
      <c r="I99">
        <f>MAX(I98+$D$7*F99+Q99-0.01*G99,0.01*G99)</f>
        <v/>
      </c>
      <c r="J99">
        <f>J98+$D$8*F99+K99-MAX(0,0.02*G99-I98-$D$7*F99-Q99)</f>
        <v/>
      </c>
      <c r="K99">
        <f>($D$9/12)*J98</f>
        <v/>
      </c>
      <c r="L99">
        <f>IF(G99=0,0,J99/(G99*$D$12))</f>
        <v/>
      </c>
      <c r="M99">
        <f>MIN(0.06,MAX(0.01,IF(G99=0,0,I99/G99)))</f>
        <v/>
      </c>
      <c r="N99">
        <f>INDEX($G$6:$G$30,MIN(INT((A99-1)/12)+1,25))</f>
        <v/>
      </c>
      <c r="O99">
        <f>G99*$D$12</f>
        <v/>
      </c>
      <c r="P99">
        <f>M99*G99</f>
        <v/>
      </c>
      <c r="Q99">
        <f>($D$16/12)*I98</f>
        <v/>
      </c>
    </row>
    <row r="100">
      <c r="A100" t="n">
        <v>68</v>
      </c>
      <c r="B100">
        <f>CEILING(0.0101*G99/$D$5,1)</f>
        <v/>
      </c>
      <c r="C100">
        <f>MAX(0,MIN(MAX(0,FLOOR($D$15*D99*MAX(0,1-D99/(($D$10+SUM($N$33:N99))/$D$5)),1)),IF(A100&gt;=$D$14,IF(AND(D99&gt;0,F99&gt;0),INT(K99*D99/F99),0),1000000000),MIN(IF($D$11&gt;G99,INT(($D$11-G99)/$D$5),0)-D99,MAX(B100,INT(($D$10+SUM($N$33:N99))/$D$5)-D99))))</f>
        <v/>
      </c>
      <c r="D100">
        <f>D99+C100</f>
        <v/>
      </c>
      <c r="E100">
        <f>$D$5</f>
        <v/>
      </c>
      <c r="F100">
        <f>IF(G99&gt;=$D$11,0,MIN(D100*E100,$D$11-G99))</f>
        <v/>
      </c>
      <c r="G100">
        <f>G99+F100</f>
        <v/>
      </c>
      <c r="H100">
        <f>H99+$D$6*F100</f>
        <v/>
      </c>
      <c r="I100">
        <f>MAX(I99+$D$7*F100+Q100-0.01*G100,0.01*G100)</f>
        <v/>
      </c>
      <c r="J100">
        <f>J99+$D$8*F100+K100-MAX(0,0.02*G100-I99-$D$7*F100-Q100)</f>
        <v/>
      </c>
      <c r="K100">
        <f>($D$9/12)*J99</f>
        <v/>
      </c>
      <c r="L100">
        <f>IF(G100=0,0,J100/(G100*$D$12))</f>
        <v/>
      </c>
      <c r="M100">
        <f>MIN(0.06,MAX(0.01,IF(G100=0,0,I100/G100)))</f>
        <v/>
      </c>
      <c r="N100">
        <f>INDEX($G$6:$G$30,MIN(INT((A100-1)/12)+1,25))</f>
        <v/>
      </c>
      <c r="O100">
        <f>G100*$D$12</f>
        <v/>
      </c>
      <c r="P100">
        <f>M100*G100</f>
        <v/>
      </c>
      <c r="Q100">
        <f>($D$16/12)*I99</f>
        <v/>
      </c>
    </row>
    <row r="101">
      <c r="A101" t="n">
        <v>69</v>
      </c>
      <c r="B101">
        <f>CEILING(0.0101*G100/$D$5,1)</f>
        <v/>
      </c>
      <c r="C101">
        <f>MAX(0,MIN(MAX(0,FLOOR($D$15*D100*MAX(0,1-D100/(($D$10+SUM($N$33:N100))/$D$5)),1)),IF(A101&gt;=$D$14,IF(AND(D100&gt;0,F100&gt;0),INT(K100*D100/F100),0),1000000000),MIN(IF($D$11&gt;G100,INT(($D$11-G100)/$D$5),0)-D100,MAX(B101,INT(($D$10+SUM($N$33:N100))/$D$5)-D100))))</f>
        <v/>
      </c>
      <c r="D101">
        <f>D100+C101</f>
        <v/>
      </c>
      <c r="E101">
        <f>$D$5</f>
        <v/>
      </c>
      <c r="F101">
        <f>IF(G100&gt;=$D$11,0,MIN(D101*E101,$D$11-G100))</f>
        <v/>
      </c>
      <c r="G101">
        <f>G100+F101</f>
        <v/>
      </c>
      <c r="H101">
        <f>H100+$D$6*F101</f>
        <v/>
      </c>
      <c r="I101">
        <f>MAX(I100+$D$7*F101+Q101-0.01*G101,0.01*G101)</f>
        <v/>
      </c>
      <c r="J101">
        <f>J100+$D$8*F101+K101-MAX(0,0.02*G101-I100-$D$7*F101-Q101)</f>
        <v/>
      </c>
      <c r="K101">
        <f>($D$9/12)*J100</f>
        <v/>
      </c>
      <c r="L101">
        <f>IF(G101=0,0,J101/(G101*$D$12))</f>
        <v/>
      </c>
      <c r="M101">
        <f>MIN(0.06,MAX(0.01,IF(G101=0,0,I101/G101)))</f>
        <v/>
      </c>
      <c r="N101">
        <f>INDEX($G$6:$G$30,MIN(INT((A101-1)/12)+1,25))</f>
        <v/>
      </c>
      <c r="O101">
        <f>G101*$D$12</f>
        <v/>
      </c>
      <c r="P101">
        <f>M101*G101</f>
        <v/>
      </c>
      <c r="Q101">
        <f>($D$16/12)*I100</f>
        <v/>
      </c>
    </row>
    <row r="102">
      <c r="A102" t="n">
        <v>70</v>
      </c>
      <c r="B102">
        <f>CEILING(0.0101*G101/$D$5,1)</f>
        <v/>
      </c>
      <c r="C102">
        <f>MAX(0,MIN(MAX(0,FLOOR($D$15*D101*MAX(0,1-D101/(($D$10+SUM($N$33:N101))/$D$5)),1)),IF(A102&gt;=$D$14,IF(AND(D101&gt;0,F101&gt;0),INT(K101*D101/F101),0),1000000000),MIN(IF($D$11&gt;G101,INT(($D$11-G101)/$D$5),0)-D101,MAX(B102,INT(($D$10+SUM($N$33:N101))/$D$5)-D101))))</f>
        <v/>
      </c>
      <c r="D102">
        <f>D101+C102</f>
        <v/>
      </c>
      <c r="E102">
        <f>$D$5</f>
        <v/>
      </c>
      <c r="F102">
        <f>IF(G101&gt;=$D$11,0,MIN(D102*E102,$D$11-G101))</f>
        <v/>
      </c>
      <c r="G102">
        <f>G101+F102</f>
        <v/>
      </c>
      <c r="H102">
        <f>H101+$D$6*F102</f>
        <v/>
      </c>
      <c r="I102">
        <f>MAX(I101+$D$7*F102+Q102-0.01*G102,0.01*G102)</f>
        <v/>
      </c>
      <c r="J102">
        <f>J101+$D$8*F102+K102-MAX(0,0.02*G102-I101-$D$7*F102-Q102)</f>
        <v/>
      </c>
      <c r="K102">
        <f>($D$9/12)*J101</f>
        <v/>
      </c>
      <c r="L102">
        <f>IF(G102=0,0,J102/(G102*$D$12))</f>
        <v/>
      </c>
      <c r="M102">
        <f>MIN(0.06,MAX(0.01,IF(G102=0,0,I102/G102)))</f>
        <v/>
      </c>
      <c r="N102">
        <f>INDEX($G$6:$G$30,MIN(INT((A102-1)/12)+1,25))</f>
        <v/>
      </c>
      <c r="O102">
        <f>G102*$D$12</f>
        <v/>
      </c>
      <c r="P102">
        <f>M102*G102</f>
        <v/>
      </c>
      <c r="Q102">
        <f>($D$16/12)*I101</f>
        <v/>
      </c>
    </row>
    <row r="103">
      <c r="A103" t="n">
        <v>71</v>
      </c>
      <c r="B103">
        <f>CEILING(0.0101*G102/$D$5,1)</f>
        <v/>
      </c>
      <c r="C103">
        <f>MAX(0,MIN(MAX(0,FLOOR($D$15*D102*MAX(0,1-D102/(($D$10+SUM($N$33:N102))/$D$5)),1)),IF(A103&gt;=$D$14,IF(AND(D102&gt;0,F102&gt;0),INT(K102*D102/F102),0),1000000000),MIN(IF($D$11&gt;G102,INT(($D$11-G102)/$D$5),0)-D102,MAX(B103,INT(($D$10+SUM($N$33:N102))/$D$5)-D102))))</f>
        <v/>
      </c>
      <c r="D103">
        <f>D102+C103</f>
        <v/>
      </c>
      <c r="E103">
        <f>$D$5</f>
        <v/>
      </c>
      <c r="F103">
        <f>IF(G102&gt;=$D$11,0,MIN(D103*E103,$D$11-G102))</f>
        <v/>
      </c>
      <c r="G103">
        <f>G102+F103</f>
        <v/>
      </c>
      <c r="H103">
        <f>H102+$D$6*F103</f>
        <v/>
      </c>
      <c r="I103">
        <f>MAX(I102+$D$7*F103+Q103-0.01*G103,0.01*G103)</f>
        <v/>
      </c>
      <c r="J103">
        <f>J102+$D$8*F103+K103-MAX(0,0.02*G103-I102-$D$7*F103-Q103)</f>
        <v/>
      </c>
      <c r="K103">
        <f>($D$9/12)*J102</f>
        <v/>
      </c>
      <c r="L103">
        <f>IF(G103=0,0,J103/(G103*$D$12))</f>
        <v/>
      </c>
      <c r="M103">
        <f>MIN(0.06,MAX(0.01,IF(G103=0,0,I103/G103)))</f>
        <v/>
      </c>
      <c r="N103">
        <f>INDEX($G$6:$G$30,MIN(INT((A103-1)/12)+1,25))</f>
        <v/>
      </c>
      <c r="O103">
        <f>G103*$D$12</f>
        <v/>
      </c>
      <c r="P103">
        <f>M103*G103</f>
        <v/>
      </c>
      <c r="Q103">
        <f>($D$16/12)*I102</f>
        <v/>
      </c>
    </row>
    <row r="104">
      <c r="A104" t="n">
        <v>72</v>
      </c>
      <c r="B104">
        <f>CEILING(0.0101*G103/$D$5,1)</f>
        <v/>
      </c>
      <c r="C104">
        <f>MAX(0,MIN(MAX(0,FLOOR($D$15*D103*MAX(0,1-D103/(($D$10+SUM($N$33:N103))/$D$5)),1)),IF(A104&gt;=$D$14,IF(AND(D103&gt;0,F103&gt;0),INT(K103*D103/F103),0),1000000000),MIN(IF($D$11&gt;G103,INT(($D$11-G103)/$D$5),0)-D103,MAX(B104,INT(($D$10+SUM($N$33:N103))/$D$5)-D103))))</f>
        <v/>
      </c>
      <c r="D104">
        <f>D103+C104</f>
        <v/>
      </c>
      <c r="E104">
        <f>$D$5</f>
        <v/>
      </c>
      <c r="F104">
        <f>IF(G103&gt;=$D$11,0,MIN(D104*E104,$D$11-G103))</f>
        <v/>
      </c>
      <c r="G104">
        <f>G103+F104</f>
        <v/>
      </c>
      <c r="H104">
        <f>H103+$D$6*F104</f>
        <v/>
      </c>
      <c r="I104">
        <f>MAX(I103+$D$7*F104+Q104-0.01*G104,0.01*G104)</f>
        <v/>
      </c>
      <c r="J104">
        <f>J103+$D$8*F104+K104-MAX(0,0.02*G104-I103-$D$7*F104-Q104)</f>
        <v/>
      </c>
      <c r="K104">
        <f>($D$9/12)*J103</f>
        <v/>
      </c>
      <c r="L104">
        <f>IF(G104=0,0,J104/(G104*$D$12))</f>
        <v/>
      </c>
      <c r="M104">
        <f>MIN(0.06,MAX(0.01,IF(G104=0,0,I104/G104)))</f>
        <v/>
      </c>
      <c r="N104">
        <f>INDEX($G$6:$G$30,MIN(INT((A104-1)/12)+1,25))</f>
        <v/>
      </c>
      <c r="O104">
        <f>G104*$D$12</f>
        <v/>
      </c>
      <c r="P104">
        <f>M104*G104</f>
        <v/>
      </c>
      <c r="Q104">
        <f>($D$16/12)*I103</f>
        <v/>
      </c>
    </row>
    <row r="105">
      <c r="A105" t="n">
        <v>73</v>
      </c>
      <c r="B105">
        <f>CEILING(0.0101*G104/$D$5,1)</f>
        <v/>
      </c>
      <c r="C105">
        <f>MAX(0,MIN(MAX(0,FLOOR($D$15*D104*MAX(0,1-D104/(($D$10+SUM($N$33:N104))/$D$5)),1)),IF(A105&gt;=$D$14,IF(AND(D104&gt;0,F104&gt;0),INT(K104*D104/F104),0),1000000000),MIN(IF($D$11&gt;G104,INT(($D$11-G104)/$D$5),0)-D104,MAX(B105,INT(($D$10+SUM($N$33:N104))/$D$5)-D104))))</f>
        <v/>
      </c>
      <c r="D105">
        <f>D104+C105</f>
        <v/>
      </c>
      <c r="E105">
        <f>$D$5</f>
        <v/>
      </c>
      <c r="F105">
        <f>IF(G104&gt;=$D$11,0,MIN(D105*E105,$D$11-G104))</f>
        <v/>
      </c>
      <c r="G105">
        <f>G104+F105</f>
        <v/>
      </c>
      <c r="H105">
        <f>H104+$D$6*F105</f>
        <v/>
      </c>
      <c r="I105">
        <f>MAX(I104+$D$7*F105+Q105-0.01*G105,0.01*G105)</f>
        <v/>
      </c>
      <c r="J105">
        <f>J104+$D$8*F105+K105-MAX(0,0.02*G105-I104-$D$7*F105-Q105)</f>
        <v/>
      </c>
      <c r="K105">
        <f>($D$9/12)*J104</f>
        <v/>
      </c>
      <c r="L105">
        <f>IF(G105=0,0,J105/(G105*$D$12))</f>
        <v/>
      </c>
      <c r="M105">
        <f>MIN(0.06,MAX(0.01,IF(G105=0,0,I105/G105)))</f>
        <v/>
      </c>
      <c r="N105">
        <f>INDEX($G$6:$G$30,MIN(INT((A105-1)/12)+1,25))</f>
        <v/>
      </c>
      <c r="O105">
        <f>G105*$D$12</f>
        <v/>
      </c>
      <c r="P105">
        <f>M105*G105</f>
        <v/>
      </c>
      <c r="Q105">
        <f>($D$16/12)*I104</f>
        <v/>
      </c>
    </row>
    <row r="106">
      <c r="A106" t="n">
        <v>74</v>
      </c>
      <c r="B106">
        <f>CEILING(0.0101*G105/$D$5,1)</f>
        <v/>
      </c>
      <c r="C106">
        <f>MAX(0,MIN(MAX(0,FLOOR($D$15*D105*MAX(0,1-D105/(($D$10+SUM($N$33:N105))/$D$5)),1)),IF(A106&gt;=$D$14,IF(AND(D105&gt;0,F105&gt;0),INT(K105*D105/F105),0),1000000000),MIN(IF($D$11&gt;G105,INT(($D$11-G105)/$D$5),0)-D105,MAX(B106,INT(($D$10+SUM($N$33:N105))/$D$5)-D105))))</f>
        <v/>
      </c>
      <c r="D106">
        <f>D105+C106</f>
        <v/>
      </c>
      <c r="E106">
        <f>$D$5</f>
        <v/>
      </c>
      <c r="F106">
        <f>IF(G105&gt;=$D$11,0,MIN(D106*E106,$D$11-G105))</f>
        <v/>
      </c>
      <c r="G106">
        <f>G105+F106</f>
        <v/>
      </c>
      <c r="H106">
        <f>H105+$D$6*F106</f>
        <v/>
      </c>
      <c r="I106">
        <f>MAX(I105+$D$7*F106+Q106-0.01*G106,0.01*G106)</f>
        <v/>
      </c>
      <c r="J106">
        <f>J105+$D$8*F106+K106-MAX(0,0.02*G106-I105-$D$7*F106-Q106)</f>
        <v/>
      </c>
      <c r="K106">
        <f>($D$9/12)*J105</f>
        <v/>
      </c>
      <c r="L106">
        <f>IF(G106=0,0,J106/(G106*$D$12))</f>
        <v/>
      </c>
      <c r="M106">
        <f>MIN(0.06,MAX(0.01,IF(G106=0,0,I106/G106)))</f>
        <v/>
      </c>
      <c r="N106">
        <f>INDEX($G$6:$G$30,MIN(INT((A106-1)/12)+1,25))</f>
        <v/>
      </c>
      <c r="O106">
        <f>G106*$D$12</f>
        <v/>
      </c>
      <c r="P106">
        <f>M106*G106</f>
        <v/>
      </c>
      <c r="Q106">
        <f>($D$16/12)*I105</f>
        <v/>
      </c>
    </row>
    <row r="107">
      <c r="A107" t="n">
        <v>75</v>
      </c>
      <c r="B107">
        <f>CEILING(0.0101*G106/$D$5,1)</f>
        <v/>
      </c>
      <c r="C107">
        <f>MAX(0,MIN(MAX(0,FLOOR($D$15*D106*MAX(0,1-D106/(($D$10+SUM($N$33:N106))/$D$5)),1)),IF(A107&gt;=$D$14,IF(AND(D106&gt;0,F106&gt;0),INT(K106*D106/F106),0),1000000000),MIN(IF($D$11&gt;G106,INT(($D$11-G106)/$D$5),0)-D106,MAX(B107,INT(($D$10+SUM($N$33:N106))/$D$5)-D106))))</f>
        <v/>
      </c>
      <c r="D107">
        <f>D106+C107</f>
        <v/>
      </c>
      <c r="E107">
        <f>$D$5</f>
        <v/>
      </c>
      <c r="F107">
        <f>IF(G106&gt;=$D$11,0,MIN(D107*E107,$D$11-G106))</f>
        <v/>
      </c>
      <c r="G107">
        <f>G106+F107</f>
        <v/>
      </c>
      <c r="H107">
        <f>H106+$D$6*F107</f>
        <v/>
      </c>
      <c r="I107">
        <f>MAX(I106+$D$7*F107+Q107-0.01*G107,0.01*G107)</f>
        <v/>
      </c>
      <c r="J107">
        <f>J106+$D$8*F107+K107-MAX(0,0.02*G107-I106-$D$7*F107-Q107)</f>
        <v/>
      </c>
      <c r="K107">
        <f>($D$9/12)*J106</f>
        <v/>
      </c>
      <c r="L107">
        <f>IF(G107=0,0,J107/(G107*$D$12))</f>
        <v/>
      </c>
      <c r="M107">
        <f>MIN(0.06,MAX(0.01,IF(G107=0,0,I107/G107)))</f>
        <v/>
      </c>
      <c r="N107">
        <f>INDEX($G$6:$G$30,MIN(INT((A107-1)/12)+1,25))</f>
        <v/>
      </c>
      <c r="O107">
        <f>G107*$D$12</f>
        <v/>
      </c>
      <c r="P107">
        <f>M107*G107</f>
        <v/>
      </c>
      <c r="Q107">
        <f>($D$16/12)*I106</f>
        <v/>
      </c>
    </row>
    <row r="108">
      <c r="A108" t="n">
        <v>76</v>
      </c>
      <c r="B108">
        <f>CEILING(0.0101*G107/$D$5,1)</f>
        <v/>
      </c>
      <c r="C108">
        <f>MAX(0,MIN(MAX(0,FLOOR($D$15*D107*MAX(0,1-D107/(($D$10+SUM($N$33:N107))/$D$5)),1)),IF(A108&gt;=$D$14,IF(AND(D107&gt;0,F107&gt;0),INT(K107*D107/F107),0),1000000000),MIN(IF($D$11&gt;G107,INT(($D$11-G107)/$D$5),0)-D107,MAX(B108,INT(($D$10+SUM($N$33:N107))/$D$5)-D107))))</f>
        <v/>
      </c>
      <c r="D108">
        <f>D107+C108</f>
        <v/>
      </c>
      <c r="E108">
        <f>$D$5</f>
        <v/>
      </c>
      <c r="F108">
        <f>IF(G107&gt;=$D$11,0,MIN(D108*E108,$D$11-G107))</f>
        <v/>
      </c>
      <c r="G108">
        <f>G107+F108</f>
        <v/>
      </c>
      <c r="H108">
        <f>H107+$D$6*F108</f>
        <v/>
      </c>
      <c r="I108">
        <f>MAX(I107+$D$7*F108+Q108-0.01*G108,0.01*G108)</f>
        <v/>
      </c>
      <c r="J108">
        <f>J107+$D$8*F108+K108-MAX(0,0.02*G108-I107-$D$7*F108-Q108)</f>
        <v/>
      </c>
      <c r="K108">
        <f>($D$9/12)*J107</f>
        <v/>
      </c>
      <c r="L108">
        <f>IF(G108=0,0,J108/(G108*$D$12))</f>
        <v/>
      </c>
      <c r="M108">
        <f>MIN(0.06,MAX(0.01,IF(G108=0,0,I108/G108)))</f>
        <v/>
      </c>
      <c r="N108">
        <f>INDEX($G$6:$G$30,MIN(INT((A108-1)/12)+1,25))</f>
        <v/>
      </c>
      <c r="O108">
        <f>G108*$D$12</f>
        <v/>
      </c>
      <c r="P108">
        <f>M108*G108</f>
        <v/>
      </c>
      <c r="Q108">
        <f>($D$16/12)*I107</f>
        <v/>
      </c>
    </row>
    <row r="109">
      <c r="A109" t="n">
        <v>77</v>
      </c>
      <c r="B109">
        <f>CEILING(0.0101*G108/$D$5,1)</f>
        <v/>
      </c>
      <c r="C109">
        <f>MAX(0,MIN(MAX(0,FLOOR($D$15*D108*MAX(0,1-D108/(($D$10+SUM($N$33:N108))/$D$5)),1)),IF(A109&gt;=$D$14,IF(AND(D108&gt;0,F108&gt;0),INT(K108*D108/F108),0),1000000000),MIN(IF($D$11&gt;G108,INT(($D$11-G108)/$D$5),0)-D108,MAX(B109,INT(($D$10+SUM($N$33:N108))/$D$5)-D108))))</f>
        <v/>
      </c>
      <c r="D109">
        <f>D108+C109</f>
        <v/>
      </c>
      <c r="E109">
        <f>$D$5</f>
        <v/>
      </c>
      <c r="F109">
        <f>IF(G108&gt;=$D$11,0,MIN(D109*E109,$D$11-G108))</f>
        <v/>
      </c>
      <c r="G109">
        <f>G108+F109</f>
        <v/>
      </c>
      <c r="H109">
        <f>H108+$D$6*F109</f>
        <v/>
      </c>
      <c r="I109">
        <f>MAX(I108+$D$7*F109+Q109-0.01*G109,0.01*G109)</f>
        <v/>
      </c>
      <c r="J109">
        <f>J108+$D$8*F109+K109-MAX(0,0.02*G109-I108-$D$7*F109-Q109)</f>
        <v/>
      </c>
      <c r="K109">
        <f>($D$9/12)*J108</f>
        <v/>
      </c>
      <c r="L109">
        <f>IF(G109=0,0,J109/(G109*$D$12))</f>
        <v/>
      </c>
      <c r="M109">
        <f>MIN(0.06,MAX(0.01,IF(G109=0,0,I109/G109)))</f>
        <v/>
      </c>
      <c r="N109">
        <f>INDEX($G$6:$G$30,MIN(INT((A109-1)/12)+1,25))</f>
        <v/>
      </c>
      <c r="O109">
        <f>G109*$D$12</f>
        <v/>
      </c>
      <c r="P109">
        <f>M109*G109</f>
        <v/>
      </c>
      <c r="Q109">
        <f>($D$16/12)*I108</f>
        <v/>
      </c>
    </row>
    <row r="110">
      <c r="A110" t="n">
        <v>78</v>
      </c>
      <c r="B110">
        <f>CEILING(0.0101*G109/$D$5,1)</f>
        <v/>
      </c>
      <c r="C110">
        <f>MAX(0,MIN(MAX(0,FLOOR($D$15*D109*MAX(0,1-D109/(($D$10+SUM($N$33:N109))/$D$5)),1)),IF(A110&gt;=$D$14,IF(AND(D109&gt;0,F109&gt;0),INT(K109*D109/F109),0),1000000000),MIN(IF($D$11&gt;G109,INT(($D$11-G109)/$D$5),0)-D109,MAX(B110,INT(($D$10+SUM($N$33:N109))/$D$5)-D109))))</f>
        <v/>
      </c>
      <c r="D110">
        <f>D109+C110</f>
        <v/>
      </c>
      <c r="E110">
        <f>$D$5</f>
        <v/>
      </c>
      <c r="F110">
        <f>IF(G109&gt;=$D$11,0,MIN(D110*E110,$D$11-G109))</f>
        <v/>
      </c>
      <c r="G110">
        <f>G109+F110</f>
        <v/>
      </c>
      <c r="H110">
        <f>H109+$D$6*F110</f>
        <v/>
      </c>
      <c r="I110">
        <f>MAX(I109+$D$7*F110+Q110-0.01*G110,0.01*G110)</f>
        <v/>
      </c>
      <c r="J110">
        <f>J109+$D$8*F110+K110-MAX(0,0.02*G110-I109-$D$7*F110-Q110)</f>
        <v/>
      </c>
      <c r="K110">
        <f>($D$9/12)*J109</f>
        <v/>
      </c>
      <c r="L110">
        <f>IF(G110=0,0,J110/(G110*$D$12))</f>
        <v/>
      </c>
      <c r="M110">
        <f>MIN(0.06,MAX(0.01,IF(G110=0,0,I110/G110)))</f>
        <v/>
      </c>
      <c r="N110">
        <f>INDEX($G$6:$G$30,MIN(INT((A110-1)/12)+1,25))</f>
        <v/>
      </c>
      <c r="O110">
        <f>G110*$D$12</f>
        <v/>
      </c>
      <c r="P110">
        <f>M110*G110</f>
        <v/>
      </c>
      <c r="Q110">
        <f>($D$16/12)*I109</f>
        <v/>
      </c>
    </row>
    <row r="111">
      <c r="A111" t="n">
        <v>79</v>
      </c>
      <c r="B111">
        <f>CEILING(0.0101*G110/$D$5,1)</f>
        <v/>
      </c>
      <c r="C111">
        <f>MAX(0,MIN(MAX(0,FLOOR($D$15*D110*MAX(0,1-D110/(($D$10+SUM($N$33:N110))/$D$5)),1)),IF(A111&gt;=$D$14,IF(AND(D110&gt;0,F110&gt;0),INT(K110*D110/F110),0),1000000000),MIN(IF($D$11&gt;G110,INT(($D$11-G110)/$D$5),0)-D110,MAX(B111,INT(($D$10+SUM($N$33:N110))/$D$5)-D110))))</f>
        <v/>
      </c>
      <c r="D111">
        <f>D110+C111</f>
        <v/>
      </c>
      <c r="E111">
        <f>$D$5</f>
        <v/>
      </c>
      <c r="F111">
        <f>IF(G110&gt;=$D$11,0,MIN(D111*E111,$D$11-G110))</f>
        <v/>
      </c>
      <c r="G111">
        <f>G110+F111</f>
        <v/>
      </c>
      <c r="H111">
        <f>H110+$D$6*F111</f>
        <v/>
      </c>
      <c r="I111">
        <f>MAX(I110+$D$7*F111+Q111-0.01*G111,0.01*G111)</f>
        <v/>
      </c>
      <c r="J111">
        <f>J110+$D$8*F111+K111-MAX(0,0.02*G111-I110-$D$7*F111-Q111)</f>
        <v/>
      </c>
      <c r="K111">
        <f>($D$9/12)*J110</f>
        <v/>
      </c>
      <c r="L111">
        <f>IF(G111=0,0,J111/(G111*$D$12))</f>
        <v/>
      </c>
      <c r="M111">
        <f>MIN(0.06,MAX(0.01,IF(G111=0,0,I111/G111)))</f>
        <v/>
      </c>
      <c r="N111">
        <f>INDEX($G$6:$G$30,MIN(INT((A111-1)/12)+1,25))</f>
        <v/>
      </c>
      <c r="O111">
        <f>G111*$D$12</f>
        <v/>
      </c>
      <c r="P111">
        <f>M111*G111</f>
        <v/>
      </c>
      <c r="Q111">
        <f>($D$16/12)*I110</f>
        <v/>
      </c>
    </row>
    <row r="112">
      <c r="A112" t="n">
        <v>80</v>
      </c>
      <c r="B112">
        <f>CEILING(0.0101*G111/$D$5,1)</f>
        <v/>
      </c>
      <c r="C112">
        <f>MAX(0,MIN(MAX(0,FLOOR($D$15*D111*MAX(0,1-D111/(($D$10+SUM($N$33:N111))/$D$5)),1)),IF(A112&gt;=$D$14,IF(AND(D111&gt;0,F111&gt;0),INT(K111*D111/F111),0),1000000000),MIN(IF($D$11&gt;G111,INT(($D$11-G111)/$D$5),0)-D111,MAX(B112,INT(($D$10+SUM($N$33:N111))/$D$5)-D111))))</f>
        <v/>
      </c>
      <c r="D112">
        <f>D111+C112</f>
        <v/>
      </c>
      <c r="E112">
        <f>$D$5</f>
        <v/>
      </c>
      <c r="F112">
        <f>IF(G111&gt;=$D$11,0,MIN(D112*E112,$D$11-G111))</f>
        <v/>
      </c>
      <c r="G112">
        <f>G111+F112</f>
        <v/>
      </c>
      <c r="H112">
        <f>H111+$D$6*F112</f>
        <v/>
      </c>
      <c r="I112">
        <f>MAX(I111+$D$7*F112+Q112-0.01*G112,0.01*G112)</f>
        <v/>
      </c>
      <c r="J112">
        <f>J111+$D$8*F112+K112-MAX(0,0.02*G112-I111-$D$7*F112-Q112)</f>
        <v/>
      </c>
      <c r="K112">
        <f>($D$9/12)*J111</f>
        <v/>
      </c>
      <c r="L112">
        <f>IF(G112=0,0,J112/(G112*$D$12))</f>
        <v/>
      </c>
      <c r="M112">
        <f>MIN(0.06,MAX(0.01,IF(G112=0,0,I112/G112)))</f>
        <v/>
      </c>
      <c r="N112">
        <f>INDEX($G$6:$G$30,MIN(INT((A112-1)/12)+1,25))</f>
        <v/>
      </c>
      <c r="O112">
        <f>G112*$D$12</f>
        <v/>
      </c>
      <c r="P112">
        <f>M112*G112</f>
        <v/>
      </c>
      <c r="Q112">
        <f>($D$16/12)*I111</f>
        <v/>
      </c>
    </row>
    <row r="113">
      <c r="A113" t="n">
        <v>81</v>
      </c>
      <c r="B113">
        <f>CEILING(0.0101*G112/$D$5,1)</f>
        <v/>
      </c>
      <c r="C113">
        <f>MAX(0,MIN(MAX(0,FLOOR($D$15*D112*MAX(0,1-D112/(($D$10+SUM($N$33:N112))/$D$5)),1)),IF(A113&gt;=$D$14,IF(AND(D112&gt;0,F112&gt;0),INT(K112*D112/F112),0),1000000000),MIN(IF($D$11&gt;G112,INT(($D$11-G112)/$D$5),0)-D112,MAX(B113,INT(($D$10+SUM($N$33:N112))/$D$5)-D112))))</f>
        <v/>
      </c>
      <c r="D113">
        <f>D112+C113</f>
        <v/>
      </c>
      <c r="E113">
        <f>$D$5</f>
        <v/>
      </c>
      <c r="F113">
        <f>IF(G112&gt;=$D$11,0,MIN(D113*E113,$D$11-G112))</f>
        <v/>
      </c>
      <c r="G113">
        <f>G112+F113</f>
        <v/>
      </c>
      <c r="H113">
        <f>H112+$D$6*F113</f>
        <v/>
      </c>
      <c r="I113">
        <f>MAX(I112+$D$7*F113+Q113-0.01*G113,0.01*G113)</f>
        <v/>
      </c>
      <c r="J113">
        <f>J112+$D$8*F113+K113-MAX(0,0.02*G113-I112-$D$7*F113-Q113)</f>
        <v/>
      </c>
      <c r="K113">
        <f>($D$9/12)*J112</f>
        <v/>
      </c>
      <c r="L113">
        <f>IF(G113=0,0,J113/(G113*$D$12))</f>
        <v/>
      </c>
      <c r="M113">
        <f>MIN(0.06,MAX(0.01,IF(G113=0,0,I113/G113)))</f>
        <v/>
      </c>
      <c r="N113">
        <f>INDEX($G$6:$G$30,MIN(INT((A113-1)/12)+1,25))</f>
        <v/>
      </c>
      <c r="O113">
        <f>G113*$D$12</f>
        <v/>
      </c>
      <c r="P113">
        <f>M113*G113</f>
        <v/>
      </c>
      <c r="Q113">
        <f>($D$16/12)*I112</f>
        <v/>
      </c>
    </row>
    <row r="114">
      <c r="A114" t="n">
        <v>82</v>
      </c>
      <c r="B114">
        <f>CEILING(0.0101*G113/$D$5,1)</f>
        <v/>
      </c>
      <c r="C114">
        <f>MAX(0,MIN(MAX(0,FLOOR($D$15*D113*MAX(0,1-D113/(($D$10+SUM($N$33:N113))/$D$5)),1)),IF(A114&gt;=$D$14,IF(AND(D113&gt;0,F113&gt;0),INT(K113*D113/F113),0),1000000000),MIN(IF($D$11&gt;G113,INT(($D$11-G113)/$D$5),0)-D113,MAX(B114,INT(($D$10+SUM($N$33:N113))/$D$5)-D113))))</f>
        <v/>
      </c>
      <c r="D114">
        <f>D113+C114</f>
        <v/>
      </c>
      <c r="E114">
        <f>$D$5</f>
        <v/>
      </c>
      <c r="F114">
        <f>IF(G113&gt;=$D$11,0,MIN(D114*E114,$D$11-G113))</f>
        <v/>
      </c>
      <c r="G114">
        <f>G113+F114</f>
        <v/>
      </c>
      <c r="H114">
        <f>H113+$D$6*F114</f>
        <v/>
      </c>
      <c r="I114">
        <f>MAX(I113+$D$7*F114+Q114-0.01*G114,0.01*G114)</f>
        <v/>
      </c>
      <c r="J114">
        <f>J113+$D$8*F114+K114-MAX(0,0.02*G114-I113-$D$7*F114-Q114)</f>
        <v/>
      </c>
      <c r="K114">
        <f>($D$9/12)*J113</f>
        <v/>
      </c>
      <c r="L114">
        <f>IF(G114=0,0,J114/(G114*$D$12))</f>
        <v/>
      </c>
      <c r="M114">
        <f>MIN(0.06,MAX(0.01,IF(G114=0,0,I114/G114)))</f>
        <v/>
      </c>
      <c r="N114">
        <f>INDEX($G$6:$G$30,MIN(INT((A114-1)/12)+1,25))</f>
        <v/>
      </c>
      <c r="O114">
        <f>G114*$D$12</f>
        <v/>
      </c>
      <c r="P114">
        <f>M114*G114</f>
        <v/>
      </c>
      <c r="Q114">
        <f>($D$16/12)*I113</f>
        <v/>
      </c>
    </row>
    <row r="115">
      <c r="A115" t="n">
        <v>83</v>
      </c>
      <c r="B115">
        <f>CEILING(0.0101*G114/$D$5,1)</f>
        <v/>
      </c>
      <c r="C115">
        <f>MAX(0,MIN(MAX(0,FLOOR($D$15*D114*MAX(0,1-D114/(($D$10+SUM($N$33:N114))/$D$5)),1)),IF(A115&gt;=$D$14,IF(AND(D114&gt;0,F114&gt;0),INT(K114*D114/F114),0),1000000000),MIN(IF($D$11&gt;G114,INT(($D$11-G114)/$D$5),0)-D114,MAX(B115,INT(($D$10+SUM($N$33:N114))/$D$5)-D114))))</f>
        <v/>
      </c>
      <c r="D115">
        <f>D114+C115</f>
        <v/>
      </c>
      <c r="E115">
        <f>$D$5</f>
        <v/>
      </c>
      <c r="F115">
        <f>IF(G114&gt;=$D$11,0,MIN(D115*E115,$D$11-G114))</f>
        <v/>
      </c>
      <c r="G115">
        <f>G114+F115</f>
        <v/>
      </c>
      <c r="H115">
        <f>H114+$D$6*F115</f>
        <v/>
      </c>
      <c r="I115">
        <f>MAX(I114+$D$7*F115+Q115-0.01*G115,0.01*G115)</f>
        <v/>
      </c>
      <c r="J115">
        <f>J114+$D$8*F115+K115-MAX(0,0.02*G115-I114-$D$7*F115-Q115)</f>
        <v/>
      </c>
      <c r="K115">
        <f>($D$9/12)*J114</f>
        <v/>
      </c>
      <c r="L115">
        <f>IF(G115=0,0,J115/(G115*$D$12))</f>
        <v/>
      </c>
      <c r="M115">
        <f>MIN(0.06,MAX(0.01,IF(G115=0,0,I115/G115)))</f>
        <v/>
      </c>
      <c r="N115">
        <f>INDEX($G$6:$G$30,MIN(INT((A115-1)/12)+1,25))</f>
        <v/>
      </c>
      <c r="O115">
        <f>G115*$D$12</f>
        <v/>
      </c>
      <c r="P115">
        <f>M115*G115</f>
        <v/>
      </c>
      <c r="Q115">
        <f>($D$16/12)*I114</f>
        <v/>
      </c>
    </row>
    <row r="116">
      <c r="A116" t="n">
        <v>84</v>
      </c>
      <c r="B116">
        <f>CEILING(0.0101*G115/$D$5,1)</f>
        <v/>
      </c>
      <c r="C116">
        <f>MAX(0,MIN(MAX(0,FLOOR($D$15*D115*MAX(0,1-D115/(($D$10+SUM($N$33:N115))/$D$5)),1)),IF(A116&gt;=$D$14,IF(AND(D115&gt;0,F115&gt;0),INT(K115*D115/F115),0),1000000000),MIN(IF($D$11&gt;G115,INT(($D$11-G115)/$D$5),0)-D115,MAX(B116,INT(($D$10+SUM($N$33:N115))/$D$5)-D115))))</f>
        <v/>
      </c>
      <c r="D116">
        <f>D115+C116</f>
        <v/>
      </c>
      <c r="E116">
        <f>$D$5</f>
        <v/>
      </c>
      <c r="F116">
        <f>IF(G115&gt;=$D$11,0,MIN(D116*E116,$D$11-G115))</f>
        <v/>
      </c>
      <c r="G116">
        <f>G115+F116</f>
        <v/>
      </c>
      <c r="H116">
        <f>H115+$D$6*F116</f>
        <v/>
      </c>
      <c r="I116">
        <f>MAX(I115+$D$7*F116+Q116-0.01*G116,0.01*G116)</f>
        <v/>
      </c>
      <c r="J116">
        <f>J115+$D$8*F116+K116-MAX(0,0.02*G116-I115-$D$7*F116-Q116)</f>
        <v/>
      </c>
      <c r="K116">
        <f>($D$9/12)*J115</f>
        <v/>
      </c>
      <c r="L116">
        <f>IF(G116=0,0,J116/(G116*$D$12))</f>
        <v/>
      </c>
      <c r="M116">
        <f>MIN(0.06,MAX(0.01,IF(G116=0,0,I116/G116)))</f>
        <v/>
      </c>
      <c r="N116">
        <f>INDEX($G$6:$G$30,MIN(INT((A116-1)/12)+1,25))</f>
        <v/>
      </c>
      <c r="O116">
        <f>G116*$D$12</f>
        <v/>
      </c>
      <c r="P116">
        <f>M116*G116</f>
        <v/>
      </c>
      <c r="Q116">
        <f>($D$16/12)*I115</f>
        <v/>
      </c>
    </row>
    <row r="117">
      <c r="A117" t="n">
        <v>85</v>
      </c>
      <c r="B117">
        <f>CEILING(0.0101*G116/$D$5,1)</f>
        <v/>
      </c>
      <c r="C117">
        <f>MAX(0,MIN(MAX(0,FLOOR($D$15*D116*MAX(0,1-D116/(($D$10+SUM($N$33:N116))/$D$5)),1)),IF(A117&gt;=$D$14,IF(AND(D116&gt;0,F116&gt;0),INT(K116*D116/F116),0),1000000000),MIN(IF($D$11&gt;G116,INT(($D$11-G116)/$D$5),0)-D116,MAX(B117,INT(($D$10+SUM($N$33:N116))/$D$5)-D116))))</f>
        <v/>
      </c>
      <c r="D117">
        <f>D116+C117</f>
        <v/>
      </c>
      <c r="E117">
        <f>$D$5</f>
        <v/>
      </c>
      <c r="F117">
        <f>IF(G116&gt;=$D$11,0,MIN(D117*E117,$D$11-G116))</f>
        <v/>
      </c>
      <c r="G117">
        <f>G116+F117</f>
        <v/>
      </c>
      <c r="H117">
        <f>H116+$D$6*F117</f>
        <v/>
      </c>
      <c r="I117">
        <f>MAX(I116+$D$7*F117+Q117-0.01*G117,0.01*G117)</f>
        <v/>
      </c>
      <c r="J117">
        <f>J116+$D$8*F117+K117-MAX(0,0.02*G117-I116-$D$7*F117-Q117)</f>
        <v/>
      </c>
      <c r="K117">
        <f>($D$9/12)*J116</f>
        <v/>
      </c>
      <c r="L117">
        <f>IF(G117=0,0,J117/(G117*$D$12))</f>
        <v/>
      </c>
      <c r="M117">
        <f>MIN(0.06,MAX(0.01,IF(G117=0,0,I117/G117)))</f>
        <v/>
      </c>
      <c r="N117">
        <f>INDEX($G$6:$G$30,MIN(INT((A117-1)/12)+1,25))</f>
        <v/>
      </c>
      <c r="O117">
        <f>G117*$D$12</f>
        <v/>
      </c>
      <c r="P117">
        <f>M117*G117</f>
        <v/>
      </c>
      <c r="Q117">
        <f>($D$16/12)*I116</f>
        <v/>
      </c>
    </row>
    <row r="118">
      <c r="A118" t="n">
        <v>86</v>
      </c>
      <c r="B118">
        <f>CEILING(0.0101*G117/$D$5,1)</f>
        <v/>
      </c>
      <c r="C118">
        <f>MAX(0,MIN(MAX(0,FLOOR($D$15*D117*MAX(0,1-D117/(($D$10+SUM($N$33:N117))/$D$5)),1)),IF(A118&gt;=$D$14,IF(AND(D117&gt;0,F117&gt;0),INT(K117*D117/F117),0),1000000000),MIN(IF($D$11&gt;G117,INT(($D$11-G117)/$D$5),0)-D117,MAX(B118,INT(($D$10+SUM($N$33:N117))/$D$5)-D117))))</f>
        <v/>
      </c>
      <c r="D118">
        <f>D117+C118</f>
        <v/>
      </c>
      <c r="E118">
        <f>$D$5</f>
        <v/>
      </c>
      <c r="F118">
        <f>IF(G117&gt;=$D$11,0,MIN(D118*E118,$D$11-G117))</f>
        <v/>
      </c>
      <c r="G118">
        <f>G117+F118</f>
        <v/>
      </c>
      <c r="H118">
        <f>H117+$D$6*F118</f>
        <v/>
      </c>
      <c r="I118">
        <f>MAX(I117+$D$7*F118+Q118-0.01*G118,0.01*G118)</f>
        <v/>
      </c>
      <c r="J118">
        <f>J117+$D$8*F118+K118-MAX(0,0.02*G118-I117-$D$7*F118-Q118)</f>
        <v/>
      </c>
      <c r="K118">
        <f>($D$9/12)*J117</f>
        <v/>
      </c>
      <c r="L118">
        <f>IF(G118=0,0,J118/(G118*$D$12))</f>
        <v/>
      </c>
      <c r="M118">
        <f>MIN(0.06,MAX(0.01,IF(G118=0,0,I118/G118)))</f>
        <v/>
      </c>
      <c r="N118">
        <f>INDEX($G$6:$G$30,MIN(INT((A118-1)/12)+1,25))</f>
        <v/>
      </c>
      <c r="O118">
        <f>G118*$D$12</f>
        <v/>
      </c>
      <c r="P118">
        <f>M118*G118</f>
        <v/>
      </c>
      <c r="Q118">
        <f>($D$16/12)*I117</f>
        <v/>
      </c>
    </row>
    <row r="119">
      <c r="A119" t="n">
        <v>87</v>
      </c>
      <c r="B119">
        <f>CEILING(0.0101*G118/$D$5,1)</f>
        <v/>
      </c>
      <c r="C119">
        <f>MAX(0,MIN(MAX(0,FLOOR($D$15*D118*MAX(0,1-D118/(($D$10+SUM($N$33:N118))/$D$5)),1)),IF(A119&gt;=$D$14,IF(AND(D118&gt;0,F118&gt;0),INT(K118*D118/F118),0),1000000000),MIN(IF($D$11&gt;G118,INT(($D$11-G118)/$D$5),0)-D118,MAX(B119,INT(($D$10+SUM($N$33:N118))/$D$5)-D118))))</f>
        <v/>
      </c>
      <c r="D119">
        <f>D118+C119</f>
        <v/>
      </c>
      <c r="E119">
        <f>$D$5</f>
        <v/>
      </c>
      <c r="F119">
        <f>IF(G118&gt;=$D$11,0,MIN(D119*E119,$D$11-G118))</f>
        <v/>
      </c>
      <c r="G119">
        <f>G118+F119</f>
        <v/>
      </c>
      <c r="H119">
        <f>H118+$D$6*F119</f>
        <v/>
      </c>
      <c r="I119">
        <f>MAX(I118+$D$7*F119+Q119-0.01*G119,0.01*G119)</f>
        <v/>
      </c>
      <c r="J119">
        <f>J118+$D$8*F119+K119-MAX(0,0.02*G119-I118-$D$7*F119-Q119)</f>
        <v/>
      </c>
      <c r="K119">
        <f>($D$9/12)*J118</f>
        <v/>
      </c>
      <c r="L119">
        <f>IF(G119=0,0,J119/(G119*$D$12))</f>
        <v/>
      </c>
      <c r="M119">
        <f>MIN(0.06,MAX(0.01,IF(G119=0,0,I119/G119)))</f>
        <v/>
      </c>
      <c r="N119">
        <f>INDEX($G$6:$G$30,MIN(INT((A119-1)/12)+1,25))</f>
        <v/>
      </c>
      <c r="O119">
        <f>G119*$D$12</f>
        <v/>
      </c>
      <c r="P119">
        <f>M119*G119</f>
        <v/>
      </c>
      <c r="Q119">
        <f>($D$16/12)*I118</f>
        <v/>
      </c>
    </row>
    <row r="120">
      <c r="A120" t="n">
        <v>88</v>
      </c>
      <c r="B120">
        <f>CEILING(0.0101*G119/$D$5,1)</f>
        <v/>
      </c>
      <c r="C120">
        <f>MAX(0,MIN(MAX(0,FLOOR($D$15*D119*MAX(0,1-D119/(($D$10+SUM($N$33:N119))/$D$5)),1)),IF(A120&gt;=$D$14,IF(AND(D119&gt;0,F119&gt;0),INT(K119*D119/F119),0),1000000000),MIN(IF($D$11&gt;G119,INT(($D$11-G119)/$D$5),0)-D119,MAX(B120,INT(($D$10+SUM($N$33:N119))/$D$5)-D119))))</f>
        <v/>
      </c>
      <c r="D120">
        <f>D119+C120</f>
        <v/>
      </c>
      <c r="E120">
        <f>$D$5</f>
        <v/>
      </c>
      <c r="F120">
        <f>IF(G119&gt;=$D$11,0,MIN(D120*E120,$D$11-G119))</f>
        <v/>
      </c>
      <c r="G120">
        <f>G119+F120</f>
        <v/>
      </c>
      <c r="H120">
        <f>H119+$D$6*F120</f>
        <v/>
      </c>
      <c r="I120">
        <f>MAX(I119+$D$7*F120+Q120-0.01*G120,0.01*G120)</f>
        <v/>
      </c>
      <c r="J120">
        <f>J119+$D$8*F120+K120-MAX(0,0.02*G120-I119-$D$7*F120-Q120)</f>
        <v/>
      </c>
      <c r="K120">
        <f>($D$9/12)*J119</f>
        <v/>
      </c>
      <c r="L120">
        <f>IF(G120=0,0,J120/(G120*$D$12))</f>
        <v/>
      </c>
      <c r="M120">
        <f>MIN(0.06,MAX(0.01,IF(G120=0,0,I120/G120)))</f>
        <v/>
      </c>
      <c r="N120">
        <f>INDEX($G$6:$G$30,MIN(INT((A120-1)/12)+1,25))</f>
        <v/>
      </c>
      <c r="O120">
        <f>G120*$D$12</f>
        <v/>
      </c>
      <c r="P120">
        <f>M120*G120</f>
        <v/>
      </c>
      <c r="Q120">
        <f>($D$16/12)*I119</f>
        <v/>
      </c>
    </row>
    <row r="121">
      <c r="A121" t="n">
        <v>89</v>
      </c>
      <c r="B121">
        <f>CEILING(0.0101*G120/$D$5,1)</f>
        <v/>
      </c>
      <c r="C121">
        <f>MAX(0,MIN(MAX(0,FLOOR($D$15*D120*MAX(0,1-D120/(($D$10+SUM($N$33:N120))/$D$5)),1)),IF(A121&gt;=$D$14,IF(AND(D120&gt;0,F120&gt;0),INT(K120*D120/F120),0),1000000000),MIN(IF($D$11&gt;G120,INT(($D$11-G120)/$D$5),0)-D120,MAX(B121,INT(($D$10+SUM($N$33:N120))/$D$5)-D120))))</f>
        <v/>
      </c>
      <c r="D121">
        <f>D120+C121</f>
        <v/>
      </c>
      <c r="E121">
        <f>$D$5</f>
        <v/>
      </c>
      <c r="F121">
        <f>IF(G120&gt;=$D$11,0,MIN(D121*E121,$D$11-G120))</f>
        <v/>
      </c>
      <c r="G121">
        <f>G120+F121</f>
        <v/>
      </c>
      <c r="H121">
        <f>H120+$D$6*F121</f>
        <v/>
      </c>
      <c r="I121">
        <f>MAX(I120+$D$7*F121+Q121-0.01*G121,0.01*G121)</f>
        <v/>
      </c>
      <c r="J121">
        <f>J120+$D$8*F121+K121-MAX(0,0.02*G121-I120-$D$7*F121-Q121)</f>
        <v/>
      </c>
      <c r="K121">
        <f>($D$9/12)*J120</f>
        <v/>
      </c>
      <c r="L121">
        <f>IF(G121=0,0,J121/(G121*$D$12))</f>
        <v/>
      </c>
      <c r="M121">
        <f>MIN(0.06,MAX(0.01,IF(G121=0,0,I121/G121)))</f>
        <v/>
      </c>
      <c r="N121">
        <f>INDEX($G$6:$G$30,MIN(INT((A121-1)/12)+1,25))</f>
        <v/>
      </c>
      <c r="O121">
        <f>G121*$D$12</f>
        <v/>
      </c>
      <c r="P121">
        <f>M121*G121</f>
        <v/>
      </c>
      <c r="Q121">
        <f>($D$16/12)*I120</f>
        <v/>
      </c>
    </row>
    <row r="122">
      <c r="A122" t="n">
        <v>90</v>
      </c>
      <c r="B122">
        <f>CEILING(0.0101*G121/$D$5,1)</f>
        <v/>
      </c>
      <c r="C122">
        <f>MAX(0,MIN(MAX(0,FLOOR($D$15*D121*MAX(0,1-D121/(($D$10+SUM($N$33:N121))/$D$5)),1)),IF(A122&gt;=$D$14,IF(AND(D121&gt;0,F121&gt;0),INT(K121*D121/F121),0),1000000000),MIN(IF($D$11&gt;G121,INT(($D$11-G121)/$D$5),0)-D121,MAX(B122,INT(($D$10+SUM($N$33:N121))/$D$5)-D121))))</f>
        <v/>
      </c>
      <c r="D122">
        <f>D121+C122</f>
        <v/>
      </c>
      <c r="E122">
        <f>$D$5</f>
        <v/>
      </c>
      <c r="F122">
        <f>IF(G121&gt;=$D$11,0,MIN(D122*E122,$D$11-G121))</f>
        <v/>
      </c>
      <c r="G122">
        <f>G121+F122</f>
        <v/>
      </c>
      <c r="H122">
        <f>H121+$D$6*F122</f>
        <v/>
      </c>
      <c r="I122">
        <f>MAX(I121+$D$7*F122+Q122-0.01*G122,0.01*G122)</f>
        <v/>
      </c>
      <c r="J122">
        <f>J121+$D$8*F122+K122-MAX(0,0.02*G122-I121-$D$7*F122-Q122)</f>
        <v/>
      </c>
      <c r="K122">
        <f>($D$9/12)*J121</f>
        <v/>
      </c>
      <c r="L122">
        <f>IF(G122=0,0,J122/(G122*$D$12))</f>
        <v/>
      </c>
      <c r="M122">
        <f>MIN(0.06,MAX(0.01,IF(G122=0,0,I122/G122)))</f>
        <v/>
      </c>
      <c r="N122">
        <f>INDEX($G$6:$G$30,MIN(INT((A122-1)/12)+1,25))</f>
        <v/>
      </c>
      <c r="O122">
        <f>G122*$D$12</f>
        <v/>
      </c>
      <c r="P122">
        <f>M122*G122</f>
        <v/>
      </c>
      <c r="Q122">
        <f>($D$16/12)*I121</f>
        <v/>
      </c>
    </row>
    <row r="123">
      <c r="A123" t="n">
        <v>91</v>
      </c>
      <c r="B123">
        <f>CEILING(0.0101*G122/$D$5,1)</f>
        <v/>
      </c>
      <c r="C123">
        <f>MAX(0,MIN(MAX(0,FLOOR($D$15*D122*MAX(0,1-D122/(($D$10+SUM($N$33:N122))/$D$5)),1)),IF(A123&gt;=$D$14,IF(AND(D122&gt;0,F122&gt;0),INT(K122*D122/F122),0),1000000000),MIN(IF($D$11&gt;G122,INT(($D$11-G122)/$D$5),0)-D122,MAX(B123,INT(($D$10+SUM($N$33:N122))/$D$5)-D122))))</f>
        <v/>
      </c>
      <c r="D123">
        <f>D122+C123</f>
        <v/>
      </c>
      <c r="E123">
        <f>$D$5</f>
        <v/>
      </c>
      <c r="F123">
        <f>IF(G122&gt;=$D$11,0,MIN(D123*E123,$D$11-G122))</f>
        <v/>
      </c>
      <c r="G123">
        <f>G122+F123</f>
        <v/>
      </c>
      <c r="H123">
        <f>H122+$D$6*F123</f>
        <v/>
      </c>
      <c r="I123">
        <f>MAX(I122+$D$7*F123+Q123-0.01*G123,0.01*G123)</f>
        <v/>
      </c>
      <c r="J123">
        <f>J122+$D$8*F123+K123-MAX(0,0.02*G123-I122-$D$7*F123-Q123)</f>
        <v/>
      </c>
      <c r="K123">
        <f>($D$9/12)*J122</f>
        <v/>
      </c>
      <c r="L123">
        <f>IF(G123=0,0,J123/(G123*$D$12))</f>
        <v/>
      </c>
      <c r="M123">
        <f>MIN(0.06,MAX(0.01,IF(G123=0,0,I123/G123)))</f>
        <v/>
      </c>
      <c r="N123">
        <f>INDEX($G$6:$G$30,MIN(INT((A123-1)/12)+1,25))</f>
        <v/>
      </c>
      <c r="O123">
        <f>G123*$D$12</f>
        <v/>
      </c>
      <c r="P123">
        <f>M123*G123</f>
        <v/>
      </c>
      <c r="Q123">
        <f>($D$16/12)*I122</f>
        <v/>
      </c>
    </row>
    <row r="124">
      <c r="A124" t="n">
        <v>92</v>
      </c>
      <c r="B124">
        <f>CEILING(0.0101*G123/$D$5,1)</f>
        <v/>
      </c>
      <c r="C124">
        <f>MAX(0,MIN(MAX(0,FLOOR($D$15*D123*MAX(0,1-D123/(($D$10+SUM($N$33:N123))/$D$5)),1)),IF(A124&gt;=$D$14,IF(AND(D123&gt;0,F123&gt;0),INT(K123*D123/F123),0),1000000000),MIN(IF($D$11&gt;G123,INT(($D$11-G123)/$D$5),0)-D123,MAX(B124,INT(($D$10+SUM($N$33:N123))/$D$5)-D123))))</f>
        <v/>
      </c>
      <c r="D124">
        <f>D123+C124</f>
        <v/>
      </c>
      <c r="E124">
        <f>$D$5</f>
        <v/>
      </c>
      <c r="F124">
        <f>IF(G123&gt;=$D$11,0,MIN(D124*E124,$D$11-G123))</f>
        <v/>
      </c>
      <c r="G124">
        <f>G123+F124</f>
        <v/>
      </c>
      <c r="H124">
        <f>H123+$D$6*F124</f>
        <v/>
      </c>
      <c r="I124">
        <f>MAX(I123+$D$7*F124+Q124-0.01*G124,0.01*G124)</f>
        <v/>
      </c>
      <c r="J124">
        <f>J123+$D$8*F124+K124-MAX(0,0.02*G124-I123-$D$7*F124-Q124)</f>
        <v/>
      </c>
      <c r="K124">
        <f>($D$9/12)*J123</f>
        <v/>
      </c>
      <c r="L124">
        <f>IF(G124=0,0,J124/(G124*$D$12))</f>
        <v/>
      </c>
      <c r="M124">
        <f>MIN(0.06,MAX(0.01,IF(G124=0,0,I124/G124)))</f>
        <v/>
      </c>
      <c r="N124">
        <f>INDEX($G$6:$G$30,MIN(INT((A124-1)/12)+1,25))</f>
        <v/>
      </c>
      <c r="O124">
        <f>G124*$D$12</f>
        <v/>
      </c>
      <c r="P124">
        <f>M124*G124</f>
        <v/>
      </c>
      <c r="Q124">
        <f>($D$16/12)*I123</f>
        <v/>
      </c>
    </row>
    <row r="125">
      <c r="A125" t="n">
        <v>93</v>
      </c>
      <c r="B125">
        <f>CEILING(0.0101*G124/$D$5,1)</f>
        <v/>
      </c>
      <c r="C125">
        <f>MAX(0,MIN(MAX(0,FLOOR($D$15*D124*MAX(0,1-D124/(($D$10+SUM($N$33:N124))/$D$5)),1)),IF(A125&gt;=$D$14,IF(AND(D124&gt;0,F124&gt;0),INT(K124*D124/F124),0),1000000000),MIN(IF($D$11&gt;G124,INT(($D$11-G124)/$D$5),0)-D124,MAX(B125,INT(($D$10+SUM($N$33:N124))/$D$5)-D124))))</f>
        <v/>
      </c>
      <c r="D125">
        <f>D124+C125</f>
        <v/>
      </c>
      <c r="E125">
        <f>$D$5</f>
        <v/>
      </c>
      <c r="F125">
        <f>IF(G124&gt;=$D$11,0,MIN(D125*E125,$D$11-G124))</f>
        <v/>
      </c>
      <c r="G125">
        <f>G124+F125</f>
        <v/>
      </c>
      <c r="H125">
        <f>H124+$D$6*F125</f>
        <v/>
      </c>
      <c r="I125">
        <f>MAX(I124+$D$7*F125+Q125-0.01*G125,0.01*G125)</f>
        <v/>
      </c>
      <c r="J125">
        <f>J124+$D$8*F125+K125-MAX(0,0.02*G125-I124-$D$7*F125-Q125)</f>
        <v/>
      </c>
      <c r="K125">
        <f>($D$9/12)*J124</f>
        <v/>
      </c>
      <c r="L125">
        <f>IF(G125=0,0,J125/(G125*$D$12))</f>
        <v/>
      </c>
      <c r="M125">
        <f>MIN(0.06,MAX(0.01,IF(G125=0,0,I125/G125)))</f>
        <v/>
      </c>
      <c r="N125">
        <f>INDEX($G$6:$G$30,MIN(INT((A125-1)/12)+1,25))</f>
        <v/>
      </c>
      <c r="O125">
        <f>G125*$D$12</f>
        <v/>
      </c>
      <c r="P125">
        <f>M125*G125</f>
        <v/>
      </c>
      <c r="Q125">
        <f>($D$16/12)*I124</f>
        <v/>
      </c>
    </row>
    <row r="126">
      <c r="A126" t="n">
        <v>94</v>
      </c>
      <c r="B126">
        <f>CEILING(0.0101*G125/$D$5,1)</f>
        <v/>
      </c>
      <c r="C126">
        <f>MAX(0,MIN(MAX(0,FLOOR($D$15*D125*MAX(0,1-D125/(($D$10+SUM($N$33:N125))/$D$5)),1)),IF(A126&gt;=$D$14,IF(AND(D125&gt;0,F125&gt;0),INT(K125*D125/F125),0),1000000000),MIN(IF($D$11&gt;G125,INT(($D$11-G125)/$D$5),0)-D125,MAX(B126,INT(($D$10+SUM($N$33:N125))/$D$5)-D125))))</f>
        <v/>
      </c>
      <c r="D126">
        <f>D125+C126</f>
        <v/>
      </c>
      <c r="E126">
        <f>$D$5</f>
        <v/>
      </c>
      <c r="F126">
        <f>IF(G125&gt;=$D$11,0,MIN(D126*E126,$D$11-G125))</f>
        <v/>
      </c>
      <c r="G126">
        <f>G125+F126</f>
        <v/>
      </c>
      <c r="H126">
        <f>H125+$D$6*F126</f>
        <v/>
      </c>
      <c r="I126">
        <f>MAX(I125+$D$7*F126+Q126-0.01*G126,0.01*G126)</f>
        <v/>
      </c>
      <c r="J126">
        <f>J125+$D$8*F126+K126-MAX(0,0.02*G126-I125-$D$7*F126-Q126)</f>
        <v/>
      </c>
      <c r="K126">
        <f>($D$9/12)*J125</f>
        <v/>
      </c>
      <c r="L126">
        <f>IF(G126=0,0,J126/(G126*$D$12))</f>
        <v/>
      </c>
      <c r="M126">
        <f>MIN(0.06,MAX(0.01,IF(G126=0,0,I126/G126)))</f>
        <v/>
      </c>
      <c r="N126">
        <f>INDEX($G$6:$G$30,MIN(INT((A126-1)/12)+1,25))</f>
        <v/>
      </c>
      <c r="O126">
        <f>G126*$D$12</f>
        <v/>
      </c>
      <c r="P126">
        <f>M126*G126</f>
        <v/>
      </c>
      <c r="Q126">
        <f>($D$16/12)*I125</f>
        <v/>
      </c>
    </row>
    <row r="127">
      <c r="A127" t="n">
        <v>95</v>
      </c>
      <c r="B127">
        <f>CEILING(0.0101*G126/$D$5,1)</f>
        <v/>
      </c>
      <c r="C127">
        <f>MAX(0,MIN(MAX(0,FLOOR($D$15*D126*MAX(0,1-D126/(($D$10+SUM($N$33:N126))/$D$5)),1)),IF(A127&gt;=$D$14,IF(AND(D126&gt;0,F126&gt;0),INT(K126*D126/F126),0),1000000000),MIN(IF($D$11&gt;G126,INT(($D$11-G126)/$D$5),0)-D126,MAX(B127,INT(($D$10+SUM($N$33:N126))/$D$5)-D126))))</f>
        <v/>
      </c>
      <c r="D127">
        <f>D126+C127</f>
        <v/>
      </c>
      <c r="E127">
        <f>$D$5</f>
        <v/>
      </c>
      <c r="F127">
        <f>IF(G126&gt;=$D$11,0,MIN(D127*E127,$D$11-G126))</f>
        <v/>
      </c>
      <c r="G127">
        <f>G126+F127</f>
        <v/>
      </c>
      <c r="H127">
        <f>H126+$D$6*F127</f>
        <v/>
      </c>
      <c r="I127">
        <f>MAX(I126+$D$7*F127+Q127-0.01*G127,0.01*G127)</f>
        <v/>
      </c>
      <c r="J127">
        <f>J126+$D$8*F127+K127-MAX(0,0.02*G127-I126-$D$7*F127-Q127)</f>
        <v/>
      </c>
      <c r="K127">
        <f>($D$9/12)*J126</f>
        <v/>
      </c>
      <c r="L127">
        <f>IF(G127=0,0,J127/(G127*$D$12))</f>
        <v/>
      </c>
      <c r="M127">
        <f>MIN(0.06,MAX(0.01,IF(G127=0,0,I127/G127)))</f>
        <v/>
      </c>
      <c r="N127">
        <f>INDEX($G$6:$G$30,MIN(INT((A127-1)/12)+1,25))</f>
        <v/>
      </c>
      <c r="O127">
        <f>G127*$D$12</f>
        <v/>
      </c>
      <c r="P127">
        <f>M127*G127</f>
        <v/>
      </c>
      <c r="Q127">
        <f>($D$16/12)*I126</f>
        <v/>
      </c>
    </row>
    <row r="128">
      <c r="A128" t="n">
        <v>96</v>
      </c>
      <c r="B128">
        <f>CEILING(0.0101*G127/$D$5,1)</f>
        <v/>
      </c>
      <c r="C128">
        <f>MAX(0,MIN(MAX(0,FLOOR($D$15*D127*MAX(0,1-D127/(($D$10+SUM($N$33:N127))/$D$5)),1)),IF(A128&gt;=$D$14,IF(AND(D127&gt;0,F127&gt;0),INT(K127*D127/F127),0),1000000000),MIN(IF($D$11&gt;G127,INT(($D$11-G127)/$D$5),0)-D127,MAX(B128,INT(($D$10+SUM($N$33:N127))/$D$5)-D127))))</f>
        <v/>
      </c>
      <c r="D128">
        <f>D127+C128</f>
        <v/>
      </c>
      <c r="E128">
        <f>$D$5</f>
        <v/>
      </c>
      <c r="F128">
        <f>IF(G127&gt;=$D$11,0,MIN(D128*E128,$D$11-G127))</f>
        <v/>
      </c>
      <c r="G128">
        <f>G127+F128</f>
        <v/>
      </c>
      <c r="H128">
        <f>H127+$D$6*F128</f>
        <v/>
      </c>
      <c r="I128">
        <f>MAX(I127+$D$7*F128+Q128-0.01*G128,0.01*G128)</f>
        <v/>
      </c>
      <c r="J128">
        <f>J127+$D$8*F128+K128-MAX(0,0.02*G128-I127-$D$7*F128-Q128)</f>
        <v/>
      </c>
      <c r="K128">
        <f>($D$9/12)*J127</f>
        <v/>
      </c>
      <c r="L128">
        <f>IF(G128=0,0,J128/(G128*$D$12))</f>
        <v/>
      </c>
      <c r="M128">
        <f>MIN(0.06,MAX(0.01,IF(G128=0,0,I128/G128)))</f>
        <v/>
      </c>
      <c r="N128">
        <f>INDEX($G$6:$G$30,MIN(INT((A128-1)/12)+1,25))</f>
        <v/>
      </c>
      <c r="O128">
        <f>G128*$D$12</f>
        <v/>
      </c>
      <c r="P128">
        <f>M128*G128</f>
        <v/>
      </c>
      <c r="Q128">
        <f>($D$16/12)*I127</f>
        <v/>
      </c>
    </row>
    <row r="129">
      <c r="A129" t="n">
        <v>97</v>
      </c>
      <c r="B129">
        <f>CEILING(0.0101*G128/$D$5,1)</f>
        <v/>
      </c>
      <c r="C129">
        <f>MAX(0,MIN(MAX(0,FLOOR($D$15*D128*MAX(0,1-D128/(($D$10+SUM($N$33:N128))/$D$5)),1)),IF(A129&gt;=$D$14,IF(AND(D128&gt;0,F128&gt;0),INT(K128*D128/F128),0),1000000000),MIN(IF($D$11&gt;G128,INT(($D$11-G128)/$D$5),0)-D128,MAX(B129,INT(($D$10+SUM($N$33:N128))/$D$5)-D128))))</f>
        <v/>
      </c>
      <c r="D129">
        <f>D128+C129</f>
        <v/>
      </c>
      <c r="E129">
        <f>$D$5</f>
        <v/>
      </c>
      <c r="F129">
        <f>IF(G128&gt;=$D$11,0,MIN(D129*E129,$D$11-G128))</f>
        <v/>
      </c>
      <c r="G129">
        <f>G128+F129</f>
        <v/>
      </c>
      <c r="H129">
        <f>H128+$D$6*F129</f>
        <v/>
      </c>
      <c r="I129">
        <f>MAX(I128+$D$7*F129+Q129-0.01*G129,0.01*G129)</f>
        <v/>
      </c>
      <c r="J129">
        <f>J128+$D$8*F129+K129-MAX(0,0.02*G129-I128-$D$7*F129-Q129)</f>
        <v/>
      </c>
      <c r="K129">
        <f>($D$9/12)*J128</f>
        <v/>
      </c>
      <c r="L129">
        <f>IF(G129=0,0,J129/(G129*$D$12))</f>
        <v/>
      </c>
      <c r="M129">
        <f>MIN(0.06,MAX(0.01,IF(G129=0,0,I129/G129)))</f>
        <v/>
      </c>
      <c r="N129">
        <f>INDEX($G$6:$G$30,MIN(INT((A129-1)/12)+1,25))</f>
        <v/>
      </c>
      <c r="O129">
        <f>G129*$D$12</f>
        <v/>
      </c>
      <c r="P129">
        <f>M129*G129</f>
        <v/>
      </c>
      <c r="Q129">
        <f>($D$16/12)*I128</f>
        <v/>
      </c>
    </row>
    <row r="130">
      <c r="A130" t="n">
        <v>98</v>
      </c>
      <c r="B130">
        <f>CEILING(0.0101*G129/$D$5,1)</f>
        <v/>
      </c>
      <c r="C130">
        <f>MAX(0,MIN(MAX(0,FLOOR($D$15*D129*MAX(0,1-D129/(($D$10+SUM($N$33:N129))/$D$5)),1)),IF(A130&gt;=$D$14,IF(AND(D129&gt;0,F129&gt;0),INT(K129*D129/F129),0),1000000000),MIN(IF($D$11&gt;G129,INT(($D$11-G129)/$D$5),0)-D129,MAX(B130,INT(($D$10+SUM($N$33:N129))/$D$5)-D129))))</f>
        <v/>
      </c>
      <c r="D130">
        <f>D129+C130</f>
        <v/>
      </c>
      <c r="E130">
        <f>$D$5</f>
        <v/>
      </c>
      <c r="F130">
        <f>IF(G129&gt;=$D$11,0,MIN(D130*E130,$D$11-G129))</f>
        <v/>
      </c>
      <c r="G130">
        <f>G129+F130</f>
        <v/>
      </c>
      <c r="H130">
        <f>H129+$D$6*F130</f>
        <v/>
      </c>
      <c r="I130">
        <f>MAX(I129+$D$7*F130+Q130-0.01*G130,0.01*G130)</f>
        <v/>
      </c>
      <c r="J130">
        <f>J129+$D$8*F130+K130-MAX(0,0.02*G130-I129-$D$7*F130-Q130)</f>
        <v/>
      </c>
      <c r="K130">
        <f>($D$9/12)*J129</f>
        <v/>
      </c>
      <c r="L130">
        <f>IF(G130=0,0,J130/(G130*$D$12))</f>
        <v/>
      </c>
      <c r="M130">
        <f>MIN(0.06,MAX(0.01,IF(G130=0,0,I130/G130)))</f>
        <v/>
      </c>
      <c r="N130">
        <f>INDEX($G$6:$G$30,MIN(INT((A130-1)/12)+1,25))</f>
        <v/>
      </c>
      <c r="O130">
        <f>G130*$D$12</f>
        <v/>
      </c>
      <c r="P130">
        <f>M130*G130</f>
        <v/>
      </c>
      <c r="Q130">
        <f>($D$16/12)*I129</f>
        <v/>
      </c>
    </row>
    <row r="131">
      <c r="A131" t="n">
        <v>99</v>
      </c>
      <c r="B131">
        <f>CEILING(0.0101*G130/$D$5,1)</f>
        <v/>
      </c>
      <c r="C131">
        <f>MAX(0,MIN(MAX(0,FLOOR($D$15*D130*MAX(0,1-D130/(($D$10+SUM($N$33:N130))/$D$5)),1)),IF(A131&gt;=$D$14,IF(AND(D130&gt;0,F130&gt;0),INT(K130*D130/F130),0),1000000000),MIN(IF($D$11&gt;G130,INT(($D$11-G130)/$D$5),0)-D130,MAX(B131,INT(($D$10+SUM($N$33:N130))/$D$5)-D130))))</f>
        <v/>
      </c>
      <c r="D131">
        <f>D130+C131</f>
        <v/>
      </c>
      <c r="E131">
        <f>$D$5</f>
        <v/>
      </c>
      <c r="F131">
        <f>IF(G130&gt;=$D$11,0,MIN(D131*E131,$D$11-G130))</f>
        <v/>
      </c>
      <c r="G131">
        <f>G130+F131</f>
        <v/>
      </c>
      <c r="H131">
        <f>H130+$D$6*F131</f>
        <v/>
      </c>
      <c r="I131">
        <f>MAX(I130+$D$7*F131+Q131-0.01*G131,0.01*G131)</f>
        <v/>
      </c>
      <c r="J131">
        <f>J130+$D$8*F131+K131-MAX(0,0.02*G131-I130-$D$7*F131-Q131)</f>
        <v/>
      </c>
      <c r="K131">
        <f>($D$9/12)*J130</f>
        <v/>
      </c>
      <c r="L131">
        <f>IF(G131=0,0,J131/(G131*$D$12))</f>
        <v/>
      </c>
      <c r="M131">
        <f>MIN(0.06,MAX(0.01,IF(G131=0,0,I131/G131)))</f>
        <v/>
      </c>
      <c r="N131">
        <f>INDEX($G$6:$G$30,MIN(INT((A131-1)/12)+1,25))</f>
        <v/>
      </c>
      <c r="O131">
        <f>G131*$D$12</f>
        <v/>
      </c>
      <c r="P131">
        <f>M131*G131</f>
        <v/>
      </c>
      <c r="Q131">
        <f>($D$16/12)*I130</f>
        <v/>
      </c>
    </row>
    <row r="132">
      <c r="A132" t="n">
        <v>100</v>
      </c>
      <c r="B132">
        <f>CEILING(0.0101*G131/$D$5,1)</f>
        <v/>
      </c>
      <c r="C132">
        <f>MAX(0,MIN(MAX(0,FLOOR($D$15*D131*MAX(0,1-D131/(($D$10+SUM($N$33:N131))/$D$5)),1)),IF(A132&gt;=$D$14,IF(AND(D131&gt;0,F131&gt;0),INT(K131*D131/F131),0),1000000000),MIN(IF($D$11&gt;G131,INT(($D$11-G131)/$D$5),0)-D131,MAX(B132,INT(($D$10+SUM($N$33:N131))/$D$5)-D131))))</f>
        <v/>
      </c>
      <c r="D132">
        <f>D131+C132</f>
        <v/>
      </c>
      <c r="E132">
        <f>$D$5</f>
        <v/>
      </c>
      <c r="F132">
        <f>IF(G131&gt;=$D$11,0,MIN(D132*E132,$D$11-G131))</f>
        <v/>
      </c>
      <c r="G132">
        <f>G131+F132</f>
        <v/>
      </c>
      <c r="H132">
        <f>H131+$D$6*F132</f>
        <v/>
      </c>
      <c r="I132">
        <f>MAX(I131+$D$7*F132+Q132-0.01*G132,0.01*G132)</f>
        <v/>
      </c>
      <c r="J132">
        <f>J131+$D$8*F132+K132-MAX(0,0.02*G132-I131-$D$7*F132-Q132)</f>
        <v/>
      </c>
      <c r="K132">
        <f>($D$9/12)*J131</f>
        <v/>
      </c>
      <c r="L132">
        <f>IF(G132=0,0,J132/(G132*$D$12))</f>
        <v/>
      </c>
      <c r="M132">
        <f>MIN(0.06,MAX(0.01,IF(G132=0,0,I132/G132)))</f>
        <v/>
      </c>
      <c r="N132">
        <f>INDEX($G$6:$G$30,MIN(INT((A132-1)/12)+1,25))</f>
        <v/>
      </c>
      <c r="O132">
        <f>G132*$D$12</f>
        <v/>
      </c>
      <c r="P132">
        <f>M132*G132</f>
        <v/>
      </c>
      <c r="Q132">
        <f>($D$16/12)*I131</f>
        <v/>
      </c>
    </row>
    <row r="133">
      <c r="A133" t="n">
        <v>101</v>
      </c>
      <c r="B133">
        <f>CEILING(0.0101*G132/$D$5,1)</f>
        <v/>
      </c>
      <c r="C133">
        <f>MAX(0,MIN(MAX(0,FLOOR($D$15*D132*MAX(0,1-D132/(($D$10+SUM($N$33:N132))/$D$5)),1)),IF(A133&gt;=$D$14,IF(AND(D132&gt;0,F132&gt;0),INT(K132*D132/F132),0),1000000000),MIN(IF($D$11&gt;G132,INT(($D$11-G132)/$D$5),0)-D132,MAX(B133,INT(($D$10+SUM($N$33:N132))/$D$5)-D132))))</f>
        <v/>
      </c>
      <c r="D133">
        <f>D132+C133</f>
        <v/>
      </c>
      <c r="E133">
        <f>$D$5</f>
        <v/>
      </c>
      <c r="F133">
        <f>IF(G132&gt;=$D$11,0,MIN(D133*E133,$D$11-G132))</f>
        <v/>
      </c>
      <c r="G133">
        <f>G132+F133</f>
        <v/>
      </c>
      <c r="H133">
        <f>H132+$D$6*F133</f>
        <v/>
      </c>
      <c r="I133">
        <f>MAX(I132+$D$7*F133+Q133-0.01*G133,0.01*G133)</f>
        <v/>
      </c>
      <c r="J133">
        <f>J132+$D$8*F133+K133-MAX(0,0.02*G133-I132-$D$7*F133-Q133)</f>
        <v/>
      </c>
      <c r="K133">
        <f>($D$9/12)*J132</f>
        <v/>
      </c>
      <c r="L133">
        <f>IF(G133=0,0,J133/(G133*$D$12))</f>
        <v/>
      </c>
      <c r="M133">
        <f>MIN(0.06,MAX(0.01,IF(G133=0,0,I133/G133)))</f>
        <v/>
      </c>
      <c r="N133">
        <f>INDEX($G$6:$G$30,MIN(INT((A133-1)/12)+1,25))</f>
        <v/>
      </c>
      <c r="O133">
        <f>G133*$D$12</f>
        <v/>
      </c>
      <c r="P133">
        <f>M133*G133</f>
        <v/>
      </c>
      <c r="Q133">
        <f>($D$16/12)*I132</f>
        <v/>
      </c>
    </row>
    <row r="134">
      <c r="A134" t="n">
        <v>102</v>
      </c>
      <c r="B134">
        <f>CEILING(0.0101*G133/$D$5,1)</f>
        <v/>
      </c>
      <c r="C134">
        <f>MAX(0,MIN(MAX(0,FLOOR($D$15*D133*MAX(0,1-D133/(($D$10+SUM($N$33:N133))/$D$5)),1)),IF(A134&gt;=$D$14,IF(AND(D133&gt;0,F133&gt;0),INT(K133*D133/F133),0),1000000000),MIN(IF($D$11&gt;G133,INT(($D$11-G133)/$D$5),0)-D133,MAX(B134,INT(($D$10+SUM($N$33:N133))/$D$5)-D133))))</f>
        <v/>
      </c>
      <c r="D134">
        <f>D133+C134</f>
        <v/>
      </c>
      <c r="E134">
        <f>$D$5</f>
        <v/>
      </c>
      <c r="F134">
        <f>IF(G133&gt;=$D$11,0,MIN(D134*E134,$D$11-G133))</f>
        <v/>
      </c>
      <c r="G134">
        <f>G133+F134</f>
        <v/>
      </c>
      <c r="H134">
        <f>H133+$D$6*F134</f>
        <v/>
      </c>
      <c r="I134">
        <f>MAX(I133+$D$7*F134+Q134-0.01*G134,0.01*G134)</f>
        <v/>
      </c>
      <c r="J134">
        <f>J133+$D$8*F134+K134-MAX(0,0.02*G134-I133-$D$7*F134-Q134)</f>
        <v/>
      </c>
      <c r="K134">
        <f>($D$9/12)*J133</f>
        <v/>
      </c>
      <c r="L134">
        <f>IF(G134=0,0,J134/(G134*$D$12))</f>
        <v/>
      </c>
      <c r="M134">
        <f>MIN(0.06,MAX(0.01,IF(G134=0,0,I134/G134)))</f>
        <v/>
      </c>
      <c r="N134">
        <f>INDEX($G$6:$G$30,MIN(INT((A134-1)/12)+1,25))</f>
        <v/>
      </c>
      <c r="O134">
        <f>G134*$D$12</f>
        <v/>
      </c>
      <c r="P134">
        <f>M134*G134</f>
        <v/>
      </c>
      <c r="Q134">
        <f>($D$16/12)*I133</f>
        <v/>
      </c>
    </row>
    <row r="135">
      <c r="A135" t="n">
        <v>103</v>
      </c>
      <c r="B135">
        <f>CEILING(0.0101*G134/$D$5,1)</f>
        <v/>
      </c>
      <c r="C135">
        <f>MAX(0,MIN(MAX(0,FLOOR($D$15*D134*MAX(0,1-D134/(($D$10+SUM($N$33:N134))/$D$5)),1)),IF(A135&gt;=$D$14,IF(AND(D134&gt;0,F134&gt;0),INT(K134*D134/F134),0),1000000000),MIN(IF($D$11&gt;G134,INT(($D$11-G134)/$D$5),0)-D134,MAX(B135,INT(($D$10+SUM($N$33:N134))/$D$5)-D134))))</f>
        <v/>
      </c>
      <c r="D135">
        <f>D134+C135</f>
        <v/>
      </c>
      <c r="E135">
        <f>$D$5</f>
        <v/>
      </c>
      <c r="F135">
        <f>IF(G134&gt;=$D$11,0,MIN(D135*E135,$D$11-G134))</f>
        <v/>
      </c>
      <c r="G135">
        <f>G134+F135</f>
        <v/>
      </c>
      <c r="H135">
        <f>H134+$D$6*F135</f>
        <v/>
      </c>
      <c r="I135">
        <f>MAX(I134+$D$7*F135+Q135-0.01*G135,0.01*G135)</f>
        <v/>
      </c>
      <c r="J135">
        <f>J134+$D$8*F135+K135-MAX(0,0.02*G135-I134-$D$7*F135-Q135)</f>
        <v/>
      </c>
      <c r="K135">
        <f>($D$9/12)*J134</f>
        <v/>
      </c>
      <c r="L135">
        <f>IF(G135=0,0,J135/(G135*$D$12))</f>
        <v/>
      </c>
      <c r="M135">
        <f>MIN(0.06,MAX(0.01,IF(G135=0,0,I135/G135)))</f>
        <v/>
      </c>
      <c r="N135">
        <f>INDEX($G$6:$G$30,MIN(INT((A135-1)/12)+1,25))</f>
        <v/>
      </c>
      <c r="O135">
        <f>G135*$D$12</f>
        <v/>
      </c>
      <c r="P135">
        <f>M135*G135</f>
        <v/>
      </c>
      <c r="Q135">
        <f>($D$16/12)*I134</f>
        <v/>
      </c>
    </row>
    <row r="136">
      <c r="A136" t="n">
        <v>104</v>
      </c>
      <c r="B136">
        <f>CEILING(0.0101*G135/$D$5,1)</f>
        <v/>
      </c>
      <c r="C136">
        <f>MAX(0,MIN(MAX(0,FLOOR($D$15*D135*MAX(0,1-D135/(($D$10+SUM($N$33:N135))/$D$5)),1)),IF(A136&gt;=$D$14,IF(AND(D135&gt;0,F135&gt;0),INT(K135*D135/F135),0),1000000000),MIN(IF($D$11&gt;G135,INT(($D$11-G135)/$D$5),0)-D135,MAX(B136,INT(($D$10+SUM($N$33:N135))/$D$5)-D135))))</f>
        <v/>
      </c>
      <c r="D136">
        <f>D135+C136</f>
        <v/>
      </c>
      <c r="E136">
        <f>$D$5</f>
        <v/>
      </c>
      <c r="F136">
        <f>IF(G135&gt;=$D$11,0,MIN(D136*E136,$D$11-G135))</f>
        <v/>
      </c>
      <c r="G136">
        <f>G135+F136</f>
        <v/>
      </c>
      <c r="H136">
        <f>H135+$D$6*F136</f>
        <v/>
      </c>
      <c r="I136">
        <f>MAX(I135+$D$7*F136+Q136-0.01*G136,0.01*G136)</f>
        <v/>
      </c>
      <c r="J136">
        <f>J135+$D$8*F136+K136-MAX(0,0.02*G136-I135-$D$7*F136-Q136)</f>
        <v/>
      </c>
      <c r="K136">
        <f>($D$9/12)*J135</f>
        <v/>
      </c>
      <c r="L136">
        <f>IF(G136=0,0,J136/(G136*$D$12))</f>
        <v/>
      </c>
      <c r="M136">
        <f>MIN(0.06,MAX(0.01,IF(G136=0,0,I136/G136)))</f>
        <v/>
      </c>
      <c r="N136">
        <f>INDEX($G$6:$G$30,MIN(INT((A136-1)/12)+1,25))</f>
        <v/>
      </c>
      <c r="O136">
        <f>G136*$D$12</f>
        <v/>
      </c>
      <c r="P136">
        <f>M136*G136</f>
        <v/>
      </c>
      <c r="Q136">
        <f>($D$16/12)*I135</f>
        <v/>
      </c>
    </row>
    <row r="137">
      <c r="A137" t="n">
        <v>105</v>
      </c>
      <c r="B137">
        <f>CEILING(0.0101*G136/$D$5,1)</f>
        <v/>
      </c>
      <c r="C137">
        <f>MAX(0,MIN(MAX(0,FLOOR($D$15*D136*MAX(0,1-D136/(($D$10+SUM($N$33:N136))/$D$5)),1)),IF(A137&gt;=$D$14,IF(AND(D136&gt;0,F136&gt;0),INT(K136*D136/F136),0),1000000000),MIN(IF($D$11&gt;G136,INT(($D$11-G136)/$D$5),0)-D136,MAX(B137,INT(($D$10+SUM($N$33:N136))/$D$5)-D136))))</f>
        <v/>
      </c>
      <c r="D137">
        <f>D136+C137</f>
        <v/>
      </c>
      <c r="E137">
        <f>$D$5</f>
        <v/>
      </c>
      <c r="F137">
        <f>IF(G136&gt;=$D$11,0,MIN(D137*E137,$D$11-G136))</f>
        <v/>
      </c>
      <c r="G137">
        <f>G136+F137</f>
        <v/>
      </c>
      <c r="H137">
        <f>H136+$D$6*F137</f>
        <v/>
      </c>
      <c r="I137">
        <f>MAX(I136+$D$7*F137+Q137-0.01*G137,0.01*G137)</f>
        <v/>
      </c>
      <c r="J137">
        <f>J136+$D$8*F137+K137-MAX(0,0.02*G137-I136-$D$7*F137-Q137)</f>
        <v/>
      </c>
      <c r="K137">
        <f>($D$9/12)*J136</f>
        <v/>
      </c>
      <c r="L137">
        <f>IF(G137=0,0,J137/(G137*$D$12))</f>
        <v/>
      </c>
      <c r="M137">
        <f>MIN(0.06,MAX(0.01,IF(G137=0,0,I137/G137)))</f>
        <v/>
      </c>
      <c r="N137">
        <f>INDEX($G$6:$G$30,MIN(INT((A137-1)/12)+1,25))</f>
        <v/>
      </c>
      <c r="O137">
        <f>G137*$D$12</f>
        <v/>
      </c>
      <c r="P137">
        <f>M137*G137</f>
        <v/>
      </c>
      <c r="Q137">
        <f>($D$16/12)*I136</f>
        <v/>
      </c>
    </row>
    <row r="138">
      <c r="A138" t="n">
        <v>106</v>
      </c>
      <c r="B138">
        <f>CEILING(0.0101*G137/$D$5,1)</f>
        <v/>
      </c>
      <c r="C138">
        <f>MAX(0,MIN(MAX(0,FLOOR($D$15*D137*MAX(0,1-D137/(($D$10+SUM($N$33:N137))/$D$5)),1)),IF(A138&gt;=$D$14,IF(AND(D137&gt;0,F137&gt;0),INT(K137*D137/F137),0),1000000000),MIN(IF($D$11&gt;G137,INT(($D$11-G137)/$D$5),0)-D137,MAX(B138,INT(($D$10+SUM($N$33:N137))/$D$5)-D137))))</f>
        <v/>
      </c>
      <c r="D138">
        <f>D137+C138</f>
        <v/>
      </c>
      <c r="E138">
        <f>$D$5</f>
        <v/>
      </c>
      <c r="F138">
        <f>IF(G137&gt;=$D$11,0,MIN(D138*E138,$D$11-G137))</f>
        <v/>
      </c>
      <c r="G138">
        <f>G137+F138</f>
        <v/>
      </c>
      <c r="H138">
        <f>H137+$D$6*F138</f>
        <v/>
      </c>
      <c r="I138">
        <f>MAX(I137+$D$7*F138+Q138-0.01*G138,0.01*G138)</f>
        <v/>
      </c>
      <c r="J138">
        <f>J137+$D$8*F138+K138-MAX(0,0.02*G138-I137-$D$7*F138-Q138)</f>
        <v/>
      </c>
      <c r="K138">
        <f>($D$9/12)*J137</f>
        <v/>
      </c>
      <c r="L138">
        <f>IF(G138=0,0,J138/(G138*$D$12))</f>
        <v/>
      </c>
      <c r="M138">
        <f>MIN(0.06,MAX(0.01,IF(G138=0,0,I138/G138)))</f>
        <v/>
      </c>
      <c r="N138">
        <f>INDEX($G$6:$G$30,MIN(INT((A138-1)/12)+1,25))</f>
        <v/>
      </c>
      <c r="O138">
        <f>G138*$D$12</f>
        <v/>
      </c>
      <c r="P138">
        <f>M138*G138</f>
        <v/>
      </c>
      <c r="Q138">
        <f>($D$16/12)*I137</f>
        <v/>
      </c>
    </row>
    <row r="139">
      <c r="A139" t="n">
        <v>107</v>
      </c>
      <c r="B139">
        <f>CEILING(0.0101*G138/$D$5,1)</f>
        <v/>
      </c>
      <c r="C139">
        <f>MAX(0,MIN(MAX(0,FLOOR($D$15*D138*MAX(0,1-D138/(($D$10+SUM($N$33:N138))/$D$5)),1)),IF(A139&gt;=$D$14,IF(AND(D138&gt;0,F138&gt;0),INT(K138*D138/F138),0),1000000000),MIN(IF($D$11&gt;G138,INT(($D$11-G138)/$D$5),0)-D138,MAX(B139,INT(($D$10+SUM($N$33:N138))/$D$5)-D138))))</f>
        <v/>
      </c>
      <c r="D139">
        <f>D138+C139</f>
        <v/>
      </c>
      <c r="E139">
        <f>$D$5</f>
        <v/>
      </c>
      <c r="F139">
        <f>IF(G138&gt;=$D$11,0,MIN(D139*E139,$D$11-G138))</f>
        <v/>
      </c>
      <c r="G139">
        <f>G138+F139</f>
        <v/>
      </c>
      <c r="H139">
        <f>H138+$D$6*F139</f>
        <v/>
      </c>
      <c r="I139">
        <f>MAX(I138+$D$7*F139+Q139-0.01*G139,0.01*G139)</f>
        <v/>
      </c>
      <c r="J139">
        <f>J138+$D$8*F139+K139-MAX(0,0.02*G139-I138-$D$7*F139-Q139)</f>
        <v/>
      </c>
      <c r="K139">
        <f>($D$9/12)*J138</f>
        <v/>
      </c>
      <c r="L139">
        <f>IF(G139=0,0,J139/(G139*$D$12))</f>
        <v/>
      </c>
      <c r="M139">
        <f>MIN(0.06,MAX(0.01,IF(G139=0,0,I139/G139)))</f>
        <v/>
      </c>
      <c r="N139">
        <f>INDEX($G$6:$G$30,MIN(INT((A139-1)/12)+1,25))</f>
        <v/>
      </c>
      <c r="O139">
        <f>G139*$D$12</f>
        <v/>
      </c>
      <c r="P139">
        <f>M139*G139</f>
        <v/>
      </c>
      <c r="Q139">
        <f>($D$16/12)*I138</f>
        <v/>
      </c>
    </row>
    <row r="140">
      <c r="A140" t="n">
        <v>108</v>
      </c>
      <c r="B140">
        <f>CEILING(0.0101*G139/$D$5,1)</f>
        <v/>
      </c>
      <c r="C140">
        <f>MAX(0,MIN(MAX(0,FLOOR($D$15*D139*MAX(0,1-D139/(($D$10+SUM($N$33:N139))/$D$5)),1)),IF(A140&gt;=$D$14,IF(AND(D139&gt;0,F139&gt;0),INT(K139*D139/F139),0),1000000000),MIN(IF($D$11&gt;G139,INT(($D$11-G139)/$D$5),0)-D139,MAX(B140,INT(($D$10+SUM($N$33:N139))/$D$5)-D139))))</f>
        <v/>
      </c>
      <c r="D140">
        <f>D139+C140</f>
        <v/>
      </c>
      <c r="E140">
        <f>$D$5</f>
        <v/>
      </c>
      <c r="F140">
        <f>IF(G139&gt;=$D$11,0,MIN(D140*E140,$D$11-G139))</f>
        <v/>
      </c>
      <c r="G140">
        <f>G139+F140</f>
        <v/>
      </c>
      <c r="H140">
        <f>H139+$D$6*F140</f>
        <v/>
      </c>
      <c r="I140">
        <f>MAX(I139+$D$7*F140+Q140-0.01*G140,0.01*G140)</f>
        <v/>
      </c>
      <c r="J140">
        <f>J139+$D$8*F140+K140-MAX(0,0.02*G140-I139-$D$7*F140-Q140)</f>
        <v/>
      </c>
      <c r="K140">
        <f>($D$9/12)*J139</f>
        <v/>
      </c>
      <c r="L140">
        <f>IF(G140=0,0,J140/(G140*$D$12))</f>
        <v/>
      </c>
      <c r="M140">
        <f>MIN(0.06,MAX(0.01,IF(G140=0,0,I140/G140)))</f>
        <v/>
      </c>
      <c r="N140">
        <f>INDEX($G$6:$G$30,MIN(INT((A140-1)/12)+1,25))</f>
        <v/>
      </c>
      <c r="O140">
        <f>G140*$D$12</f>
        <v/>
      </c>
      <c r="P140">
        <f>M140*G140</f>
        <v/>
      </c>
      <c r="Q140">
        <f>($D$16/12)*I139</f>
        <v/>
      </c>
    </row>
    <row r="141">
      <c r="A141" t="n">
        <v>109</v>
      </c>
      <c r="B141">
        <f>CEILING(0.0101*G140/$D$5,1)</f>
        <v/>
      </c>
      <c r="C141">
        <f>MAX(0,MIN(MAX(0,FLOOR($D$15*D140*MAX(0,1-D140/(($D$10+SUM($N$33:N140))/$D$5)),1)),IF(A141&gt;=$D$14,IF(AND(D140&gt;0,F140&gt;0),INT(K140*D140/F140),0),1000000000),MIN(IF($D$11&gt;G140,INT(($D$11-G140)/$D$5),0)-D140,MAX(B141,INT(($D$10+SUM($N$33:N140))/$D$5)-D140))))</f>
        <v/>
      </c>
      <c r="D141">
        <f>D140+C141</f>
        <v/>
      </c>
      <c r="E141">
        <f>$D$5</f>
        <v/>
      </c>
      <c r="F141">
        <f>IF(G140&gt;=$D$11,0,MIN(D141*E141,$D$11-G140))</f>
        <v/>
      </c>
      <c r="G141">
        <f>G140+F141</f>
        <v/>
      </c>
      <c r="H141">
        <f>H140+$D$6*F141</f>
        <v/>
      </c>
      <c r="I141">
        <f>MAX(I140+$D$7*F141+Q141-0.01*G141,0.01*G141)</f>
        <v/>
      </c>
      <c r="J141">
        <f>J140+$D$8*F141+K141-MAX(0,0.02*G141-I140-$D$7*F141-Q141)</f>
        <v/>
      </c>
      <c r="K141">
        <f>($D$9/12)*J140</f>
        <v/>
      </c>
      <c r="L141">
        <f>IF(G141=0,0,J141/(G141*$D$12))</f>
        <v/>
      </c>
      <c r="M141">
        <f>MIN(0.06,MAX(0.01,IF(G141=0,0,I141/G141)))</f>
        <v/>
      </c>
      <c r="N141">
        <f>INDEX($G$6:$G$30,MIN(INT((A141-1)/12)+1,25))</f>
        <v/>
      </c>
      <c r="O141">
        <f>G141*$D$12</f>
        <v/>
      </c>
      <c r="P141">
        <f>M141*G141</f>
        <v/>
      </c>
      <c r="Q141">
        <f>($D$16/12)*I140</f>
        <v/>
      </c>
    </row>
    <row r="142">
      <c r="A142" t="n">
        <v>110</v>
      </c>
      <c r="B142">
        <f>CEILING(0.0101*G141/$D$5,1)</f>
        <v/>
      </c>
      <c r="C142">
        <f>MAX(0,MIN(MAX(0,FLOOR($D$15*D141*MAX(0,1-D141/(($D$10+SUM($N$33:N141))/$D$5)),1)),IF(A142&gt;=$D$14,IF(AND(D141&gt;0,F141&gt;0),INT(K141*D141/F141),0),1000000000),MIN(IF($D$11&gt;G141,INT(($D$11-G141)/$D$5),0)-D141,MAX(B142,INT(($D$10+SUM($N$33:N141))/$D$5)-D141))))</f>
        <v/>
      </c>
      <c r="D142">
        <f>D141+C142</f>
        <v/>
      </c>
      <c r="E142">
        <f>$D$5</f>
        <v/>
      </c>
      <c r="F142">
        <f>IF(G141&gt;=$D$11,0,MIN(D142*E142,$D$11-G141))</f>
        <v/>
      </c>
      <c r="G142">
        <f>G141+F142</f>
        <v/>
      </c>
      <c r="H142">
        <f>H141+$D$6*F142</f>
        <v/>
      </c>
      <c r="I142">
        <f>MAX(I141+$D$7*F142+Q142-0.01*G142,0.01*G142)</f>
        <v/>
      </c>
      <c r="J142">
        <f>J141+$D$8*F142+K142-MAX(0,0.02*G142-I141-$D$7*F142-Q142)</f>
        <v/>
      </c>
      <c r="K142">
        <f>($D$9/12)*J141</f>
        <v/>
      </c>
      <c r="L142">
        <f>IF(G142=0,0,J142/(G142*$D$12))</f>
        <v/>
      </c>
      <c r="M142">
        <f>MIN(0.06,MAX(0.01,IF(G142=0,0,I142/G142)))</f>
        <v/>
      </c>
      <c r="N142">
        <f>INDEX($G$6:$G$30,MIN(INT((A142-1)/12)+1,25))</f>
        <v/>
      </c>
      <c r="O142">
        <f>G142*$D$12</f>
        <v/>
      </c>
      <c r="P142">
        <f>M142*G142</f>
        <v/>
      </c>
      <c r="Q142">
        <f>($D$16/12)*I141</f>
        <v/>
      </c>
    </row>
    <row r="143">
      <c r="A143" t="n">
        <v>111</v>
      </c>
      <c r="B143">
        <f>CEILING(0.0101*G142/$D$5,1)</f>
        <v/>
      </c>
      <c r="C143">
        <f>MAX(0,MIN(MAX(0,FLOOR($D$15*D142*MAX(0,1-D142/(($D$10+SUM($N$33:N142))/$D$5)),1)),IF(A143&gt;=$D$14,IF(AND(D142&gt;0,F142&gt;0),INT(K142*D142/F142),0),1000000000),MIN(IF($D$11&gt;G142,INT(($D$11-G142)/$D$5),0)-D142,MAX(B143,INT(($D$10+SUM($N$33:N142))/$D$5)-D142))))</f>
        <v/>
      </c>
      <c r="D143">
        <f>D142+C143</f>
        <v/>
      </c>
      <c r="E143">
        <f>$D$5</f>
        <v/>
      </c>
      <c r="F143">
        <f>IF(G142&gt;=$D$11,0,MIN(D143*E143,$D$11-G142))</f>
        <v/>
      </c>
      <c r="G143">
        <f>G142+F143</f>
        <v/>
      </c>
      <c r="H143">
        <f>H142+$D$6*F143</f>
        <v/>
      </c>
      <c r="I143">
        <f>MAX(I142+$D$7*F143+Q143-0.01*G143,0.01*G143)</f>
        <v/>
      </c>
      <c r="J143">
        <f>J142+$D$8*F143+K143-MAX(0,0.02*G143-I142-$D$7*F143-Q143)</f>
        <v/>
      </c>
      <c r="K143">
        <f>($D$9/12)*J142</f>
        <v/>
      </c>
      <c r="L143">
        <f>IF(G143=0,0,J143/(G143*$D$12))</f>
        <v/>
      </c>
      <c r="M143">
        <f>MIN(0.06,MAX(0.01,IF(G143=0,0,I143/G143)))</f>
        <v/>
      </c>
      <c r="N143">
        <f>INDEX($G$6:$G$30,MIN(INT((A143-1)/12)+1,25))</f>
        <v/>
      </c>
      <c r="O143">
        <f>G143*$D$12</f>
        <v/>
      </c>
      <c r="P143">
        <f>M143*G143</f>
        <v/>
      </c>
      <c r="Q143">
        <f>($D$16/12)*I142</f>
        <v/>
      </c>
    </row>
    <row r="144">
      <c r="A144" t="n">
        <v>112</v>
      </c>
      <c r="B144">
        <f>CEILING(0.0101*G143/$D$5,1)</f>
        <v/>
      </c>
      <c r="C144">
        <f>MAX(0,MIN(MAX(0,FLOOR($D$15*D143*MAX(0,1-D143/(($D$10+SUM($N$33:N143))/$D$5)),1)),IF(A144&gt;=$D$14,IF(AND(D143&gt;0,F143&gt;0),INT(K143*D143/F143),0),1000000000),MIN(IF($D$11&gt;G143,INT(($D$11-G143)/$D$5),0)-D143,MAX(B144,INT(($D$10+SUM($N$33:N143))/$D$5)-D143))))</f>
        <v/>
      </c>
      <c r="D144">
        <f>D143+C144</f>
        <v/>
      </c>
      <c r="E144">
        <f>$D$5</f>
        <v/>
      </c>
      <c r="F144">
        <f>IF(G143&gt;=$D$11,0,MIN(D144*E144,$D$11-G143))</f>
        <v/>
      </c>
      <c r="G144">
        <f>G143+F144</f>
        <v/>
      </c>
      <c r="H144">
        <f>H143+$D$6*F144</f>
        <v/>
      </c>
      <c r="I144">
        <f>MAX(I143+$D$7*F144+Q144-0.01*G144,0.01*G144)</f>
        <v/>
      </c>
      <c r="J144">
        <f>J143+$D$8*F144+K144-MAX(0,0.02*G144-I143-$D$7*F144-Q144)</f>
        <v/>
      </c>
      <c r="K144">
        <f>($D$9/12)*J143</f>
        <v/>
      </c>
      <c r="L144">
        <f>IF(G144=0,0,J144/(G144*$D$12))</f>
        <v/>
      </c>
      <c r="M144">
        <f>MIN(0.06,MAX(0.01,IF(G144=0,0,I144/G144)))</f>
        <v/>
      </c>
      <c r="N144">
        <f>INDEX($G$6:$G$30,MIN(INT((A144-1)/12)+1,25))</f>
        <v/>
      </c>
      <c r="O144">
        <f>G144*$D$12</f>
        <v/>
      </c>
      <c r="P144">
        <f>M144*G144</f>
        <v/>
      </c>
      <c r="Q144">
        <f>($D$16/12)*I143</f>
        <v/>
      </c>
    </row>
    <row r="145">
      <c r="A145" t="n">
        <v>113</v>
      </c>
      <c r="B145">
        <f>CEILING(0.0101*G144/$D$5,1)</f>
        <v/>
      </c>
      <c r="C145">
        <f>MAX(0,MIN(MAX(0,FLOOR($D$15*D144*MAX(0,1-D144/(($D$10+SUM($N$33:N144))/$D$5)),1)),IF(A145&gt;=$D$14,IF(AND(D144&gt;0,F144&gt;0),INT(K144*D144/F144),0),1000000000),MIN(IF($D$11&gt;G144,INT(($D$11-G144)/$D$5),0)-D144,MAX(B145,INT(($D$10+SUM($N$33:N144))/$D$5)-D144))))</f>
        <v/>
      </c>
      <c r="D145">
        <f>D144+C145</f>
        <v/>
      </c>
      <c r="E145">
        <f>$D$5</f>
        <v/>
      </c>
      <c r="F145">
        <f>IF(G144&gt;=$D$11,0,MIN(D145*E145,$D$11-G144))</f>
        <v/>
      </c>
      <c r="G145">
        <f>G144+F145</f>
        <v/>
      </c>
      <c r="H145">
        <f>H144+$D$6*F145</f>
        <v/>
      </c>
      <c r="I145">
        <f>MAX(I144+$D$7*F145+Q145-0.01*G145,0.01*G145)</f>
        <v/>
      </c>
      <c r="J145">
        <f>J144+$D$8*F145+K145-MAX(0,0.02*G145-I144-$D$7*F145-Q145)</f>
        <v/>
      </c>
      <c r="K145">
        <f>($D$9/12)*J144</f>
        <v/>
      </c>
      <c r="L145">
        <f>IF(G145=0,0,J145/(G145*$D$12))</f>
        <v/>
      </c>
      <c r="M145">
        <f>MIN(0.06,MAX(0.01,IF(G145=0,0,I145/G145)))</f>
        <v/>
      </c>
      <c r="N145">
        <f>INDEX($G$6:$G$30,MIN(INT((A145-1)/12)+1,25))</f>
        <v/>
      </c>
      <c r="O145">
        <f>G145*$D$12</f>
        <v/>
      </c>
      <c r="P145">
        <f>M145*G145</f>
        <v/>
      </c>
      <c r="Q145">
        <f>($D$16/12)*I144</f>
        <v/>
      </c>
    </row>
    <row r="146">
      <c r="A146" t="n">
        <v>114</v>
      </c>
      <c r="B146">
        <f>CEILING(0.0101*G145/$D$5,1)</f>
        <v/>
      </c>
      <c r="C146">
        <f>MAX(0,MIN(MAX(0,FLOOR($D$15*D145*MAX(0,1-D145/(($D$10+SUM($N$33:N145))/$D$5)),1)),IF(A146&gt;=$D$14,IF(AND(D145&gt;0,F145&gt;0),INT(K145*D145/F145),0),1000000000),MIN(IF($D$11&gt;G145,INT(($D$11-G145)/$D$5),0)-D145,MAX(B146,INT(($D$10+SUM($N$33:N145))/$D$5)-D145))))</f>
        <v/>
      </c>
      <c r="D146">
        <f>D145+C146</f>
        <v/>
      </c>
      <c r="E146">
        <f>$D$5</f>
        <v/>
      </c>
      <c r="F146">
        <f>IF(G145&gt;=$D$11,0,MIN(D146*E146,$D$11-G145))</f>
        <v/>
      </c>
      <c r="G146">
        <f>G145+F146</f>
        <v/>
      </c>
      <c r="H146">
        <f>H145+$D$6*F146</f>
        <v/>
      </c>
      <c r="I146">
        <f>MAX(I145+$D$7*F146+Q146-0.01*G146,0.01*G146)</f>
        <v/>
      </c>
      <c r="J146">
        <f>J145+$D$8*F146+K146-MAX(0,0.02*G146-I145-$D$7*F146-Q146)</f>
        <v/>
      </c>
      <c r="K146">
        <f>($D$9/12)*J145</f>
        <v/>
      </c>
      <c r="L146">
        <f>IF(G146=0,0,J146/(G146*$D$12))</f>
        <v/>
      </c>
      <c r="M146">
        <f>MIN(0.06,MAX(0.01,IF(G146=0,0,I146/G146)))</f>
        <v/>
      </c>
      <c r="N146">
        <f>INDEX($G$6:$G$30,MIN(INT((A146-1)/12)+1,25))</f>
        <v/>
      </c>
      <c r="O146">
        <f>G146*$D$12</f>
        <v/>
      </c>
      <c r="P146">
        <f>M146*G146</f>
        <v/>
      </c>
      <c r="Q146">
        <f>($D$16/12)*I145</f>
        <v/>
      </c>
    </row>
    <row r="147">
      <c r="A147" t="n">
        <v>115</v>
      </c>
      <c r="B147">
        <f>CEILING(0.0101*G146/$D$5,1)</f>
        <v/>
      </c>
      <c r="C147">
        <f>MAX(0,MIN(MAX(0,FLOOR($D$15*D146*MAX(0,1-D146/(($D$10+SUM($N$33:N146))/$D$5)),1)),IF(A147&gt;=$D$14,IF(AND(D146&gt;0,F146&gt;0),INT(K146*D146/F146),0),1000000000),MIN(IF($D$11&gt;G146,INT(($D$11-G146)/$D$5),0)-D146,MAX(B147,INT(($D$10+SUM($N$33:N146))/$D$5)-D146))))</f>
        <v/>
      </c>
      <c r="D147">
        <f>D146+C147</f>
        <v/>
      </c>
      <c r="E147">
        <f>$D$5</f>
        <v/>
      </c>
      <c r="F147">
        <f>IF(G146&gt;=$D$11,0,MIN(D147*E147,$D$11-G146))</f>
        <v/>
      </c>
      <c r="G147">
        <f>G146+F147</f>
        <v/>
      </c>
      <c r="H147">
        <f>H146+$D$6*F147</f>
        <v/>
      </c>
      <c r="I147">
        <f>MAX(I146+$D$7*F147+Q147-0.01*G147,0.01*G147)</f>
        <v/>
      </c>
      <c r="J147">
        <f>J146+$D$8*F147+K147-MAX(0,0.02*G147-I146-$D$7*F147-Q147)</f>
        <v/>
      </c>
      <c r="K147">
        <f>($D$9/12)*J146</f>
        <v/>
      </c>
      <c r="L147">
        <f>IF(G147=0,0,J147/(G147*$D$12))</f>
        <v/>
      </c>
      <c r="M147">
        <f>MIN(0.06,MAX(0.01,IF(G147=0,0,I147/G147)))</f>
        <v/>
      </c>
      <c r="N147">
        <f>INDEX($G$6:$G$30,MIN(INT((A147-1)/12)+1,25))</f>
        <v/>
      </c>
      <c r="O147">
        <f>G147*$D$12</f>
        <v/>
      </c>
      <c r="P147">
        <f>M147*G147</f>
        <v/>
      </c>
      <c r="Q147">
        <f>($D$16/12)*I146</f>
        <v/>
      </c>
    </row>
    <row r="148">
      <c r="A148" t="n">
        <v>116</v>
      </c>
      <c r="B148">
        <f>CEILING(0.0101*G147/$D$5,1)</f>
        <v/>
      </c>
      <c r="C148">
        <f>MAX(0,MIN(MAX(0,FLOOR($D$15*D147*MAX(0,1-D147/(($D$10+SUM($N$33:N147))/$D$5)),1)),IF(A148&gt;=$D$14,IF(AND(D147&gt;0,F147&gt;0),INT(K147*D147/F147),0),1000000000),MIN(IF($D$11&gt;G147,INT(($D$11-G147)/$D$5),0)-D147,MAX(B148,INT(($D$10+SUM($N$33:N147))/$D$5)-D147))))</f>
        <v/>
      </c>
      <c r="D148">
        <f>D147+C148</f>
        <v/>
      </c>
      <c r="E148">
        <f>$D$5</f>
        <v/>
      </c>
      <c r="F148">
        <f>IF(G147&gt;=$D$11,0,MIN(D148*E148,$D$11-G147))</f>
        <v/>
      </c>
      <c r="G148">
        <f>G147+F148</f>
        <v/>
      </c>
      <c r="H148">
        <f>H147+$D$6*F148</f>
        <v/>
      </c>
      <c r="I148">
        <f>MAX(I147+$D$7*F148+Q148-0.01*G148,0.01*G148)</f>
        <v/>
      </c>
      <c r="J148">
        <f>J147+$D$8*F148+K148-MAX(0,0.02*G148-I147-$D$7*F148-Q148)</f>
        <v/>
      </c>
      <c r="K148">
        <f>($D$9/12)*J147</f>
        <v/>
      </c>
      <c r="L148">
        <f>IF(G148=0,0,J148/(G148*$D$12))</f>
        <v/>
      </c>
      <c r="M148">
        <f>MIN(0.06,MAX(0.01,IF(G148=0,0,I148/G148)))</f>
        <v/>
      </c>
      <c r="N148">
        <f>INDEX($G$6:$G$30,MIN(INT((A148-1)/12)+1,25))</f>
        <v/>
      </c>
      <c r="O148">
        <f>G148*$D$12</f>
        <v/>
      </c>
      <c r="P148">
        <f>M148*G148</f>
        <v/>
      </c>
      <c r="Q148">
        <f>($D$16/12)*I147</f>
        <v/>
      </c>
    </row>
    <row r="149">
      <c r="A149" t="n">
        <v>117</v>
      </c>
      <c r="B149">
        <f>CEILING(0.0101*G148/$D$5,1)</f>
        <v/>
      </c>
      <c r="C149">
        <f>MAX(0,MIN(MAX(0,FLOOR($D$15*D148*MAX(0,1-D148/(($D$10+SUM($N$33:N148))/$D$5)),1)),IF(A149&gt;=$D$14,IF(AND(D148&gt;0,F148&gt;0),INT(K148*D148/F148),0),1000000000),MIN(IF($D$11&gt;G148,INT(($D$11-G148)/$D$5),0)-D148,MAX(B149,INT(($D$10+SUM($N$33:N148))/$D$5)-D148))))</f>
        <v/>
      </c>
      <c r="D149">
        <f>D148+C149</f>
        <v/>
      </c>
      <c r="E149">
        <f>$D$5</f>
        <v/>
      </c>
      <c r="F149">
        <f>IF(G148&gt;=$D$11,0,MIN(D149*E149,$D$11-G148))</f>
        <v/>
      </c>
      <c r="G149">
        <f>G148+F149</f>
        <v/>
      </c>
      <c r="H149">
        <f>H148+$D$6*F149</f>
        <v/>
      </c>
      <c r="I149">
        <f>MAX(I148+$D$7*F149+Q149-0.01*G149,0.01*G149)</f>
        <v/>
      </c>
      <c r="J149">
        <f>J148+$D$8*F149+K149-MAX(0,0.02*G149-I148-$D$7*F149-Q149)</f>
        <v/>
      </c>
      <c r="K149">
        <f>($D$9/12)*J148</f>
        <v/>
      </c>
      <c r="L149">
        <f>IF(G149=0,0,J149/(G149*$D$12))</f>
        <v/>
      </c>
      <c r="M149">
        <f>MIN(0.06,MAX(0.01,IF(G149=0,0,I149/G149)))</f>
        <v/>
      </c>
      <c r="N149">
        <f>INDEX($G$6:$G$30,MIN(INT((A149-1)/12)+1,25))</f>
        <v/>
      </c>
      <c r="O149">
        <f>G149*$D$12</f>
        <v/>
      </c>
      <c r="P149">
        <f>M149*G149</f>
        <v/>
      </c>
      <c r="Q149">
        <f>($D$16/12)*I148</f>
        <v/>
      </c>
    </row>
    <row r="150">
      <c r="A150" t="n">
        <v>118</v>
      </c>
      <c r="B150">
        <f>CEILING(0.0101*G149/$D$5,1)</f>
        <v/>
      </c>
      <c r="C150">
        <f>MAX(0,MIN(MAX(0,FLOOR($D$15*D149*MAX(0,1-D149/(($D$10+SUM($N$33:N149))/$D$5)),1)),IF(A150&gt;=$D$14,IF(AND(D149&gt;0,F149&gt;0),INT(K149*D149/F149),0),1000000000),MIN(IF($D$11&gt;G149,INT(($D$11-G149)/$D$5),0)-D149,MAX(B150,INT(($D$10+SUM($N$33:N149))/$D$5)-D149))))</f>
        <v/>
      </c>
      <c r="D150">
        <f>D149+C150</f>
        <v/>
      </c>
      <c r="E150">
        <f>$D$5</f>
        <v/>
      </c>
      <c r="F150">
        <f>IF(G149&gt;=$D$11,0,MIN(D150*E150,$D$11-G149))</f>
        <v/>
      </c>
      <c r="G150">
        <f>G149+F150</f>
        <v/>
      </c>
      <c r="H150">
        <f>H149+$D$6*F150</f>
        <v/>
      </c>
      <c r="I150">
        <f>MAX(I149+$D$7*F150+Q150-0.01*G150,0.01*G150)</f>
        <v/>
      </c>
      <c r="J150">
        <f>J149+$D$8*F150+K150-MAX(0,0.02*G150-I149-$D$7*F150-Q150)</f>
        <v/>
      </c>
      <c r="K150">
        <f>($D$9/12)*J149</f>
        <v/>
      </c>
      <c r="L150">
        <f>IF(G150=0,0,J150/(G150*$D$12))</f>
        <v/>
      </c>
      <c r="M150">
        <f>MIN(0.06,MAX(0.01,IF(G150=0,0,I150/G150)))</f>
        <v/>
      </c>
      <c r="N150">
        <f>INDEX($G$6:$G$30,MIN(INT((A150-1)/12)+1,25))</f>
        <v/>
      </c>
      <c r="O150">
        <f>G150*$D$12</f>
        <v/>
      </c>
      <c r="P150">
        <f>M150*G150</f>
        <v/>
      </c>
      <c r="Q150">
        <f>($D$16/12)*I149</f>
        <v/>
      </c>
    </row>
    <row r="151">
      <c r="A151" t="n">
        <v>119</v>
      </c>
      <c r="B151">
        <f>CEILING(0.0101*G150/$D$5,1)</f>
        <v/>
      </c>
      <c r="C151">
        <f>MAX(0,MIN(MAX(0,FLOOR($D$15*D150*MAX(0,1-D150/(($D$10+SUM($N$33:N150))/$D$5)),1)),IF(A151&gt;=$D$14,IF(AND(D150&gt;0,F150&gt;0),INT(K150*D150/F150),0),1000000000),MIN(IF($D$11&gt;G150,INT(($D$11-G150)/$D$5),0)-D150,MAX(B151,INT(($D$10+SUM($N$33:N150))/$D$5)-D150))))</f>
        <v/>
      </c>
      <c r="D151">
        <f>D150+C151</f>
        <v/>
      </c>
      <c r="E151">
        <f>$D$5</f>
        <v/>
      </c>
      <c r="F151">
        <f>IF(G150&gt;=$D$11,0,MIN(D151*E151,$D$11-G150))</f>
        <v/>
      </c>
      <c r="G151">
        <f>G150+F151</f>
        <v/>
      </c>
      <c r="H151">
        <f>H150+$D$6*F151</f>
        <v/>
      </c>
      <c r="I151">
        <f>MAX(I150+$D$7*F151+Q151-0.01*G151,0.01*G151)</f>
        <v/>
      </c>
      <c r="J151">
        <f>J150+$D$8*F151+K151-MAX(0,0.02*G151-I150-$D$7*F151-Q151)</f>
        <v/>
      </c>
      <c r="K151">
        <f>($D$9/12)*J150</f>
        <v/>
      </c>
      <c r="L151">
        <f>IF(G151=0,0,J151/(G151*$D$12))</f>
        <v/>
      </c>
      <c r="M151">
        <f>MIN(0.06,MAX(0.01,IF(G151=0,0,I151/G151)))</f>
        <v/>
      </c>
      <c r="N151">
        <f>INDEX($G$6:$G$30,MIN(INT((A151-1)/12)+1,25))</f>
        <v/>
      </c>
      <c r="O151">
        <f>G151*$D$12</f>
        <v/>
      </c>
      <c r="P151">
        <f>M151*G151</f>
        <v/>
      </c>
      <c r="Q151">
        <f>($D$16/12)*I150</f>
        <v/>
      </c>
    </row>
    <row r="152">
      <c r="A152" t="n">
        <v>120</v>
      </c>
      <c r="B152">
        <f>CEILING(0.0101*G151/$D$5,1)</f>
        <v/>
      </c>
      <c r="C152">
        <f>MAX(0,MIN(MAX(0,FLOOR($D$15*D151*MAX(0,1-D151/(($D$10+SUM($N$33:N151))/$D$5)),1)),IF(A152&gt;=$D$14,IF(AND(D151&gt;0,F151&gt;0),INT(K151*D151/F151),0),1000000000),MIN(IF($D$11&gt;G151,INT(($D$11-G151)/$D$5),0)-D151,MAX(B152,INT(($D$10+SUM($N$33:N151))/$D$5)-D151))))</f>
        <v/>
      </c>
      <c r="D152">
        <f>D151+C152</f>
        <v/>
      </c>
      <c r="E152">
        <f>$D$5</f>
        <v/>
      </c>
      <c r="F152">
        <f>IF(G151&gt;=$D$11,0,MIN(D152*E152,$D$11-G151))</f>
        <v/>
      </c>
      <c r="G152">
        <f>G151+F152</f>
        <v/>
      </c>
      <c r="H152">
        <f>H151+$D$6*F152</f>
        <v/>
      </c>
      <c r="I152">
        <f>MAX(I151+$D$7*F152+Q152-0.01*G152,0.01*G152)</f>
        <v/>
      </c>
      <c r="J152">
        <f>J151+$D$8*F152+K152-MAX(0,0.02*G152-I151-$D$7*F152-Q152)</f>
        <v/>
      </c>
      <c r="K152">
        <f>($D$9/12)*J151</f>
        <v/>
      </c>
      <c r="L152">
        <f>IF(G152=0,0,J152/(G152*$D$12))</f>
        <v/>
      </c>
      <c r="M152">
        <f>MIN(0.06,MAX(0.01,IF(G152=0,0,I152/G152)))</f>
        <v/>
      </c>
      <c r="N152">
        <f>INDEX($G$6:$G$30,MIN(INT((A152-1)/12)+1,25))</f>
        <v/>
      </c>
      <c r="O152">
        <f>G152*$D$12</f>
        <v/>
      </c>
      <c r="P152">
        <f>M152*G152</f>
        <v/>
      </c>
      <c r="Q152">
        <f>($D$16/12)*I151</f>
        <v/>
      </c>
    </row>
    <row r="153">
      <c r="A153" t="n">
        <v>121</v>
      </c>
      <c r="B153">
        <f>CEILING(0.0101*G152/$D$5,1)</f>
        <v/>
      </c>
      <c r="C153">
        <f>MAX(0,MIN(MAX(0,FLOOR($D$15*D152*MAX(0,1-D152/(($D$10+SUM($N$33:N152))/$D$5)),1)),IF(A153&gt;=$D$14,IF(AND(D152&gt;0,F152&gt;0),INT(K152*D152/F152),0),1000000000),MIN(IF($D$11&gt;G152,INT(($D$11-G152)/$D$5),0)-D152,MAX(B153,INT(($D$10+SUM($N$33:N152))/$D$5)-D152))))</f>
        <v/>
      </c>
      <c r="D153">
        <f>D152+C153</f>
        <v/>
      </c>
      <c r="E153">
        <f>$D$5</f>
        <v/>
      </c>
      <c r="F153">
        <f>IF(G152&gt;=$D$11,0,MIN(D153*E153,$D$11-G152))</f>
        <v/>
      </c>
      <c r="G153">
        <f>G152+F153</f>
        <v/>
      </c>
      <c r="H153">
        <f>H152+$D$6*F153</f>
        <v/>
      </c>
      <c r="I153">
        <f>MAX(I152+$D$7*F153+Q153-0.01*G153,0.01*G153)</f>
        <v/>
      </c>
      <c r="J153">
        <f>J152+$D$8*F153+K153-MAX(0,0.02*G153-I152-$D$7*F153-Q153)</f>
        <v/>
      </c>
      <c r="K153">
        <f>($D$9/12)*J152</f>
        <v/>
      </c>
      <c r="L153">
        <f>IF(G153=0,0,J153/(G153*$D$12))</f>
        <v/>
      </c>
      <c r="M153">
        <f>MIN(0.06,MAX(0.01,IF(G153=0,0,I153/G153)))</f>
        <v/>
      </c>
      <c r="N153">
        <f>INDEX($G$6:$G$30,MIN(INT((A153-1)/12)+1,25))</f>
        <v/>
      </c>
      <c r="O153">
        <f>G153*$D$12</f>
        <v/>
      </c>
      <c r="P153">
        <f>M153*G153</f>
        <v/>
      </c>
      <c r="Q153">
        <f>($D$16/12)*I152</f>
        <v/>
      </c>
    </row>
    <row r="154">
      <c r="A154" t="n">
        <v>122</v>
      </c>
      <c r="B154">
        <f>CEILING(0.0101*G153/$D$5,1)</f>
        <v/>
      </c>
      <c r="C154">
        <f>MAX(0,MIN(MAX(0,FLOOR($D$15*D153*MAX(0,1-D153/(($D$10+SUM($N$33:N153))/$D$5)),1)),IF(A154&gt;=$D$14,IF(AND(D153&gt;0,F153&gt;0),INT(K153*D153/F153),0),1000000000),MIN(IF($D$11&gt;G153,INT(($D$11-G153)/$D$5),0)-D153,MAX(B154,INT(($D$10+SUM($N$33:N153))/$D$5)-D153))))</f>
        <v/>
      </c>
      <c r="D154">
        <f>D153+C154</f>
        <v/>
      </c>
      <c r="E154">
        <f>$D$5</f>
        <v/>
      </c>
      <c r="F154">
        <f>IF(G153&gt;=$D$11,0,MIN(D154*E154,$D$11-G153))</f>
        <v/>
      </c>
      <c r="G154">
        <f>G153+F154</f>
        <v/>
      </c>
      <c r="H154">
        <f>H153+$D$6*F154</f>
        <v/>
      </c>
      <c r="I154">
        <f>MAX(I153+$D$7*F154+Q154-0.01*G154,0.01*G154)</f>
        <v/>
      </c>
      <c r="J154">
        <f>J153+$D$8*F154+K154-MAX(0,0.02*G154-I153-$D$7*F154-Q154)</f>
        <v/>
      </c>
      <c r="K154">
        <f>($D$9/12)*J153</f>
        <v/>
      </c>
      <c r="L154">
        <f>IF(G154=0,0,J154/(G154*$D$12))</f>
        <v/>
      </c>
      <c r="M154">
        <f>MIN(0.06,MAX(0.01,IF(G154=0,0,I154/G154)))</f>
        <v/>
      </c>
      <c r="N154">
        <f>INDEX($G$6:$G$30,MIN(INT((A154-1)/12)+1,25))</f>
        <v/>
      </c>
      <c r="O154">
        <f>G154*$D$12</f>
        <v/>
      </c>
      <c r="P154">
        <f>M154*G154</f>
        <v/>
      </c>
      <c r="Q154">
        <f>($D$16/12)*I153</f>
        <v/>
      </c>
    </row>
    <row r="155">
      <c r="A155" t="n">
        <v>123</v>
      </c>
      <c r="B155">
        <f>CEILING(0.0101*G154/$D$5,1)</f>
        <v/>
      </c>
      <c r="C155">
        <f>MAX(0,MIN(MAX(0,FLOOR($D$15*D154*MAX(0,1-D154/(($D$10+SUM($N$33:N154))/$D$5)),1)),IF(A155&gt;=$D$14,IF(AND(D154&gt;0,F154&gt;0),INT(K154*D154/F154),0),1000000000),MIN(IF($D$11&gt;G154,INT(($D$11-G154)/$D$5),0)-D154,MAX(B155,INT(($D$10+SUM($N$33:N154))/$D$5)-D154))))</f>
        <v/>
      </c>
      <c r="D155">
        <f>D154+C155</f>
        <v/>
      </c>
      <c r="E155">
        <f>$D$5</f>
        <v/>
      </c>
      <c r="F155">
        <f>IF(G154&gt;=$D$11,0,MIN(D155*E155,$D$11-G154))</f>
        <v/>
      </c>
      <c r="G155">
        <f>G154+F155</f>
        <v/>
      </c>
      <c r="H155">
        <f>H154+$D$6*F155</f>
        <v/>
      </c>
      <c r="I155">
        <f>MAX(I154+$D$7*F155+Q155-0.01*G155,0.01*G155)</f>
        <v/>
      </c>
      <c r="J155">
        <f>J154+$D$8*F155+K155-MAX(0,0.02*G155-I154-$D$7*F155-Q155)</f>
        <v/>
      </c>
      <c r="K155">
        <f>($D$9/12)*J154</f>
        <v/>
      </c>
      <c r="L155">
        <f>IF(G155=0,0,J155/(G155*$D$12))</f>
        <v/>
      </c>
      <c r="M155">
        <f>MIN(0.06,MAX(0.01,IF(G155=0,0,I155/G155)))</f>
        <v/>
      </c>
      <c r="N155">
        <f>INDEX($G$6:$G$30,MIN(INT((A155-1)/12)+1,25))</f>
        <v/>
      </c>
      <c r="O155">
        <f>G155*$D$12</f>
        <v/>
      </c>
      <c r="P155">
        <f>M155*G155</f>
        <v/>
      </c>
      <c r="Q155">
        <f>($D$16/12)*I154</f>
        <v/>
      </c>
    </row>
    <row r="156">
      <c r="A156" t="n">
        <v>124</v>
      </c>
      <c r="B156">
        <f>CEILING(0.0101*G155/$D$5,1)</f>
        <v/>
      </c>
      <c r="C156">
        <f>MAX(0,MIN(MAX(0,FLOOR($D$15*D155*MAX(0,1-D155/(($D$10+SUM($N$33:N155))/$D$5)),1)),IF(A156&gt;=$D$14,IF(AND(D155&gt;0,F155&gt;0),INT(K155*D155/F155),0),1000000000),MIN(IF($D$11&gt;G155,INT(($D$11-G155)/$D$5),0)-D155,MAX(B156,INT(($D$10+SUM($N$33:N155))/$D$5)-D155))))</f>
        <v/>
      </c>
      <c r="D156">
        <f>D155+C156</f>
        <v/>
      </c>
      <c r="E156">
        <f>$D$5</f>
        <v/>
      </c>
      <c r="F156">
        <f>IF(G155&gt;=$D$11,0,MIN(D156*E156,$D$11-G155))</f>
        <v/>
      </c>
      <c r="G156">
        <f>G155+F156</f>
        <v/>
      </c>
      <c r="H156">
        <f>H155+$D$6*F156</f>
        <v/>
      </c>
      <c r="I156">
        <f>MAX(I155+$D$7*F156+Q156-0.01*G156,0.01*G156)</f>
        <v/>
      </c>
      <c r="J156">
        <f>J155+$D$8*F156+K156-MAX(0,0.02*G156-I155-$D$7*F156-Q156)</f>
        <v/>
      </c>
      <c r="K156">
        <f>($D$9/12)*J155</f>
        <v/>
      </c>
      <c r="L156">
        <f>IF(G156=0,0,J156/(G156*$D$12))</f>
        <v/>
      </c>
      <c r="M156">
        <f>MIN(0.06,MAX(0.01,IF(G156=0,0,I156/G156)))</f>
        <v/>
      </c>
      <c r="N156">
        <f>INDEX($G$6:$G$30,MIN(INT((A156-1)/12)+1,25))</f>
        <v/>
      </c>
      <c r="O156">
        <f>G156*$D$12</f>
        <v/>
      </c>
      <c r="P156">
        <f>M156*G156</f>
        <v/>
      </c>
      <c r="Q156">
        <f>($D$16/12)*I155</f>
        <v/>
      </c>
    </row>
    <row r="157">
      <c r="A157" t="n">
        <v>125</v>
      </c>
      <c r="B157">
        <f>CEILING(0.0101*G156/$D$5,1)</f>
        <v/>
      </c>
      <c r="C157">
        <f>MAX(0,MIN(MAX(0,FLOOR($D$15*D156*MAX(0,1-D156/(($D$10+SUM($N$33:N156))/$D$5)),1)),IF(A157&gt;=$D$14,IF(AND(D156&gt;0,F156&gt;0),INT(K156*D156/F156),0),1000000000),MIN(IF($D$11&gt;G156,INT(($D$11-G156)/$D$5),0)-D156,MAX(B157,INT(($D$10+SUM($N$33:N156))/$D$5)-D156))))</f>
        <v/>
      </c>
      <c r="D157">
        <f>D156+C157</f>
        <v/>
      </c>
      <c r="E157">
        <f>$D$5</f>
        <v/>
      </c>
      <c r="F157">
        <f>IF(G156&gt;=$D$11,0,MIN(D157*E157,$D$11-G156))</f>
        <v/>
      </c>
      <c r="G157">
        <f>G156+F157</f>
        <v/>
      </c>
      <c r="H157">
        <f>H156+$D$6*F157</f>
        <v/>
      </c>
      <c r="I157">
        <f>MAX(I156+$D$7*F157+Q157-0.01*G157,0.01*G157)</f>
        <v/>
      </c>
      <c r="J157">
        <f>J156+$D$8*F157+K157-MAX(0,0.02*G157-I156-$D$7*F157-Q157)</f>
        <v/>
      </c>
      <c r="K157">
        <f>($D$9/12)*J156</f>
        <v/>
      </c>
      <c r="L157">
        <f>IF(G157=0,0,J157/(G157*$D$12))</f>
        <v/>
      </c>
      <c r="M157">
        <f>MIN(0.06,MAX(0.01,IF(G157=0,0,I157/G157)))</f>
        <v/>
      </c>
      <c r="N157">
        <f>INDEX($G$6:$G$30,MIN(INT((A157-1)/12)+1,25))</f>
        <v/>
      </c>
      <c r="O157">
        <f>G157*$D$12</f>
        <v/>
      </c>
      <c r="P157">
        <f>M157*G157</f>
        <v/>
      </c>
      <c r="Q157">
        <f>($D$16/12)*I156</f>
        <v/>
      </c>
    </row>
    <row r="158">
      <c r="A158" t="n">
        <v>126</v>
      </c>
      <c r="B158">
        <f>CEILING(0.0101*G157/$D$5,1)</f>
        <v/>
      </c>
      <c r="C158">
        <f>MAX(0,MIN(MAX(0,FLOOR($D$15*D157*MAX(0,1-D157/(($D$10+SUM($N$33:N157))/$D$5)),1)),IF(A158&gt;=$D$14,IF(AND(D157&gt;0,F157&gt;0),INT(K157*D157/F157),0),1000000000),MIN(IF($D$11&gt;G157,INT(($D$11-G157)/$D$5),0)-D157,MAX(B158,INT(($D$10+SUM($N$33:N157))/$D$5)-D157))))</f>
        <v/>
      </c>
      <c r="D158">
        <f>D157+C158</f>
        <v/>
      </c>
      <c r="E158">
        <f>$D$5</f>
        <v/>
      </c>
      <c r="F158">
        <f>IF(G157&gt;=$D$11,0,MIN(D158*E158,$D$11-G157))</f>
        <v/>
      </c>
      <c r="G158">
        <f>G157+F158</f>
        <v/>
      </c>
      <c r="H158">
        <f>H157+$D$6*F158</f>
        <v/>
      </c>
      <c r="I158">
        <f>MAX(I157+$D$7*F158+Q158-0.01*G158,0.01*G158)</f>
        <v/>
      </c>
      <c r="J158">
        <f>J157+$D$8*F158+K158-MAX(0,0.02*G158-I157-$D$7*F158-Q158)</f>
        <v/>
      </c>
      <c r="K158">
        <f>($D$9/12)*J157</f>
        <v/>
      </c>
      <c r="L158">
        <f>IF(G158=0,0,J158/(G158*$D$12))</f>
        <v/>
      </c>
      <c r="M158">
        <f>MIN(0.06,MAX(0.01,IF(G158=0,0,I158/G158)))</f>
        <v/>
      </c>
      <c r="N158">
        <f>INDEX($G$6:$G$30,MIN(INT((A158-1)/12)+1,25))</f>
        <v/>
      </c>
      <c r="O158">
        <f>G158*$D$12</f>
        <v/>
      </c>
      <c r="P158">
        <f>M158*G158</f>
        <v/>
      </c>
      <c r="Q158">
        <f>($D$16/12)*I157</f>
        <v/>
      </c>
    </row>
    <row r="159">
      <c r="A159" t="n">
        <v>127</v>
      </c>
      <c r="B159">
        <f>CEILING(0.0101*G158/$D$5,1)</f>
        <v/>
      </c>
      <c r="C159">
        <f>MAX(0,MIN(MAX(0,FLOOR($D$15*D158*MAX(0,1-D158/(($D$10+SUM($N$33:N158))/$D$5)),1)),IF(A159&gt;=$D$14,IF(AND(D158&gt;0,F158&gt;0),INT(K158*D158/F158),0),1000000000),MIN(IF($D$11&gt;G158,INT(($D$11-G158)/$D$5),0)-D158,MAX(B159,INT(($D$10+SUM($N$33:N158))/$D$5)-D158))))</f>
        <v/>
      </c>
      <c r="D159">
        <f>D158+C159</f>
        <v/>
      </c>
      <c r="E159">
        <f>$D$5</f>
        <v/>
      </c>
      <c r="F159">
        <f>IF(G158&gt;=$D$11,0,MIN(D159*E159,$D$11-G158))</f>
        <v/>
      </c>
      <c r="G159">
        <f>G158+F159</f>
        <v/>
      </c>
      <c r="H159">
        <f>H158+$D$6*F159</f>
        <v/>
      </c>
      <c r="I159">
        <f>MAX(I158+$D$7*F159+Q159-0.01*G159,0.01*G159)</f>
        <v/>
      </c>
      <c r="J159">
        <f>J158+$D$8*F159+K159-MAX(0,0.02*G159-I158-$D$7*F159-Q159)</f>
        <v/>
      </c>
      <c r="K159">
        <f>($D$9/12)*J158</f>
        <v/>
      </c>
      <c r="L159">
        <f>IF(G159=0,0,J159/(G159*$D$12))</f>
        <v/>
      </c>
      <c r="M159">
        <f>MIN(0.06,MAX(0.01,IF(G159=0,0,I159/G159)))</f>
        <v/>
      </c>
      <c r="N159">
        <f>INDEX($G$6:$G$30,MIN(INT((A159-1)/12)+1,25))</f>
        <v/>
      </c>
      <c r="O159">
        <f>G159*$D$12</f>
        <v/>
      </c>
      <c r="P159">
        <f>M159*G159</f>
        <v/>
      </c>
      <c r="Q159">
        <f>($D$16/12)*I158</f>
        <v/>
      </c>
    </row>
    <row r="160">
      <c r="A160" t="n">
        <v>128</v>
      </c>
      <c r="B160">
        <f>CEILING(0.0101*G159/$D$5,1)</f>
        <v/>
      </c>
      <c r="C160">
        <f>MAX(0,MIN(MAX(0,FLOOR($D$15*D159*MAX(0,1-D159/(($D$10+SUM($N$33:N159))/$D$5)),1)),IF(A160&gt;=$D$14,IF(AND(D159&gt;0,F159&gt;0),INT(K159*D159/F159),0),1000000000),MIN(IF($D$11&gt;G159,INT(($D$11-G159)/$D$5),0)-D159,MAX(B160,INT(($D$10+SUM($N$33:N159))/$D$5)-D159))))</f>
        <v/>
      </c>
      <c r="D160">
        <f>D159+C160</f>
        <v/>
      </c>
      <c r="E160">
        <f>$D$5</f>
        <v/>
      </c>
      <c r="F160">
        <f>IF(G159&gt;=$D$11,0,MIN(D160*E160,$D$11-G159))</f>
        <v/>
      </c>
      <c r="G160">
        <f>G159+F160</f>
        <v/>
      </c>
      <c r="H160">
        <f>H159+$D$6*F160</f>
        <v/>
      </c>
      <c r="I160">
        <f>MAX(I159+$D$7*F160+Q160-0.01*G160,0.01*G160)</f>
        <v/>
      </c>
      <c r="J160">
        <f>J159+$D$8*F160+K160-MAX(0,0.02*G160-I159-$D$7*F160-Q160)</f>
        <v/>
      </c>
      <c r="K160">
        <f>($D$9/12)*J159</f>
        <v/>
      </c>
      <c r="L160">
        <f>IF(G160=0,0,J160/(G160*$D$12))</f>
        <v/>
      </c>
      <c r="M160">
        <f>MIN(0.06,MAX(0.01,IF(G160=0,0,I160/G160)))</f>
        <v/>
      </c>
      <c r="N160">
        <f>INDEX($G$6:$G$30,MIN(INT((A160-1)/12)+1,25))</f>
        <v/>
      </c>
      <c r="O160">
        <f>G160*$D$12</f>
        <v/>
      </c>
      <c r="P160">
        <f>M160*G160</f>
        <v/>
      </c>
      <c r="Q160">
        <f>($D$16/12)*I159</f>
        <v/>
      </c>
    </row>
    <row r="161">
      <c r="A161" t="n">
        <v>129</v>
      </c>
      <c r="B161">
        <f>CEILING(0.0101*G160/$D$5,1)</f>
        <v/>
      </c>
      <c r="C161">
        <f>MAX(0,MIN(MAX(0,FLOOR($D$15*D160*MAX(0,1-D160/(($D$10+SUM($N$33:N160))/$D$5)),1)),IF(A161&gt;=$D$14,IF(AND(D160&gt;0,F160&gt;0),INT(K160*D160/F160),0),1000000000),MIN(IF($D$11&gt;G160,INT(($D$11-G160)/$D$5),0)-D160,MAX(B161,INT(($D$10+SUM($N$33:N160))/$D$5)-D160))))</f>
        <v/>
      </c>
      <c r="D161">
        <f>D160+C161</f>
        <v/>
      </c>
      <c r="E161">
        <f>$D$5</f>
        <v/>
      </c>
      <c r="F161">
        <f>IF(G160&gt;=$D$11,0,MIN(D161*E161,$D$11-G160))</f>
        <v/>
      </c>
      <c r="G161">
        <f>G160+F161</f>
        <v/>
      </c>
      <c r="H161">
        <f>H160+$D$6*F161</f>
        <v/>
      </c>
      <c r="I161">
        <f>MAX(I160+$D$7*F161+Q161-0.01*G161,0.01*G161)</f>
        <v/>
      </c>
      <c r="J161">
        <f>J160+$D$8*F161+K161-MAX(0,0.02*G161-I160-$D$7*F161-Q161)</f>
        <v/>
      </c>
      <c r="K161">
        <f>($D$9/12)*J160</f>
        <v/>
      </c>
      <c r="L161">
        <f>IF(G161=0,0,J161/(G161*$D$12))</f>
        <v/>
      </c>
      <c r="M161">
        <f>MIN(0.06,MAX(0.01,IF(G161=0,0,I161/G161)))</f>
        <v/>
      </c>
      <c r="N161">
        <f>INDEX($G$6:$G$30,MIN(INT((A161-1)/12)+1,25))</f>
        <v/>
      </c>
      <c r="O161">
        <f>G161*$D$12</f>
        <v/>
      </c>
      <c r="P161">
        <f>M161*G161</f>
        <v/>
      </c>
      <c r="Q161">
        <f>($D$16/12)*I160</f>
        <v/>
      </c>
    </row>
    <row r="162">
      <c r="A162" t="n">
        <v>130</v>
      </c>
      <c r="B162">
        <f>CEILING(0.0101*G161/$D$5,1)</f>
        <v/>
      </c>
      <c r="C162">
        <f>MAX(0,MIN(MAX(0,FLOOR($D$15*D161*MAX(0,1-D161/(($D$10+SUM($N$33:N161))/$D$5)),1)),IF(A162&gt;=$D$14,IF(AND(D161&gt;0,F161&gt;0),INT(K161*D161/F161),0),1000000000),MIN(IF($D$11&gt;G161,INT(($D$11-G161)/$D$5),0)-D161,MAX(B162,INT(($D$10+SUM($N$33:N161))/$D$5)-D161))))</f>
        <v/>
      </c>
      <c r="D162">
        <f>D161+C162</f>
        <v/>
      </c>
      <c r="E162">
        <f>$D$5</f>
        <v/>
      </c>
      <c r="F162">
        <f>IF(G161&gt;=$D$11,0,MIN(D162*E162,$D$11-G161))</f>
        <v/>
      </c>
      <c r="G162">
        <f>G161+F162</f>
        <v/>
      </c>
      <c r="H162">
        <f>H161+$D$6*F162</f>
        <v/>
      </c>
      <c r="I162">
        <f>MAX(I161+$D$7*F162+Q162-0.01*G162,0.01*G162)</f>
        <v/>
      </c>
      <c r="J162">
        <f>J161+$D$8*F162+K162-MAX(0,0.02*G162-I161-$D$7*F162-Q162)</f>
        <v/>
      </c>
      <c r="K162">
        <f>($D$9/12)*J161</f>
        <v/>
      </c>
      <c r="L162">
        <f>IF(G162=0,0,J162/(G162*$D$12))</f>
        <v/>
      </c>
      <c r="M162">
        <f>MIN(0.06,MAX(0.01,IF(G162=0,0,I162/G162)))</f>
        <v/>
      </c>
      <c r="N162">
        <f>INDEX($G$6:$G$30,MIN(INT((A162-1)/12)+1,25))</f>
        <v/>
      </c>
      <c r="O162">
        <f>G162*$D$12</f>
        <v/>
      </c>
      <c r="P162">
        <f>M162*G162</f>
        <v/>
      </c>
      <c r="Q162">
        <f>($D$16/12)*I161</f>
        <v/>
      </c>
    </row>
    <row r="163">
      <c r="A163" t="n">
        <v>131</v>
      </c>
      <c r="B163">
        <f>CEILING(0.0101*G162/$D$5,1)</f>
        <v/>
      </c>
      <c r="C163">
        <f>MAX(0,MIN(MAX(0,FLOOR($D$15*D162*MAX(0,1-D162/(($D$10+SUM($N$33:N162))/$D$5)),1)),IF(A163&gt;=$D$14,IF(AND(D162&gt;0,F162&gt;0),INT(K162*D162/F162),0),1000000000),MIN(IF($D$11&gt;G162,INT(($D$11-G162)/$D$5),0)-D162,MAX(B163,INT(($D$10+SUM($N$33:N162))/$D$5)-D162))))</f>
        <v/>
      </c>
      <c r="D163">
        <f>D162+C163</f>
        <v/>
      </c>
      <c r="E163">
        <f>$D$5</f>
        <v/>
      </c>
      <c r="F163">
        <f>IF(G162&gt;=$D$11,0,MIN(D163*E163,$D$11-G162))</f>
        <v/>
      </c>
      <c r="G163">
        <f>G162+F163</f>
        <v/>
      </c>
      <c r="H163">
        <f>H162+$D$6*F163</f>
        <v/>
      </c>
      <c r="I163">
        <f>MAX(I162+$D$7*F163+Q163-0.01*G163,0.01*G163)</f>
        <v/>
      </c>
      <c r="J163">
        <f>J162+$D$8*F163+K163-MAX(0,0.02*G163-I162-$D$7*F163-Q163)</f>
        <v/>
      </c>
      <c r="K163">
        <f>($D$9/12)*J162</f>
        <v/>
      </c>
      <c r="L163">
        <f>IF(G163=0,0,J163/(G163*$D$12))</f>
        <v/>
      </c>
      <c r="M163">
        <f>MIN(0.06,MAX(0.01,IF(G163=0,0,I163/G163)))</f>
        <v/>
      </c>
      <c r="N163">
        <f>INDEX($G$6:$G$30,MIN(INT((A163-1)/12)+1,25))</f>
        <v/>
      </c>
      <c r="O163">
        <f>G163*$D$12</f>
        <v/>
      </c>
      <c r="P163">
        <f>M163*G163</f>
        <v/>
      </c>
      <c r="Q163">
        <f>($D$16/12)*I162</f>
        <v/>
      </c>
    </row>
    <row r="164">
      <c r="A164" t="n">
        <v>132</v>
      </c>
      <c r="B164">
        <f>CEILING(0.0101*G163/$D$5,1)</f>
        <v/>
      </c>
      <c r="C164">
        <f>MAX(0,MIN(MAX(0,FLOOR($D$15*D163*MAX(0,1-D163/(($D$10+SUM($N$33:N163))/$D$5)),1)),IF(A164&gt;=$D$14,IF(AND(D163&gt;0,F163&gt;0),INT(K163*D163/F163),0),1000000000),MIN(IF($D$11&gt;G163,INT(($D$11-G163)/$D$5),0)-D163,MAX(B164,INT(($D$10+SUM($N$33:N163))/$D$5)-D163))))</f>
        <v/>
      </c>
      <c r="D164">
        <f>D163+C164</f>
        <v/>
      </c>
      <c r="E164">
        <f>$D$5</f>
        <v/>
      </c>
      <c r="F164">
        <f>IF(G163&gt;=$D$11,0,MIN(D164*E164,$D$11-G163))</f>
        <v/>
      </c>
      <c r="G164">
        <f>G163+F164</f>
        <v/>
      </c>
      <c r="H164">
        <f>H163+$D$6*F164</f>
        <v/>
      </c>
      <c r="I164">
        <f>MAX(I163+$D$7*F164+Q164-0.01*G164,0.01*G164)</f>
        <v/>
      </c>
      <c r="J164">
        <f>J163+$D$8*F164+K164-MAX(0,0.02*G164-I163-$D$7*F164-Q164)</f>
        <v/>
      </c>
      <c r="K164">
        <f>($D$9/12)*J163</f>
        <v/>
      </c>
      <c r="L164">
        <f>IF(G164=0,0,J164/(G164*$D$12))</f>
        <v/>
      </c>
      <c r="M164">
        <f>MIN(0.06,MAX(0.01,IF(G164=0,0,I164/G164)))</f>
        <v/>
      </c>
      <c r="N164">
        <f>INDEX($G$6:$G$30,MIN(INT((A164-1)/12)+1,25))</f>
        <v/>
      </c>
      <c r="O164">
        <f>G164*$D$12</f>
        <v/>
      </c>
      <c r="P164">
        <f>M164*G164</f>
        <v/>
      </c>
      <c r="Q164">
        <f>($D$16/12)*I163</f>
        <v/>
      </c>
    </row>
    <row r="165">
      <c r="A165" t="n">
        <v>133</v>
      </c>
      <c r="B165">
        <f>CEILING(0.0101*G164/$D$5,1)</f>
        <v/>
      </c>
      <c r="C165">
        <f>MAX(0,MIN(MAX(0,FLOOR($D$15*D164*MAX(0,1-D164/(($D$10+SUM($N$33:N164))/$D$5)),1)),IF(A165&gt;=$D$14,IF(AND(D164&gt;0,F164&gt;0),INT(K164*D164/F164),0),1000000000),MIN(IF($D$11&gt;G164,INT(($D$11-G164)/$D$5),0)-D164,MAX(B165,INT(($D$10+SUM($N$33:N164))/$D$5)-D164))))</f>
        <v/>
      </c>
      <c r="D165">
        <f>D164+C165</f>
        <v/>
      </c>
      <c r="E165">
        <f>$D$5</f>
        <v/>
      </c>
      <c r="F165">
        <f>IF(G164&gt;=$D$11,0,MIN(D165*E165,$D$11-G164))</f>
        <v/>
      </c>
      <c r="G165">
        <f>G164+F165</f>
        <v/>
      </c>
      <c r="H165">
        <f>H164+$D$6*F165</f>
        <v/>
      </c>
      <c r="I165">
        <f>MAX(I164+$D$7*F165+Q165-0.01*G165,0.01*G165)</f>
        <v/>
      </c>
      <c r="J165">
        <f>J164+$D$8*F165+K165-MAX(0,0.02*G165-I164-$D$7*F165-Q165)</f>
        <v/>
      </c>
      <c r="K165">
        <f>($D$9/12)*J164</f>
        <v/>
      </c>
      <c r="L165">
        <f>IF(G165=0,0,J165/(G165*$D$12))</f>
        <v/>
      </c>
      <c r="M165">
        <f>MIN(0.06,MAX(0.01,IF(G165=0,0,I165/G165)))</f>
        <v/>
      </c>
      <c r="N165">
        <f>INDEX($G$6:$G$30,MIN(INT((A165-1)/12)+1,25))</f>
        <v/>
      </c>
      <c r="O165">
        <f>G165*$D$12</f>
        <v/>
      </c>
      <c r="P165">
        <f>M165*G165</f>
        <v/>
      </c>
      <c r="Q165">
        <f>($D$16/12)*I164</f>
        <v/>
      </c>
    </row>
    <row r="166">
      <c r="A166" t="n">
        <v>134</v>
      </c>
      <c r="B166">
        <f>CEILING(0.0101*G165/$D$5,1)</f>
        <v/>
      </c>
      <c r="C166">
        <f>MAX(0,MIN(MAX(0,FLOOR($D$15*D165*MAX(0,1-D165/(($D$10+SUM($N$33:N165))/$D$5)),1)),IF(A166&gt;=$D$14,IF(AND(D165&gt;0,F165&gt;0),INT(K165*D165/F165),0),1000000000),MIN(IF($D$11&gt;G165,INT(($D$11-G165)/$D$5),0)-D165,MAX(B166,INT(($D$10+SUM($N$33:N165))/$D$5)-D165))))</f>
        <v/>
      </c>
      <c r="D166">
        <f>D165+C166</f>
        <v/>
      </c>
      <c r="E166">
        <f>$D$5</f>
        <v/>
      </c>
      <c r="F166">
        <f>IF(G165&gt;=$D$11,0,MIN(D166*E166,$D$11-G165))</f>
        <v/>
      </c>
      <c r="G166">
        <f>G165+F166</f>
        <v/>
      </c>
      <c r="H166">
        <f>H165+$D$6*F166</f>
        <v/>
      </c>
      <c r="I166">
        <f>MAX(I165+$D$7*F166+Q166-0.01*G166,0.01*G166)</f>
        <v/>
      </c>
      <c r="J166">
        <f>J165+$D$8*F166+K166-MAX(0,0.02*G166-I165-$D$7*F166-Q166)</f>
        <v/>
      </c>
      <c r="K166">
        <f>($D$9/12)*J165</f>
        <v/>
      </c>
      <c r="L166">
        <f>IF(G166=0,0,J166/(G166*$D$12))</f>
        <v/>
      </c>
      <c r="M166">
        <f>MIN(0.06,MAX(0.01,IF(G166=0,0,I166/G166)))</f>
        <v/>
      </c>
      <c r="N166">
        <f>INDEX($G$6:$G$30,MIN(INT((A166-1)/12)+1,25))</f>
        <v/>
      </c>
      <c r="O166">
        <f>G166*$D$12</f>
        <v/>
      </c>
      <c r="P166">
        <f>M166*G166</f>
        <v/>
      </c>
      <c r="Q166">
        <f>($D$16/12)*I165</f>
        <v/>
      </c>
    </row>
    <row r="167">
      <c r="A167" t="n">
        <v>135</v>
      </c>
      <c r="B167">
        <f>CEILING(0.0101*G166/$D$5,1)</f>
        <v/>
      </c>
      <c r="C167">
        <f>MAX(0,MIN(MAX(0,FLOOR($D$15*D166*MAX(0,1-D166/(($D$10+SUM($N$33:N166))/$D$5)),1)),IF(A167&gt;=$D$14,IF(AND(D166&gt;0,F166&gt;0),INT(K166*D166/F166),0),1000000000),MIN(IF($D$11&gt;G166,INT(($D$11-G166)/$D$5),0)-D166,MAX(B167,INT(($D$10+SUM($N$33:N166))/$D$5)-D166))))</f>
        <v/>
      </c>
      <c r="D167">
        <f>D166+C167</f>
        <v/>
      </c>
      <c r="E167">
        <f>$D$5</f>
        <v/>
      </c>
      <c r="F167">
        <f>IF(G166&gt;=$D$11,0,MIN(D167*E167,$D$11-G166))</f>
        <v/>
      </c>
      <c r="G167">
        <f>G166+F167</f>
        <v/>
      </c>
      <c r="H167">
        <f>H166+$D$6*F167</f>
        <v/>
      </c>
      <c r="I167">
        <f>MAX(I166+$D$7*F167+Q167-0.01*G167,0.01*G167)</f>
        <v/>
      </c>
      <c r="J167">
        <f>J166+$D$8*F167+K167-MAX(0,0.02*G167-I166-$D$7*F167-Q167)</f>
        <v/>
      </c>
      <c r="K167">
        <f>($D$9/12)*J166</f>
        <v/>
      </c>
      <c r="L167">
        <f>IF(G167=0,0,J167/(G167*$D$12))</f>
        <v/>
      </c>
      <c r="M167">
        <f>MIN(0.06,MAX(0.01,IF(G167=0,0,I167/G167)))</f>
        <v/>
      </c>
      <c r="N167">
        <f>INDEX($G$6:$G$30,MIN(INT((A167-1)/12)+1,25))</f>
        <v/>
      </c>
      <c r="O167">
        <f>G167*$D$12</f>
        <v/>
      </c>
      <c r="P167">
        <f>M167*G167</f>
        <v/>
      </c>
      <c r="Q167">
        <f>($D$16/12)*I166</f>
        <v/>
      </c>
    </row>
    <row r="168">
      <c r="A168" t="n">
        <v>136</v>
      </c>
      <c r="B168">
        <f>CEILING(0.0101*G167/$D$5,1)</f>
        <v/>
      </c>
      <c r="C168">
        <f>MAX(0,MIN(MAX(0,FLOOR($D$15*D167*MAX(0,1-D167/(($D$10+SUM($N$33:N167))/$D$5)),1)),IF(A168&gt;=$D$14,IF(AND(D167&gt;0,F167&gt;0),INT(K167*D167/F167),0),1000000000),MIN(IF($D$11&gt;G167,INT(($D$11-G167)/$D$5),0)-D167,MAX(B168,INT(($D$10+SUM($N$33:N167))/$D$5)-D167))))</f>
        <v/>
      </c>
      <c r="D168">
        <f>D167+C168</f>
        <v/>
      </c>
      <c r="E168">
        <f>$D$5</f>
        <v/>
      </c>
      <c r="F168">
        <f>IF(G167&gt;=$D$11,0,MIN(D168*E168,$D$11-G167))</f>
        <v/>
      </c>
      <c r="G168">
        <f>G167+F168</f>
        <v/>
      </c>
      <c r="H168">
        <f>H167+$D$6*F168</f>
        <v/>
      </c>
      <c r="I168">
        <f>MAX(I167+$D$7*F168+Q168-0.01*G168,0.01*G168)</f>
        <v/>
      </c>
      <c r="J168">
        <f>J167+$D$8*F168+K168-MAX(0,0.02*G168-I167-$D$7*F168-Q168)</f>
        <v/>
      </c>
      <c r="K168">
        <f>($D$9/12)*J167</f>
        <v/>
      </c>
      <c r="L168">
        <f>IF(G168=0,0,J168/(G168*$D$12))</f>
        <v/>
      </c>
      <c r="M168">
        <f>MIN(0.06,MAX(0.01,IF(G168=0,0,I168/G168)))</f>
        <v/>
      </c>
      <c r="N168">
        <f>INDEX($G$6:$G$30,MIN(INT((A168-1)/12)+1,25))</f>
        <v/>
      </c>
      <c r="O168">
        <f>G168*$D$12</f>
        <v/>
      </c>
      <c r="P168">
        <f>M168*G168</f>
        <v/>
      </c>
      <c r="Q168">
        <f>($D$16/12)*I167</f>
        <v/>
      </c>
    </row>
    <row r="169">
      <c r="A169" t="n">
        <v>137</v>
      </c>
      <c r="B169">
        <f>CEILING(0.0101*G168/$D$5,1)</f>
        <v/>
      </c>
      <c r="C169">
        <f>MAX(0,MIN(MAX(0,FLOOR($D$15*D168*MAX(0,1-D168/(($D$10+SUM($N$33:N168))/$D$5)),1)),IF(A169&gt;=$D$14,IF(AND(D168&gt;0,F168&gt;0),INT(K168*D168/F168),0),1000000000),MIN(IF($D$11&gt;G168,INT(($D$11-G168)/$D$5),0)-D168,MAX(B169,INT(($D$10+SUM($N$33:N168))/$D$5)-D168))))</f>
        <v/>
      </c>
      <c r="D169">
        <f>D168+C169</f>
        <v/>
      </c>
      <c r="E169">
        <f>$D$5</f>
        <v/>
      </c>
      <c r="F169">
        <f>IF(G168&gt;=$D$11,0,MIN(D169*E169,$D$11-G168))</f>
        <v/>
      </c>
      <c r="G169">
        <f>G168+F169</f>
        <v/>
      </c>
      <c r="H169">
        <f>H168+$D$6*F169</f>
        <v/>
      </c>
      <c r="I169">
        <f>MAX(I168+$D$7*F169+Q169-0.01*G169,0.01*G169)</f>
        <v/>
      </c>
      <c r="J169">
        <f>J168+$D$8*F169+K169-MAX(0,0.02*G169-I168-$D$7*F169-Q169)</f>
        <v/>
      </c>
      <c r="K169">
        <f>($D$9/12)*J168</f>
        <v/>
      </c>
      <c r="L169">
        <f>IF(G169=0,0,J169/(G169*$D$12))</f>
        <v/>
      </c>
      <c r="M169">
        <f>MIN(0.06,MAX(0.01,IF(G169=0,0,I169/G169)))</f>
        <v/>
      </c>
      <c r="N169">
        <f>INDEX($G$6:$G$30,MIN(INT((A169-1)/12)+1,25))</f>
        <v/>
      </c>
      <c r="O169">
        <f>G169*$D$12</f>
        <v/>
      </c>
      <c r="P169">
        <f>M169*G169</f>
        <v/>
      </c>
      <c r="Q169">
        <f>($D$16/12)*I168</f>
        <v/>
      </c>
    </row>
    <row r="170">
      <c r="A170" t="n">
        <v>138</v>
      </c>
      <c r="B170">
        <f>CEILING(0.0101*G169/$D$5,1)</f>
        <v/>
      </c>
      <c r="C170">
        <f>MAX(0,MIN(MAX(0,FLOOR($D$15*D169*MAX(0,1-D169/(($D$10+SUM($N$33:N169))/$D$5)),1)),IF(A170&gt;=$D$14,IF(AND(D169&gt;0,F169&gt;0),INT(K169*D169/F169),0),1000000000),MIN(IF($D$11&gt;G169,INT(($D$11-G169)/$D$5),0)-D169,MAX(B170,INT(($D$10+SUM($N$33:N169))/$D$5)-D169))))</f>
        <v/>
      </c>
      <c r="D170">
        <f>D169+C170</f>
        <v/>
      </c>
      <c r="E170">
        <f>$D$5</f>
        <v/>
      </c>
      <c r="F170">
        <f>IF(G169&gt;=$D$11,0,MIN(D170*E170,$D$11-G169))</f>
        <v/>
      </c>
      <c r="G170">
        <f>G169+F170</f>
        <v/>
      </c>
      <c r="H170">
        <f>H169+$D$6*F170</f>
        <v/>
      </c>
      <c r="I170">
        <f>MAX(I169+$D$7*F170+Q170-0.01*G170,0.01*G170)</f>
        <v/>
      </c>
      <c r="J170">
        <f>J169+$D$8*F170+K170-MAX(0,0.02*G170-I169-$D$7*F170-Q170)</f>
        <v/>
      </c>
      <c r="K170">
        <f>($D$9/12)*J169</f>
        <v/>
      </c>
      <c r="L170">
        <f>IF(G170=0,0,J170/(G170*$D$12))</f>
        <v/>
      </c>
      <c r="M170">
        <f>MIN(0.06,MAX(0.01,IF(G170=0,0,I170/G170)))</f>
        <v/>
      </c>
      <c r="N170">
        <f>INDEX($G$6:$G$30,MIN(INT((A170-1)/12)+1,25))</f>
        <v/>
      </c>
      <c r="O170">
        <f>G170*$D$12</f>
        <v/>
      </c>
      <c r="P170">
        <f>M170*G170</f>
        <v/>
      </c>
      <c r="Q170">
        <f>($D$16/12)*I169</f>
        <v/>
      </c>
    </row>
    <row r="171">
      <c r="A171" t="n">
        <v>139</v>
      </c>
      <c r="B171">
        <f>CEILING(0.0101*G170/$D$5,1)</f>
        <v/>
      </c>
      <c r="C171">
        <f>MAX(0,MIN(MAX(0,FLOOR($D$15*D170*MAX(0,1-D170/(($D$10+SUM($N$33:N170))/$D$5)),1)),IF(A171&gt;=$D$14,IF(AND(D170&gt;0,F170&gt;0),INT(K170*D170/F170),0),1000000000),MIN(IF($D$11&gt;G170,INT(($D$11-G170)/$D$5),0)-D170,MAX(B171,INT(($D$10+SUM($N$33:N170))/$D$5)-D170))))</f>
        <v/>
      </c>
      <c r="D171">
        <f>D170+C171</f>
        <v/>
      </c>
      <c r="E171">
        <f>$D$5</f>
        <v/>
      </c>
      <c r="F171">
        <f>IF(G170&gt;=$D$11,0,MIN(D171*E171,$D$11-G170))</f>
        <v/>
      </c>
      <c r="G171">
        <f>G170+F171</f>
        <v/>
      </c>
      <c r="H171">
        <f>H170+$D$6*F171</f>
        <v/>
      </c>
      <c r="I171">
        <f>MAX(I170+$D$7*F171+Q171-0.01*G171,0.01*G171)</f>
        <v/>
      </c>
      <c r="J171">
        <f>J170+$D$8*F171+K171-MAX(0,0.02*G171-I170-$D$7*F171-Q171)</f>
        <v/>
      </c>
      <c r="K171">
        <f>($D$9/12)*J170</f>
        <v/>
      </c>
      <c r="L171">
        <f>IF(G171=0,0,J171/(G171*$D$12))</f>
        <v/>
      </c>
      <c r="M171">
        <f>MIN(0.06,MAX(0.01,IF(G171=0,0,I171/G171)))</f>
        <v/>
      </c>
      <c r="N171">
        <f>INDEX($G$6:$G$30,MIN(INT((A171-1)/12)+1,25))</f>
        <v/>
      </c>
      <c r="O171">
        <f>G171*$D$12</f>
        <v/>
      </c>
      <c r="P171">
        <f>M171*G171</f>
        <v/>
      </c>
      <c r="Q171">
        <f>($D$16/12)*I170</f>
        <v/>
      </c>
    </row>
    <row r="172">
      <c r="A172" t="n">
        <v>140</v>
      </c>
      <c r="B172">
        <f>CEILING(0.0101*G171/$D$5,1)</f>
        <v/>
      </c>
      <c r="C172">
        <f>MAX(0,MIN(MAX(0,FLOOR($D$15*D171*MAX(0,1-D171/(($D$10+SUM($N$33:N171))/$D$5)),1)),IF(A172&gt;=$D$14,IF(AND(D171&gt;0,F171&gt;0),INT(K171*D171/F171),0),1000000000),MIN(IF($D$11&gt;G171,INT(($D$11-G171)/$D$5),0)-D171,MAX(B172,INT(($D$10+SUM($N$33:N171))/$D$5)-D171))))</f>
        <v/>
      </c>
      <c r="D172">
        <f>D171+C172</f>
        <v/>
      </c>
      <c r="E172">
        <f>$D$5</f>
        <v/>
      </c>
      <c r="F172">
        <f>IF(G171&gt;=$D$11,0,MIN(D172*E172,$D$11-G171))</f>
        <v/>
      </c>
      <c r="G172">
        <f>G171+F172</f>
        <v/>
      </c>
      <c r="H172">
        <f>H171+$D$6*F172</f>
        <v/>
      </c>
      <c r="I172">
        <f>MAX(I171+$D$7*F172+Q172-0.01*G172,0.01*G172)</f>
        <v/>
      </c>
      <c r="J172">
        <f>J171+$D$8*F172+K172-MAX(0,0.02*G172-I171-$D$7*F172-Q172)</f>
        <v/>
      </c>
      <c r="K172">
        <f>($D$9/12)*J171</f>
        <v/>
      </c>
      <c r="L172">
        <f>IF(G172=0,0,J172/(G172*$D$12))</f>
        <v/>
      </c>
      <c r="M172">
        <f>MIN(0.06,MAX(0.01,IF(G172=0,0,I172/G172)))</f>
        <v/>
      </c>
      <c r="N172">
        <f>INDEX($G$6:$G$30,MIN(INT((A172-1)/12)+1,25))</f>
        <v/>
      </c>
      <c r="O172">
        <f>G172*$D$12</f>
        <v/>
      </c>
      <c r="P172">
        <f>M172*G172</f>
        <v/>
      </c>
      <c r="Q172">
        <f>($D$16/12)*I171</f>
        <v/>
      </c>
    </row>
    <row r="173">
      <c r="A173" t="n">
        <v>141</v>
      </c>
      <c r="B173">
        <f>CEILING(0.0101*G172/$D$5,1)</f>
        <v/>
      </c>
      <c r="C173">
        <f>MAX(0,MIN(MAX(0,FLOOR($D$15*D172*MAX(0,1-D172/(($D$10+SUM($N$33:N172))/$D$5)),1)),IF(A173&gt;=$D$14,IF(AND(D172&gt;0,F172&gt;0),INT(K172*D172/F172),0),1000000000),MIN(IF($D$11&gt;G172,INT(($D$11-G172)/$D$5),0)-D172,MAX(B173,INT(($D$10+SUM($N$33:N172))/$D$5)-D172))))</f>
        <v/>
      </c>
      <c r="D173">
        <f>D172+C173</f>
        <v/>
      </c>
      <c r="E173">
        <f>$D$5</f>
        <v/>
      </c>
      <c r="F173">
        <f>IF(G172&gt;=$D$11,0,MIN(D173*E173,$D$11-G172))</f>
        <v/>
      </c>
      <c r="G173">
        <f>G172+F173</f>
        <v/>
      </c>
      <c r="H173">
        <f>H172+$D$6*F173</f>
        <v/>
      </c>
      <c r="I173">
        <f>MAX(I172+$D$7*F173+Q173-0.01*G173,0.01*G173)</f>
        <v/>
      </c>
      <c r="J173">
        <f>J172+$D$8*F173+K173-MAX(0,0.02*G173-I172-$D$7*F173-Q173)</f>
        <v/>
      </c>
      <c r="K173">
        <f>($D$9/12)*J172</f>
        <v/>
      </c>
      <c r="L173">
        <f>IF(G173=0,0,J173/(G173*$D$12))</f>
        <v/>
      </c>
      <c r="M173">
        <f>MIN(0.06,MAX(0.01,IF(G173=0,0,I173/G173)))</f>
        <v/>
      </c>
      <c r="N173">
        <f>INDEX($G$6:$G$30,MIN(INT((A173-1)/12)+1,25))</f>
        <v/>
      </c>
      <c r="O173">
        <f>G173*$D$12</f>
        <v/>
      </c>
      <c r="P173">
        <f>M173*G173</f>
        <v/>
      </c>
      <c r="Q173">
        <f>($D$16/12)*I172</f>
        <v/>
      </c>
    </row>
    <row r="174">
      <c r="A174" t="n">
        <v>142</v>
      </c>
      <c r="B174">
        <f>CEILING(0.0101*G173/$D$5,1)</f>
        <v/>
      </c>
      <c r="C174">
        <f>MAX(0,MIN(MAX(0,FLOOR($D$15*D173*MAX(0,1-D173/(($D$10+SUM($N$33:N173))/$D$5)),1)),IF(A174&gt;=$D$14,IF(AND(D173&gt;0,F173&gt;0),INT(K173*D173/F173),0),1000000000),MIN(IF($D$11&gt;G173,INT(($D$11-G173)/$D$5),0)-D173,MAX(B174,INT(($D$10+SUM($N$33:N173))/$D$5)-D173))))</f>
        <v/>
      </c>
      <c r="D174">
        <f>D173+C174</f>
        <v/>
      </c>
      <c r="E174">
        <f>$D$5</f>
        <v/>
      </c>
      <c r="F174">
        <f>IF(G173&gt;=$D$11,0,MIN(D174*E174,$D$11-G173))</f>
        <v/>
      </c>
      <c r="G174">
        <f>G173+F174</f>
        <v/>
      </c>
      <c r="H174">
        <f>H173+$D$6*F174</f>
        <v/>
      </c>
      <c r="I174">
        <f>MAX(I173+$D$7*F174+Q174-0.01*G174,0.01*G174)</f>
        <v/>
      </c>
      <c r="J174">
        <f>J173+$D$8*F174+K174-MAX(0,0.02*G174-I173-$D$7*F174-Q174)</f>
        <v/>
      </c>
      <c r="K174">
        <f>($D$9/12)*J173</f>
        <v/>
      </c>
      <c r="L174">
        <f>IF(G174=0,0,J174/(G174*$D$12))</f>
        <v/>
      </c>
      <c r="M174">
        <f>MIN(0.06,MAX(0.01,IF(G174=0,0,I174/G174)))</f>
        <v/>
      </c>
      <c r="N174">
        <f>INDEX($G$6:$G$30,MIN(INT((A174-1)/12)+1,25))</f>
        <v/>
      </c>
      <c r="O174">
        <f>G174*$D$12</f>
        <v/>
      </c>
      <c r="P174">
        <f>M174*G174</f>
        <v/>
      </c>
      <c r="Q174">
        <f>($D$16/12)*I173</f>
        <v/>
      </c>
    </row>
    <row r="175">
      <c r="A175" t="n">
        <v>143</v>
      </c>
      <c r="B175">
        <f>CEILING(0.0101*G174/$D$5,1)</f>
        <v/>
      </c>
      <c r="C175">
        <f>MAX(0,MIN(MAX(0,FLOOR($D$15*D174*MAX(0,1-D174/(($D$10+SUM($N$33:N174))/$D$5)),1)),IF(A175&gt;=$D$14,IF(AND(D174&gt;0,F174&gt;0),INT(K174*D174/F174),0),1000000000),MIN(IF($D$11&gt;G174,INT(($D$11-G174)/$D$5),0)-D174,MAX(B175,INT(($D$10+SUM($N$33:N174))/$D$5)-D174))))</f>
        <v/>
      </c>
      <c r="D175">
        <f>D174+C175</f>
        <v/>
      </c>
      <c r="E175">
        <f>$D$5</f>
        <v/>
      </c>
      <c r="F175">
        <f>IF(G174&gt;=$D$11,0,MIN(D175*E175,$D$11-G174))</f>
        <v/>
      </c>
      <c r="G175">
        <f>G174+F175</f>
        <v/>
      </c>
      <c r="H175">
        <f>H174+$D$6*F175</f>
        <v/>
      </c>
      <c r="I175">
        <f>MAX(I174+$D$7*F175+Q175-0.01*G175,0.01*G175)</f>
        <v/>
      </c>
      <c r="J175">
        <f>J174+$D$8*F175+K175-MAX(0,0.02*G175-I174-$D$7*F175-Q175)</f>
        <v/>
      </c>
      <c r="K175">
        <f>($D$9/12)*J174</f>
        <v/>
      </c>
      <c r="L175">
        <f>IF(G175=0,0,J175/(G175*$D$12))</f>
        <v/>
      </c>
      <c r="M175">
        <f>MIN(0.06,MAX(0.01,IF(G175=0,0,I175/G175)))</f>
        <v/>
      </c>
      <c r="N175">
        <f>INDEX($G$6:$G$30,MIN(INT((A175-1)/12)+1,25))</f>
        <v/>
      </c>
      <c r="O175">
        <f>G175*$D$12</f>
        <v/>
      </c>
      <c r="P175">
        <f>M175*G175</f>
        <v/>
      </c>
      <c r="Q175">
        <f>($D$16/12)*I174</f>
        <v/>
      </c>
    </row>
    <row r="176">
      <c r="A176" t="n">
        <v>144</v>
      </c>
      <c r="B176">
        <f>CEILING(0.0101*G175/$D$5,1)</f>
        <v/>
      </c>
      <c r="C176">
        <f>MAX(0,MIN(MAX(0,FLOOR($D$15*D175*MAX(0,1-D175/(($D$10+SUM($N$33:N175))/$D$5)),1)),IF(A176&gt;=$D$14,IF(AND(D175&gt;0,F175&gt;0),INT(K175*D175/F175),0),1000000000),MIN(IF($D$11&gt;G175,INT(($D$11-G175)/$D$5),0)-D175,MAX(B176,INT(($D$10+SUM($N$33:N175))/$D$5)-D175))))</f>
        <v/>
      </c>
      <c r="D176">
        <f>D175+C176</f>
        <v/>
      </c>
      <c r="E176">
        <f>$D$5</f>
        <v/>
      </c>
      <c r="F176">
        <f>IF(G175&gt;=$D$11,0,MIN(D176*E176,$D$11-G175))</f>
        <v/>
      </c>
      <c r="G176">
        <f>G175+F176</f>
        <v/>
      </c>
      <c r="H176">
        <f>H175+$D$6*F176</f>
        <v/>
      </c>
      <c r="I176">
        <f>MAX(I175+$D$7*F176+Q176-0.01*G176,0.01*G176)</f>
        <v/>
      </c>
      <c r="J176">
        <f>J175+$D$8*F176+K176-MAX(0,0.02*G176-I175-$D$7*F176-Q176)</f>
        <v/>
      </c>
      <c r="K176">
        <f>($D$9/12)*J175</f>
        <v/>
      </c>
      <c r="L176">
        <f>IF(G176=0,0,J176/(G176*$D$12))</f>
        <v/>
      </c>
      <c r="M176">
        <f>MIN(0.06,MAX(0.01,IF(G176=0,0,I176/G176)))</f>
        <v/>
      </c>
      <c r="N176">
        <f>INDEX($G$6:$G$30,MIN(INT((A176-1)/12)+1,25))</f>
        <v/>
      </c>
      <c r="O176">
        <f>G176*$D$12</f>
        <v/>
      </c>
      <c r="P176">
        <f>M176*G176</f>
        <v/>
      </c>
      <c r="Q176">
        <f>($D$16/12)*I175</f>
        <v/>
      </c>
    </row>
    <row r="177">
      <c r="A177" t="n">
        <v>145</v>
      </c>
      <c r="B177">
        <f>CEILING(0.0101*G176/$D$5,1)</f>
        <v/>
      </c>
      <c r="C177">
        <f>MAX(0,MIN(MAX(0,FLOOR($D$15*D176*MAX(0,1-D176/(($D$10+SUM($N$33:N176))/$D$5)),1)),IF(A177&gt;=$D$14,IF(AND(D176&gt;0,F176&gt;0),INT(K176*D176/F176),0),1000000000),MIN(IF($D$11&gt;G176,INT(($D$11-G176)/$D$5),0)-D176,MAX(B177,INT(($D$10+SUM($N$33:N176))/$D$5)-D176))))</f>
        <v/>
      </c>
      <c r="D177">
        <f>D176+C177</f>
        <v/>
      </c>
      <c r="E177">
        <f>$D$5</f>
        <v/>
      </c>
      <c r="F177">
        <f>IF(G176&gt;=$D$11,0,MIN(D177*E177,$D$11-G176))</f>
        <v/>
      </c>
      <c r="G177">
        <f>G176+F177</f>
        <v/>
      </c>
      <c r="H177">
        <f>H176+$D$6*F177</f>
        <v/>
      </c>
      <c r="I177">
        <f>MAX(I176+$D$7*F177+Q177-0.01*G177,0.01*G177)</f>
        <v/>
      </c>
      <c r="J177">
        <f>J176+$D$8*F177+K177-MAX(0,0.02*G177-I176-$D$7*F177-Q177)</f>
        <v/>
      </c>
      <c r="K177">
        <f>($D$9/12)*J176</f>
        <v/>
      </c>
      <c r="L177">
        <f>IF(G177=0,0,J177/(G177*$D$12))</f>
        <v/>
      </c>
      <c r="M177">
        <f>MIN(0.06,MAX(0.01,IF(G177=0,0,I177/G177)))</f>
        <v/>
      </c>
      <c r="N177">
        <f>INDEX($G$6:$G$30,MIN(INT((A177-1)/12)+1,25))</f>
        <v/>
      </c>
      <c r="O177">
        <f>G177*$D$12</f>
        <v/>
      </c>
      <c r="P177">
        <f>M177*G177</f>
        <v/>
      </c>
      <c r="Q177">
        <f>($D$16/12)*I176</f>
        <v/>
      </c>
    </row>
    <row r="178">
      <c r="A178" t="n">
        <v>146</v>
      </c>
      <c r="B178">
        <f>CEILING(0.0101*G177/$D$5,1)</f>
        <v/>
      </c>
      <c r="C178">
        <f>MAX(0,MIN(MAX(0,FLOOR($D$15*D177*MAX(0,1-D177/(($D$10+SUM($N$33:N177))/$D$5)),1)),IF(A178&gt;=$D$14,IF(AND(D177&gt;0,F177&gt;0),INT(K177*D177/F177),0),1000000000),MIN(IF($D$11&gt;G177,INT(($D$11-G177)/$D$5),0)-D177,MAX(B178,INT(($D$10+SUM($N$33:N177))/$D$5)-D177))))</f>
        <v/>
      </c>
      <c r="D178">
        <f>D177+C178</f>
        <v/>
      </c>
      <c r="E178">
        <f>$D$5</f>
        <v/>
      </c>
      <c r="F178">
        <f>IF(G177&gt;=$D$11,0,MIN(D178*E178,$D$11-G177))</f>
        <v/>
      </c>
      <c r="G178">
        <f>G177+F178</f>
        <v/>
      </c>
      <c r="H178">
        <f>H177+$D$6*F178</f>
        <v/>
      </c>
      <c r="I178">
        <f>MAX(I177+$D$7*F178+Q178-0.01*G178,0.01*G178)</f>
        <v/>
      </c>
      <c r="J178">
        <f>J177+$D$8*F178+K178-MAX(0,0.02*G178-I177-$D$7*F178-Q178)</f>
        <v/>
      </c>
      <c r="K178">
        <f>($D$9/12)*J177</f>
        <v/>
      </c>
      <c r="L178">
        <f>IF(G178=0,0,J178/(G178*$D$12))</f>
        <v/>
      </c>
      <c r="M178">
        <f>MIN(0.06,MAX(0.01,IF(G178=0,0,I178/G178)))</f>
        <v/>
      </c>
      <c r="N178">
        <f>INDEX($G$6:$G$30,MIN(INT((A178-1)/12)+1,25))</f>
        <v/>
      </c>
      <c r="O178">
        <f>G178*$D$12</f>
        <v/>
      </c>
      <c r="P178">
        <f>M178*G178</f>
        <v/>
      </c>
      <c r="Q178">
        <f>($D$16/12)*I177</f>
        <v/>
      </c>
    </row>
    <row r="179">
      <c r="A179" t="n">
        <v>147</v>
      </c>
      <c r="B179">
        <f>CEILING(0.0101*G178/$D$5,1)</f>
        <v/>
      </c>
      <c r="C179">
        <f>MAX(0,MIN(MAX(0,FLOOR($D$15*D178*MAX(0,1-D178/(($D$10+SUM($N$33:N178))/$D$5)),1)),IF(A179&gt;=$D$14,IF(AND(D178&gt;0,F178&gt;0),INT(K178*D178/F178),0),1000000000),MIN(IF($D$11&gt;G178,INT(($D$11-G178)/$D$5),0)-D178,MAX(B179,INT(($D$10+SUM($N$33:N178))/$D$5)-D178))))</f>
        <v/>
      </c>
      <c r="D179">
        <f>D178+C179</f>
        <v/>
      </c>
      <c r="E179">
        <f>$D$5</f>
        <v/>
      </c>
      <c r="F179">
        <f>IF(G178&gt;=$D$11,0,MIN(D179*E179,$D$11-G178))</f>
        <v/>
      </c>
      <c r="G179">
        <f>G178+F179</f>
        <v/>
      </c>
      <c r="H179">
        <f>H178+$D$6*F179</f>
        <v/>
      </c>
      <c r="I179">
        <f>MAX(I178+$D$7*F179+Q179-0.01*G179,0.01*G179)</f>
        <v/>
      </c>
      <c r="J179">
        <f>J178+$D$8*F179+K179-MAX(0,0.02*G179-I178-$D$7*F179-Q179)</f>
        <v/>
      </c>
      <c r="K179">
        <f>($D$9/12)*J178</f>
        <v/>
      </c>
      <c r="L179">
        <f>IF(G179=0,0,J179/(G179*$D$12))</f>
        <v/>
      </c>
      <c r="M179">
        <f>MIN(0.06,MAX(0.01,IF(G179=0,0,I179/G179)))</f>
        <v/>
      </c>
      <c r="N179">
        <f>INDEX($G$6:$G$30,MIN(INT((A179-1)/12)+1,25))</f>
        <v/>
      </c>
      <c r="O179">
        <f>G179*$D$12</f>
        <v/>
      </c>
      <c r="P179">
        <f>M179*G179</f>
        <v/>
      </c>
      <c r="Q179">
        <f>($D$16/12)*I178</f>
        <v/>
      </c>
    </row>
    <row r="180">
      <c r="A180" t="n">
        <v>148</v>
      </c>
      <c r="B180">
        <f>CEILING(0.0101*G179/$D$5,1)</f>
        <v/>
      </c>
      <c r="C180">
        <f>MAX(0,MIN(MAX(0,FLOOR($D$15*D179*MAX(0,1-D179/(($D$10+SUM($N$33:N179))/$D$5)),1)),IF(A180&gt;=$D$14,IF(AND(D179&gt;0,F179&gt;0),INT(K179*D179/F179),0),1000000000),MIN(IF($D$11&gt;G179,INT(($D$11-G179)/$D$5),0)-D179,MAX(B180,INT(($D$10+SUM($N$33:N179))/$D$5)-D179))))</f>
        <v/>
      </c>
      <c r="D180">
        <f>D179+C180</f>
        <v/>
      </c>
      <c r="E180">
        <f>$D$5</f>
        <v/>
      </c>
      <c r="F180">
        <f>IF(G179&gt;=$D$11,0,MIN(D180*E180,$D$11-G179))</f>
        <v/>
      </c>
      <c r="G180">
        <f>G179+F180</f>
        <v/>
      </c>
      <c r="H180">
        <f>H179+$D$6*F180</f>
        <v/>
      </c>
      <c r="I180">
        <f>MAX(I179+$D$7*F180+Q180-0.01*G180,0.01*G180)</f>
        <v/>
      </c>
      <c r="J180">
        <f>J179+$D$8*F180+K180-MAX(0,0.02*G180-I179-$D$7*F180-Q180)</f>
        <v/>
      </c>
      <c r="K180">
        <f>($D$9/12)*J179</f>
        <v/>
      </c>
      <c r="L180">
        <f>IF(G180=0,0,J180/(G180*$D$12))</f>
        <v/>
      </c>
      <c r="M180">
        <f>MIN(0.06,MAX(0.01,IF(G180=0,0,I180/G180)))</f>
        <v/>
      </c>
      <c r="N180">
        <f>INDEX($G$6:$G$30,MIN(INT((A180-1)/12)+1,25))</f>
        <v/>
      </c>
      <c r="O180">
        <f>G180*$D$12</f>
        <v/>
      </c>
      <c r="P180">
        <f>M180*G180</f>
        <v/>
      </c>
      <c r="Q180">
        <f>($D$16/12)*I179</f>
        <v/>
      </c>
    </row>
    <row r="181">
      <c r="A181" t="n">
        <v>149</v>
      </c>
      <c r="B181">
        <f>CEILING(0.0101*G180/$D$5,1)</f>
        <v/>
      </c>
      <c r="C181">
        <f>MAX(0,MIN(MAX(0,FLOOR($D$15*D180*MAX(0,1-D180/(($D$10+SUM($N$33:N180))/$D$5)),1)),IF(A181&gt;=$D$14,IF(AND(D180&gt;0,F180&gt;0),INT(K180*D180/F180),0),1000000000),MIN(IF($D$11&gt;G180,INT(($D$11-G180)/$D$5),0)-D180,MAX(B181,INT(($D$10+SUM($N$33:N180))/$D$5)-D180))))</f>
        <v/>
      </c>
      <c r="D181">
        <f>D180+C181</f>
        <v/>
      </c>
      <c r="E181">
        <f>$D$5</f>
        <v/>
      </c>
      <c r="F181">
        <f>IF(G180&gt;=$D$11,0,MIN(D181*E181,$D$11-G180))</f>
        <v/>
      </c>
      <c r="G181">
        <f>G180+F181</f>
        <v/>
      </c>
      <c r="H181">
        <f>H180+$D$6*F181</f>
        <v/>
      </c>
      <c r="I181">
        <f>MAX(I180+$D$7*F181+Q181-0.01*G181,0.01*G181)</f>
        <v/>
      </c>
      <c r="J181">
        <f>J180+$D$8*F181+K181-MAX(0,0.02*G181-I180-$D$7*F181-Q181)</f>
        <v/>
      </c>
      <c r="K181">
        <f>($D$9/12)*J180</f>
        <v/>
      </c>
      <c r="L181">
        <f>IF(G181=0,0,J181/(G181*$D$12))</f>
        <v/>
      </c>
      <c r="M181">
        <f>MIN(0.06,MAX(0.01,IF(G181=0,0,I181/G181)))</f>
        <v/>
      </c>
      <c r="N181">
        <f>INDEX($G$6:$G$30,MIN(INT((A181-1)/12)+1,25))</f>
        <v/>
      </c>
      <c r="O181">
        <f>G181*$D$12</f>
        <v/>
      </c>
      <c r="P181">
        <f>M181*G181</f>
        <v/>
      </c>
      <c r="Q181">
        <f>($D$16/12)*I180</f>
        <v/>
      </c>
    </row>
    <row r="182">
      <c r="A182" t="n">
        <v>150</v>
      </c>
      <c r="B182">
        <f>CEILING(0.0101*G181/$D$5,1)</f>
        <v/>
      </c>
      <c r="C182">
        <f>MAX(0,MIN(MAX(0,FLOOR($D$15*D181*MAX(0,1-D181/(($D$10+SUM($N$33:N181))/$D$5)),1)),IF(A182&gt;=$D$14,IF(AND(D181&gt;0,F181&gt;0),INT(K181*D181/F181),0),1000000000),MIN(IF($D$11&gt;G181,INT(($D$11-G181)/$D$5),0)-D181,MAX(B182,INT(($D$10+SUM($N$33:N181))/$D$5)-D181))))</f>
        <v/>
      </c>
      <c r="D182">
        <f>D181+C182</f>
        <v/>
      </c>
      <c r="E182">
        <f>$D$5</f>
        <v/>
      </c>
      <c r="F182">
        <f>IF(G181&gt;=$D$11,0,MIN(D182*E182,$D$11-G181))</f>
        <v/>
      </c>
      <c r="G182">
        <f>G181+F182</f>
        <v/>
      </c>
      <c r="H182">
        <f>H181+$D$6*F182</f>
        <v/>
      </c>
      <c r="I182">
        <f>MAX(I181+$D$7*F182+Q182-0.01*G182,0.01*G182)</f>
        <v/>
      </c>
      <c r="J182">
        <f>J181+$D$8*F182+K182-MAX(0,0.02*G182-I181-$D$7*F182-Q182)</f>
        <v/>
      </c>
      <c r="K182">
        <f>($D$9/12)*J181</f>
        <v/>
      </c>
      <c r="L182">
        <f>IF(G182=0,0,J182/(G182*$D$12))</f>
        <v/>
      </c>
      <c r="M182">
        <f>MIN(0.06,MAX(0.01,IF(G182=0,0,I182/G182)))</f>
        <v/>
      </c>
      <c r="N182">
        <f>INDEX($G$6:$G$30,MIN(INT((A182-1)/12)+1,25))</f>
        <v/>
      </c>
      <c r="O182">
        <f>G182*$D$12</f>
        <v/>
      </c>
      <c r="P182">
        <f>M182*G182</f>
        <v/>
      </c>
      <c r="Q182">
        <f>($D$16/12)*I181</f>
        <v/>
      </c>
    </row>
    <row r="183">
      <c r="A183" t="n">
        <v>151</v>
      </c>
      <c r="B183">
        <f>CEILING(0.0101*G182/$D$5,1)</f>
        <v/>
      </c>
      <c r="C183">
        <f>MAX(0,MIN(MAX(0,FLOOR($D$15*D182*MAX(0,1-D182/(($D$10+SUM($N$33:N182))/$D$5)),1)),IF(A183&gt;=$D$14,IF(AND(D182&gt;0,F182&gt;0),INT(K182*D182/F182),0),1000000000),MIN(IF($D$11&gt;G182,INT(($D$11-G182)/$D$5),0)-D182,MAX(B183,INT(($D$10+SUM($N$33:N182))/$D$5)-D182))))</f>
        <v/>
      </c>
      <c r="D183">
        <f>D182+C183</f>
        <v/>
      </c>
      <c r="E183">
        <f>$D$5</f>
        <v/>
      </c>
      <c r="F183">
        <f>IF(G182&gt;=$D$11,0,MIN(D183*E183,$D$11-G182))</f>
        <v/>
      </c>
      <c r="G183">
        <f>G182+F183</f>
        <v/>
      </c>
      <c r="H183">
        <f>H182+$D$6*F183</f>
        <v/>
      </c>
      <c r="I183">
        <f>MAX(I182+$D$7*F183+Q183-0.01*G183,0.01*G183)</f>
        <v/>
      </c>
      <c r="J183">
        <f>J182+$D$8*F183+K183-MAX(0,0.02*G183-I182-$D$7*F183-Q183)</f>
        <v/>
      </c>
      <c r="K183">
        <f>($D$9/12)*J182</f>
        <v/>
      </c>
      <c r="L183">
        <f>IF(G183=0,0,J183/(G183*$D$12))</f>
        <v/>
      </c>
      <c r="M183">
        <f>MIN(0.06,MAX(0.01,IF(G183=0,0,I183/G183)))</f>
        <v/>
      </c>
      <c r="N183">
        <f>INDEX($G$6:$G$30,MIN(INT((A183-1)/12)+1,25))</f>
        <v/>
      </c>
      <c r="O183">
        <f>G183*$D$12</f>
        <v/>
      </c>
      <c r="P183">
        <f>M183*G183</f>
        <v/>
      </c>
      <c r="Q183">
        <f>($D$16/12)*I182</f>
        <v/>
      </c>
    </row>
    <row r="184">
      <c r="A184" t="n">
        <v>152</v>
      </c>
      <c r="B184">
        <f>CEILING(0.0101*G183/$D$5,1)</f>
        <v/>
      </c>
      <c r="C184">
        <f>MAX(0,MIN(MAX(0,FLOOR($D$15*D183*MAX(0,1-D183/(($D$10+SUM($N$33:N183))/$D$5)),1)),IF(A184&gt;=$D$14,IF(AND(D183&gt;0,F183&gt;0),INT(K183*D183/F183),0),1000000000),MIN(IF($D$11&gt;G183,INT(($D$11-G183)/$D$5),0)-D183,MAX(B184,INT(($D$10+SUM($N$33:N183))/$D$5)-D183))))</f>
        <v/>
      </c>
      <c r="D184">
        <f>D183+C184</f>
        <v/>
      </c>
      <c r="E184">
        <f>$D$5</f>
        <v/>
      </c>
      <c r="F184">
        <f>IF(G183&gt;=$D$11,0,MIN(D184*E184,$D$11-G183))</f>
        <v/>
      </c>
      <c r="G184">
        <f>G183+F184</f>
        <v/>
      </c>
      <c r="H184">
        <f>H183+$D$6*F184</f>
        <v/>
      </c>
      <c r="I184">
        <f>MAX(I183+$D$7*F184+Q184-0.01*G184,0.01*G184)</f>
        <v/>
      </c>
      <c r="J184">
        <f>J183+$D$8*F184+K184-MAX(0,0.02*G184-I183-$D$7*F184-Q184)</f>
        <v/>
      </c>
      <c r="K184">
        <f>($D$9/12)*J183</f>
        <v/>
      </c>
      <c r="L184">
        <f>IF(G184=0,0,J184/(G184*$D$12))</f>
        <v/>
      </c>
      <c r="M184">
        <f>MIN(0.06,MAX(0.01,IF(G184=0,0,I184/G184)))</f>
        <v/>
      </c>
      <c r="N184">
        <f>INDEX($G$6:$G$30,MIN(INT((A184-1)/12)+1,25))</f>
        <v/>
      </c>
      <c r="O184">
        <f>G184*$D$12</f>
        <v/>
      </c>
      <c r="P184">
        <f>M184*G184</f>
        <v/>
      </c>
      <c r="Q184">
        <f>($D$16/12)*I183</f>
        <v/>
      </c>
    </row>
    <row r="185">
      <c r="A185" t="n">
        <v>153</v>
      </c>
      <c r="B185">
        <f>CEILING(0.0101*G184/$D$5,1)</f>
        <v/>
      </c>
      <c r="C185">
        <f>MAX(0,MIN(MAX(0,FLOOR($D$15*D184*MAX(0,1-D184/(($D$10+SUM($N$33:N184))/$D$5)),1)),IF(A185&gt;=$D$14,IF(AND(D184&gt;0,F184&gt;0),INT(K184*D184/F184),0),1000000000),MIN(IF($D$11&gt;G184,INT(($D$11-G184)/$D$5),0)-D184,MAX(B185,INT(($D$10+SUM($N$33:N184))/$D$5)-D184))))</f>
        <v/>
      </c>
      <c r="D185">
        <f>D184+C185</f>
        <v/>
      </c>
      <c r="E185">
        <f>$D$5</f>
        <v/>
      </c>
      <c r="F185">
        <f>IF(G184&gt;=$D$11,0,MIN(D185*E185,$D$11-G184))</f>
        <v/>
      </c>
      <c r="G185">
        <f>G184+F185</f>
        <v/>
      </c>
      <c r="H185">
        <f>H184+$D$6*F185</f>
        <v/>
      </c>
      <c r="I185">
        <f>MAX(I184+$D$7*F185+Q185-0.01*G185,0.01*G185)</f>
        <v/>
      </c>
      <c r="J185">
        <f>J184+$D$8*F185+K185-MAX(0,0.02*G185-I184-$D$7*F185-Q185)</f>
        <v/>
      </c>
      <c r="K185">
        <f>($D$9/12)*J184</f>
        <v/>
      </c>
      <c r="L185">
        <f>IF(G185=0,0,J185/(G185*$D$12))</f>
        <v/>
      </c>
      <c r="M185">
        <f>MIN(0.06,MAX(0.01,IF(G185=0,0,I185/G185)))</f>
        <v/>
      </c>
      <c r="N185">
        <f>INDEX($G$6:$G$30,MIN(INT((A185-1)/12)+1,25))</f>
        <v/>
      </c>
      <c r="O185">
        <f>G185*$D$12</f>
        <v/>
      </c>
      <c r="P185">
        <f>M185*G185</f>
        <v/>
      </c>
      <c r="Q185">
        <f>($D$16/12)*I184</f>
        <v/>
      </c>
    </row>
    <row r="186">
      <c r="A186" t="n">
        <v>154</v>
      </c>
      <c r="B186">
        <f>CEILING(0.0101*G185/$D$5,1)</f>
        <v/>
      </c>
      <c r="C186">
        <f>MAX(0,MIN(MAX(0,FLOOR($D$15*D185*MAX(0,1-D185/(($D$10+SUM($N$33:N185))/$D$5)),1)),IF(A186&gt;=$D$14,IF(AND(D185&gt;0,F185&gt;0),INT(K185*D185/F185),0),1000000000),MIN(IF($D$11&gt;G185,INT(($D$11-G185)/$D$5),0)-D185,MAX(B186,INT(($D$10+SUM($N$33:N185))/$D$5)-D185))))</f>
        <v/>
      </c>
      <c r="D186">
        <f>D185+C186</f>
        <v/>
      </c>
      <c r="E186">
        <f>$D$5</f>
        <v/>
      </c>
      <c r="F186">
        <f>IF(G185&gt;=$D$11,0,MIN(D186*E186,$D$11-G185))</f>
        <v/>
      </c>
      <c r="G186">
        <f>G185+F186</f>
        <v/>
      </c>
      <c r="H186">
        <f>H185+$D$6*F186</f>
        <v/>
      </c>
      <c r="I186">
        <f>MAX(I185+$D$7*F186+Q186-0.01*G186,0.01*G186)</f>
        <v/>
      </c>
      <c r="J186">
        <f>J185+$D$8*F186+K186-MAX(0,0.02*G186-I185-$D$7*F186-Q186)</f>
        <v/>
      </c>
      <c r="K186">
        <f>($D$9/12)*J185</f>
        <v/>
      </c>
      <c r="L186">
        <f>IF(G186=0,0,J186/(G186*$D$12))</f>
        <v/>
      </c>
      <c r="M186">
        <f>MIN(0.06,MAX(0.01,IF(G186=0,0,I186/G186)))</f>
        <v/>
      </c>
      <c r="N186">
        <f>INDEX($G$6:$G$30,MIN(INT((A186-1)/12)+1,25))</f>
        <v/>
      </c>
      <c r="O186">
        <f>G186*$D$12</f>
        <v/>
      </c>
      <c r="P186">
        <f>M186*G186</f>
        <v/>
      </c>
      <c r="Q186">
        <f>($D$16/12)*I185</f>
        <v/>
      </c>
    </row>
    <row r="187">
      <c r="A187" t="n">
        <v>155</v>
      </c>
      <c r="B187">
        <f>CEILING(0.0101*G186/$D$5,1)</f>
        <v/>
      </c>
      <c r="C187">
        <f>MAX(0,MIN(MAX(0,FLOOR($D$15*D186*MAX(0,1-D186/(($D$10+SUM($N$33:N186))/$D$5)),1)),IF(A187&gt;=$D$14,IF(AND(D186&gt;0,F186&gt;0),INT(K186*D186/F186),0),1000000000),MIN(IF($D$11&gt;G186,INT(($D$11-G186)/$D$5),0)-D186,MAX(B187,INT(($D$10+SUM($N$33:N186))/$D$5)-D186))))</f>
        <v/>
      </c>
      <c r="D187">
        <f>D186+C187</f>
        <v/>
      </c>
      <c r="E187">
        <f>$D$5</f>
        <v/>
      </c>
      <c r="F187">
        <f>IF(G186&gt;=$D$11,0,MIN(D187*E187,$D$11-G186))</f>
        <v/>
      </c>
      <c r="G187">
        <f>G186+F187</f>
        <v/>
      </c>
      <c r="H187">
        <f>H186+$D$6*F187</f>
        <v/>
      </c>
      <c r="I187">
        <f>MAX(I186+$D$7*F187+Q187-0.01*G187,0.01*G187)</f>
        <v/>
      </c>
      <c r="J187">
        <f>J186+$D$8*F187+K187-MAX(0,0.02*G187-I186-$D$7*F187-Q187)</f>
        <v/>
      </c>
      <c r="K187">
        <f>($D$9/12)*J186</f>
        <v/>
      </c>
      <c r="L187">
        <f>IF(G187=0,0,J187/(G187*$D$12))</f>
        <v/>
      </c>
      <c r="M187">
        <f>MIN(0.06,MAX(0.01,IF(G187=0,0,I187/G187)))</f>
        <v/>
      </c>
      <c r="N187">
        <f>INDEX($G$6:$G$30,MIN(INT((A187-1)/12)+1,25))</f>
        <v/>
      </c>
      <c r="O187">
        <f>G187*$D$12</f>
        <v/>
      </c>
      <c r="P187">
        <f>M187*G187</f>
        <v/>
      </c>
      <c r="Q187">
        <f>($D$16/12)*I186</f>
        <v/>
      </c>
    </row>
    <row r="188">
      <c r="A188" t="n">
        <v>156</v>
      </c>
      <c r="B188">
        <f>CEILING(0.0101*G187/$D$5,1)</f>
        <v/>
      </c>
      <c r="C188">
        <f>MAX(0,MIN(MAX(0,FLOOR($D$15*D187*MAX(0,1-D187/(($D$10+SUM($N$33:N187))/$D$5)),1)),IF(A188&gt;=$D$14,IF(AND(D187&gt;0,F187&gt;0),INT(K187*D187/F187),0),1000000000),MIN(IF($D$11&gt;G187,INT(($D$11-G187)/$D$5),0)-D187,MAX(B188,INT(($D$10+SUM($N$33:N187))/$D$5)-D187))))</f>
        <v/>
      </c>
      <c r="D188">
        <f>D187+C188</f>
        <v/>
      </c>
      <c r="E188">
        <f>$D$5</f>
        <v/>
      </c>
      <c r="F188">
        <f>IF(G187&gt;=$D$11,0,MIN(D188*E188,$D$11-G187))</f>
        <v/>
      </c>
      <c r="G188">
        <f>G187+F188</f>
        <v/>
      </c>
      <c r="H188">
        <f>H187+$D$6*F188</f>
        <v/>
      </c>
      <c r="I188">
        <f>MAX(I187+$D$7*F188+Q188-0.01*G188,0.01*G188)</f>
        <v/>
      </c>
      <c r="J188">
        <f>J187+$D$8*F188+K188-MAX(0,0.02*G188-I187-$D$7*F188-Q188)</f>
        <v/>
      </c>
      <c r="K188">
        <f>($D$9/12)*J187</f>
        <v/>
      </c>
      <c r="L188">
        <f>IF(G188=0,0,J188/(G188*$D$12))</f>
        <v/>
      </c>
      <c r="M188">
        <f>MIN(0.06,MAX(0.01,IF(G188=0,0,I188/G188)))</f>
        <v/>
      </c>
      <c r="N188">
        <f>INDEX($G$6:$G$30,MIN(INT((A188-1)/12)+1,25))</f>
        <v/>
      </c>
      <c r="O188">
        <f>G188*$D$12</f>
        <v/>
      </c>
      <c r="P188">
        <f>M188*G188</f>
        <v/>
      </c>
      <c r="Q188">
        <f>($D$16/12)*I187</f>
        <v/>
      </c>
    </row>
    <row r="189">
      <c r="A189" t="n">
        <v>157</v>
      </c>
      <c r="B189">
        <f>CEILING(0.0101*G188/$D$5,1)</f>
        <v/>
      </c>
      <c r="C189">
        <f>MAX(0,MIN(MAX(0,FLOOR($D$15*D188*MAX(0,1-D188/(($D$10+SUM($N$33:N188))/$D$5)),1)),IF(A189&gt;=$D$14,IF(AND(D188&gt;0,F188&gt;0),INT(K188*D188/F188),0),1000000000),MIN(IF($D$11&gt;G188,INT(($D$11-G188)/$D$5),0)-D188,MAX(B189,INT(($D$10+SUM($N$33:N188))/$D$5)-D188))))</f>
        <v/>
      </c>
      <c r="D189">
        <f>D188+C189</f>
        <v/>
      </c>
      <c r="E189">
        <f>$D$5</f>
        <v/>
      </c>
      <c r="F189">
        <f>IF(G188&gt;=$D$11,0,MIN(D189*E189,$D$11-G188))</f>
        <v/>
      </c>
      <c r="G189">
        <f>G188+F189</f>
        <v/>
      </c>
      <c r="H189">
        <f>H188+$D$6*F189</f>
        <v/>
      </c>
      <c r="I189">
        <f>MAX(I188+$D$7*F189+Q189-0.01*G189,0.01*G189)</f>
        <v/>
      </c>
      <c r="J189">
        <f>J188+$D$8*F189+K189-MAX(0,0.02*G189-I188-$D$7*F189-Q189)</f>
        <v/>
      </c>
      <c r="K189">
        <f>($D$9/12)*J188</f>
        <v/>
      </c>
      <c r="L189">
        <f>IF(G189=0,0,J189/(G189*$D$12))</f>
        <v/>
      </c>
      <c r="M189">
        <f>MIN(0.06,MAX(0.01,IF(G189=0,0,I189/G189)))</f>
        <v/>
      </c>
      <c r="N189">
        <f>INDEX($G$6:$G$30,MIN(INT((A189-1)/12)+1,25))</f>
        <v/>
      </c>
      <c r="O189">
        <f>G189*$D$12</f>
        <v/>
      </c>
      <c r="P189">
        <f>M189*G189</f>
        <v/>
      </c>
      <c r="Q189">
        <f>($D$16/12)*I188</f>
        <v/>
      </c>
    </row>
    <row r="190">
      <c r="A190" t="n">
        <v>158</v>
      </c>
      <c r="B190">
        <f>CEILING(0.0101*G189/$D$5,1)</f>
        <v/>
      </c>
      <c r="C190">
        <f>MAX(0,MIN(MAX(0,FLOOR($D$15*D189*MAX(0,1-D189/(($D$10+SUM($N$33:N189))/$D$5)),1)),IF(A190&gt;=$D$14,IF(AND(D189&gt;0,F189&gt;0),INT(K189*D189/F189),0),1000000000),MIN(IF($D$11&gt;G189,INT(($D$11-G189)/$D$5),0)-D189,MAX(B190,INT(($D$10+SUM($N$33:N189))/$D$5)-D189))))</f>
        <v/>
      </c>
      <c r="D190">
        <f>D189+C190</f>
        <v/>
      </c>
      <c r="E190">
        <f>$D$5</f>
        <v/>
      </c>
      <c r="F190">
        <f>IF(G189&gt;=$D$11,0,MIN(D190*E190,$D$11-G189))</f>
        <v/>
      </c>
      <c r="G190">
        <f>G189+F190</f>
        <v/>
      </c>
      <c r="H190">
        <f>H189+$D$6*F190</f>
        <v/>
      </c>
      <c r="I190">
        <f>MAX(I189+$D$7*F190+Q190-0.01*G190,0.01*G190)</f>
        <v/>
      </c>
      <c r="J190">
        <f>J189+$D$8*F190+K190-MAX(0,0.02*G190-I189-$D$7*F190-Q190)</f>
        <v/>
      </c>
      <c r="K190">
        <f>($D$9/12)*J189</f>
        <v/>
      </c>
      <c r="L190">
        <f>IF(G190=0,0,J190/(G190*$D$12))</f>
        <v/>
      </c>
      <c r="M190">
        <f>MIN(0.06,MAX(0.01,IF(G190=0,0,I190/G190)))</f>
        <v/>
      </c>
      <c r="N190">
        <f>INDEX($G$6:$G$30,MIN(INT((A190-1)/12)+1,25))</f>
        <v/>
      </c>
      <c r="O190">
        <f>G190*$D$12</f>
        <v/>
      </c>
      <c r="P190">
        <f>M190*G190</f>
        <v/>
      </c>
      <c r="Q190">
        <f>($D$16/12)*I189</f>
        <v/>
      </c>
    </row>
    <row r="191">
      <c r="A191" t="n">
        <v>159</v>
      </c>
      <c r="B191">
        <f>CEILING(0.0101*G190/$D$5,1)</f>
        <v/>
      </c>
      <c r="C191">
        <f>MAX(0,MIN(MAX(0,FLOOR($D$15*D190*MAX(0,1-D190/(($D$10+SUM($N$33:N190))/$D$5)),1)),IF(A191&gt;=$D$14,IF(AND(D190&gt;0,F190&gt;0),INT(K190*D190/F190),0),1000000000),MIN(IF($D$11&gt;G190,INT(($D$11-G190)/$D$5),0)-D190,MAX(B191,INT(($D$10+SUM($N$33:N190))/$D$5)-D190))))</f>
        <v/>
      </c>
      <c r="D191">
        <f>D190+C191</f>
        <v/>
      </c>
      <c r="E191">
        <f>$D$5</f>
        <v/>
      </c>
      <c r="F191">
        <f>IF(G190&gt;=$D$11,0,MIN(D191*E191,$D$11-G190))</f>
        <v/>
      </c>
      <c r="G191">
        <f>G190+F191</f>
        <v/>
      </c>
      <c r="H191">
        <f>H190+$D$6*F191</f>
        <v/>
      </c>
      <c r="I191">
        <f>MAX(I190+$D$7*F191+Q191-0.01*G191,0.01*G191)</f>
        <v/>
      </c>
      <c r="J191">
        <f>J190+$D$8*F191+K191-MAX(0,0.02*G191-I190-$D$7*F191-Q191)</f>
        <v/>
      </c>
      <c r="K191">
        <f>($D$9/12)*J190</f>
        <v/>
      </c>
      <c r="L191">
        <f>IF(G191=0,0,J191/(G191*$D$12))</f>
        <v/>
      </c>
      <c r="M191">
        <f>MIN(0.06,MAX(0.01,IF(G191=0,0,I191/G191)))</f>
        <v/>
      </c>
      <c r="N191">
        <f>INDEX($G$6:$G$30,MIN(INT((A191-1)/12)+1,25))</f>
        <v/>
      </c>
      <c r="O191">
        <f>G191*$D$12</f>
        <v/>
      </c>
      <c r="P191">
        <f>M191*G191</f>
        <v/>
      </c>
      <c r="Q191">
        <f>($D$16/12)*I190</f>
        <v/>
      </c>
    </row>
    <row r="192">
      <c r="A192" t="n">
        <v>160</v>
      </c>
      <c r="B192">
        <f>CEILING(0.0101*G191/$D$5,1)</f>
        <v/>
      </c>
      <c r="C192">
        <f>MAX(0,MIN(MAX(0,FLOOR($D$15*D191*MAX(0,1-D191/(($D$10+SUM($N$33:N191))/$D$5)),1)),IF(A192&gt;=$D$14,IF(AND(D191&gt;0,F191&gt;0),INT(K191*D191/F191),0),1000000000),MIN(IF($D$11&gt;G191,INT(($D$11-G191)/$D$5),0)-D191,MAX(B192,INT(($D$10+SUM($N$33:N191))/$D$5)-D191))))</f>
        <v/>
      </c>
      <c r="D192">
        <f>D191+C192</f>
        <v/>
      </c>
      <c r="E192">
        <f>$D$5</f>
        <v/>
      </c>
      <c r="F192">
        <f>IF(G191&gt;=$D$11,0,MIN(D192*E192,$D$11-G191))</f>
        <v/>
      </c>
      <c r="G192">
        <f>G191+F192</f>
        <v/>
      </c>
      <c r="H192">
        <f>H191+$D$6*F192</f>
        <v/>
      </c>
      <c r="I192">
        <f>MAX(I191+$D$7*F192+Q192-0.01*G192,0.01*G192)</f>
        <v/>
      </c>
      <c r="J192">
        <f>J191+$D$8*F192+K192-MAX(0,0.02*G192-I191-$D$7*F192-Q192)</f>
        <v/>
      </c>
      <c r="K192">
        <f>($D$9/12)*J191</f>
        <v/>
      </c>
      <c r="L192">
        <f>IF(G192=0,0,J192/(G192*$D$12))</f>
        <v/>
      </c>
      <c r="M192">
        <f>MIN(0.06,MAX(0.01,IF(G192=0,0,I192/G192)))</f>
        <v/>
      </c>
      <c r="N192">
        <f>INDEX($G$6:$G$30,MIN(INT((A192-1)/12)+1,25))</f>
        <v/>
      </c>
      <c r="O192">
        <f>G192*$D$12</f>
        <v/>
      </c>
      <c r="P192">
        <f>M192*G192</f>
        <v/>
      </c>
      <c r="Q192">
        <f>($D$16/12)*I191</f>
        <v/>
      </c>
    </row>
    <row r="193">
      <c r="A193" t="n">
        <v>161</v>
      </c>
      <c r="B193">
        <f>CEILING(0.0101*G192/$D$5,1)</f>
        <v/>
      </c>
      <c r="C193">
        <f>MAX(0,MIN(MAX(0,FLOOR($D$15*D192*MAX(0,1-D192/(($D$10+SUM($N$33:N192))/$D$5)),1)),IF(A193&gt;=$D$14,IF(AND(D192&gt;0,F192&gt;0),INT(K192*D192/F192),0),1000000000),MIN(IF($D$11&gt;G192,INT(($D$11-G192)/$D$5),0)-D192,MAX(B193,INT(($D$10+SUM($N$33:N192))/$D$5)-D192))))</f>
        <v/>
      </c>
      <c r="D193">
        <f>D192+C193</f>
        <v/>
      </c>
      <c r="E193">
        <f>$D$5</f>
        <v/>
      </c>
      <c r="F193">
        <f>IF(G192&gt;=$D$11,0,MIN(D193*E193,$D$11-G192))</f>
        <v/>
      </c>
      <c r="G193">
        <f>G192+F193</f>
        <v/>
      </c>
      <c r="H193">
        <f>H192+$D$6*F193</f>
        <v/>
      </c>
      <c r="I193">
        <f>MAX(I192+$D$7*F193+Q193-0.01*G193,0.01*G193)</f>
        <v/>
      </c>
      <c r="J193">
        <f>J192+$D$8*F193+K193-MAX(0,0.02*G193-I192-$D$7*F193-Q193)</f>
        <v/>
      </c>
      <c r="K193">
        <f>($D$9/12)*J192</f>
        <v/>
      </c>
      <c r="L193">
        <f>IF(G193=0,0,J193/(G193*$D$12))</f>
        <v/>
      </c>
      <c r="M193">
        <f>MIN(0.06,MAX(0.01,IF(G193=0,0,I193/G193)))</f>
        <v/>
      </c>
      <c r="N193">
        <f>INDEX($G$6:$G$30,MIN(INT((A193-1)/12)+1,25))</f>
        <v/>
      </c>
      <c r="O193">
        <f>G193*$D$12</f>
        <v/>
      </c>
      <c r="P193">
        <f>M193*G193</f>
        <v/>
      </c>
      <c r="Q193">
        <f>($D$16/12)*I192</f>
        <v/>
      </c>
    </row>
    <row r="194">
      <c r="A194" t="n">
        <v>162</v>
      </c>
      <c r="B194">
        <f>CEILING(0.0101*G193/$D$5,1)</f>
        <v/>
      </c>
      <c r="C194">
        <f>MAX(0,MIN(MAX(0,FLOOR($D$15*D193*MAX(0,1-D193/(($D$10+SUM($N$33:N193))/$D$5)),1)),IF(A194&gt;=$D$14,IF(AND(D193&gt;0,F193&gt;0),INT(K193*D193/F193),0),1000000000),MIN(IF($D$11&gt;G193,INT(($D$11-G193)/$D$5),0)-D193,MAX(B194,INT(($D$10+SUM($N$33:N193))/$D$5)-D193))))</f>
        <v/>
      </c>
      <c r="D194">
        <f>D193+C194</f>
        <v/>
      </c>
      <c r="E194">
        <f>$D$5</f>
        <v/>
      </c>
      <c r="F194">
        <f>IF(G193&gt;=$D$11,0,MIN(D194*E194,$D$11-G193))</f>
        <v/>
      </c>
      <c r="G194">
        <f>G193+F194</f>
        <v/>
      </c>
      <c r="H194">
        <f>H193+$D$6*F194</f>
        <v/>
      </c>
      <c r="I194">
        <f>MAX(I193+$D$7*F194+Q194-0.01*G194,0.01*G194)</f>
        <v/>
      </c>
      <c r="J194">
        <f>J193+$D$8*F194+K194-MAX(0,0.02*G194-I193-$D$7*F194-Q194)</f>
        <v/>
      </c>
      <c r="K194">
        <f>($D$9/12)*J193</f>
        <v/>
      </c>
      <c r="L194">
        <f>IF(G194=0,0,J194/(G194*$D$12))</f>
        <v/>
      </c>
      <c r="M194">
        <f>MIN(0.06,MAX(0.01,IF(G194=0,0,I194/G194)))</f>
        <v/>
      </c>
      <c r="N194">
        <f>INDEX($G$6:$G$30,MIN(INT((A194-1)/12)+1,25))</f>
        <v/>
      </c>
      <c r="O194">
        <f>G194*$D$12</f>
        <v/>
      </c>
      <c r="P194">
        <f>M194*G194</f>
        <v/>
      </c>
      <c r="Q194">
        <f>($D$16/12)*I193</f>
        <v/>
      </c>
    </row>
    <row r="195">
      <c r="A195" t="n">
        <v>163</v>
      </c>
      <c r="B195">
        <f>CEILING(0.0101*G194/$D$5,1)</f>
        <v/>
      </c>
      <c r="C195">
        <f>MAX(0,MIN(MAX(0,FLOOR($D$15*D194*MAX(0,1-D194/(($D$10+SUM($N$33:N194))/$D$5)),1)),IF(A195&gt;=$D$14,IF(AND(D194&gt;0,F194&gt;0),INT(K194*D194/F194),0),1000000000),MIN(IF($D$11&gt;G194,INT(($D$11-G194)/$D$5),0)-D194,MAX(B195,INT(($D$10+SUM($N$33:N194))/$D$5)-D194))))</f>
        <v/>
      </c>
      <c r="D195">
        <f>D194+C195</f>
        <v/>
      </c>
      <c r="E195">
        <f>$D$5</f>
        <v/>
      </c>
      <c r="F195">
        <f>IF(G194&gt;=$D$11,0,MIN(D195*E195,$D$11-G194))</f>
        <v/>
      </c>
      <c r="G195">
        <f>G194+F195</f>
        <v/>
      </c>
      <c r="H195">
        <f>H194+$D$6*F195</f>
        <v/>
      </c>
      <c r="I195">
        <f>MAX(I194+$D$7*F195+Q195-0.01*G195,0.01*G195)</f>
        <v/>
      </c>
      <c r="J195">
        <f>J194+$D$8*F195+K195-MAX(0,0.02*G195-I194-$D$7*F195-Q195)</f>
        <v/>
      </c>
      <c r="K195">
        <f>($D$9/12)*J194</f>
        <v/>
      </c>
      <c r="L195">
        <f>IF(G195=0,0,J195/(G195*$D$12))</f>
        <v/>
      </c>
      <c r="M195">
        <f>MIN(0.06,MAX(0.01,IF(G195=0,0,I195/G195)))</f>
        <v/>
      </c>
      <c r="N195">
        <f>INDEX($G$6:$G$30,MIN(INT((A195-1)/12)+1,25))</f>
        <v/>
      </c>
      <c r="O195">
        <f>G195*$D$12</f>
        <v/>
      </c>
      <c r="P195">
        <f>M195*G195</f>
        <v/>
      </c>
      <c r="Q195">
        <f>($D$16/12)*I194</f>
        <v/>
      </c>
    </row>
    <row r="196">
      <c r="A196" t="n">
        <v>164</v>
      </c>
      <c r="B196">
        <f>CEILING(0.0101*G195/$D$5,1)</f>
        <v/>
      </c>
      <c r="C196">
        <f>MAX(0,MIN(MAX(0,FLOOR($D$15*D195*MAX(0,1-D195/(($D$10+SUM($N$33:N195))/$D$5)),1)),IF(A196&gt;=$D$14,IF(AND(D195&gt;0,F195&gt;0),INT(K195*D195/F195),0),1000000000),MIN(IF($D$11&gt;G195,INT(($D$11-G195)/$D$5),0)-D195,MAX(B196,INT(($D$10+SUM($N$33:N195))/$D$5)-D195))))</f>
        <v/>
      </c>
      <c r="D196">
        <f>D195+C196</f>
        <v/>
      </c>
      <c r="E196">
        <f>$D$5</f>
        <v/>
      </c>
      <c r="F196">
        <f>IF(G195&gt;=$D$11,0,MIN(D196*E196,$D$11-G195))</f>
        <v/>
      </c>
      <c r="G196">
        <f>G195+F196</f>
        <v/>
      </c>
      <c r="H196">
        <f>H195+$D$6*F196</f>
        <v/>
      </c>
      <c r="I196">
        <f>MAX(I195+$D$7*F196+Q196-0.01*G196,0.01*G196)</f>
        <v/>
      </c>
      <c r="J196">
        <f>J195+$D$8*F196+K196-MAX(0,0.02*G196-I195-$D$7*F196-Q196)</f>
        <v/>
      </c>
      <c r="K196">
        <f>($D$9/12)*J195</f>
        <v/>
      </c>
      <c r="L196">
        <f>IF(G196=0,0,J196/(G196*$D$12))</f>
        <v/>
      </c>
      <c r="M196">
        <f>MIN(0.06,MAX(0.01,IF(G196=0,0,I196/G196)))</f>
        <v/>
      </c>
      <c r="N196">
        <f>INDEX($G$6:$G$30,MIN(INT((A196-1)/12)+1,25))</f>
        <v/>
      </c>
      <c r="O196">
        <f>G196*$D$12</f>
        <v/>
      </c>
      <c r="P196">
        <f>M196*G196</f>
        <v/>
      </c>
      <c r="Q196">
        <f>($D$16/12)*I195</f>
        <v/>
      </c>
    </row>
    <row r="197">
      <c r="A197" t="n">
        <v>165</v>
      </c>
      <c r="B197">
        <f>CEILING(0.0101*G196/$D$5,1)</f>
        <v/>
      </c>
      <c r="C197">
        <f>MAX(0,MIN(MAX(0,FLOOR($D$15*D196*MAX(0,1-D196/(($D$10+SUM($N$33:N196))/$D$5)),1)),IF(A197&gt;=$D$14,IF(AND(D196&gt;0,F196&gt;0),INT(K196*D196/F196),0),1000000000),MIN(IF($D$11&gt;G196,INT(($D$11-G196)/$D$5),0)-D196,MAX(B197,INT(($D$10+SUM($N$33:N196))/$D$5)-D196))))</f>
        <v/>
      </c>
      <c r="D197">
        <f>D196+C197</f>
        <v/>
      </c>
      <c r="E197">
        <f>$D$5</f>
        <v/>
      </c>
      <c r="F197">
        <f>IF(G196&gt;=$D$11,0,MIN(D197*E197,$D$11-G196))</f>
        <v/>
      </c>
      <c r="G197">
        <f>G196+F197</f>
        <v/>
      </c>
      <c r="H197">
        <f>H196+$D$6*F197</f>
        <v/>
      </c>
      <c r="I197">
        <f>MAX(I196+$D$7*F197+Q197-0.01*G197,0.01*G197)</f>
        <v/>
      </c>
      <c r="J197">
        <f>J196+$D$8*F197+K197-MAX(0,0.02*G197-I196-$D$7*F197-Q197)</f>
        <v/>
      </c>
      <c r="K197">
        <f>($D$9/12)*J196</f>
        <v/>
      </c>
      <c r="L197">
        <f>IF(G197=0,0,J197/(G197*$D$12))</f>
        <v/>
      </c>
      <c r="M197">
        <f>MIN(0.06,MAX(0.01,IF(G197=0,0,I197/G197)))</f>
        <v/>
      </c>
      <c r="N197">
        <f>INDEX($G$6:$G$30,MIN(INT((A197-1)/12)+1,25))</f>
        <v/>
      </c>
      <c r="O197">
        <f>G197*$D$12</f>
        <v/>
      </c>
      <c r="P197">
        <f>M197*G197</f>
        <v/>
      </c>
      <c r="Q197">
        <f>($D$16/12)*I196</f>
        <v/>
      </c>
    </row>
    <row r="198">
      <c r="A198" t="n">
        <v>166</v>
      </c>
      <c r="B198">
        <f>CEILING(0.0101*G197/$D$5,1)</f>
        <v/>
      </c>
      <c r="C198">
        <f>MAX(0,MIN(MAX(0,FLOOR($D$15*D197*MAX(0,1-D197/(($D$10+SUM($N$33:N197))/$D$5)),1)),IF(A198&gt;=$D$14,IF(AND(D197&gt;0,F197&gt;0),INT(K197*D197/F197),0),1000000000),MIN(IF($D$11&gt;G197,INT(($D$11-G197)/$D$5),0)-D197,MAX(B198,INT(($D$10+SUM($N$33:N197))/$D$5)-D197))))</f>
        <v/>
      </c>
      <c r="D198">
        <f>D197+C198</f>
        <v/>
      </c>
      <c r="E198">
        <f>$D$5</f>
        <v/>
      </c>
      <c r="F198">
        <f>IF(G197&gt;=$D$11,0,MIN(D198*E198,$D$11-G197))</f>
        <v/>
      </c>
      <c r="G198">
        <f>G197+F198</f>
        <v/>
      </c>
      <c r="H198">
        <f>H197+$D$6*F198</f>
        <v/>
      </c>
      <c r="I198">
        <f>MAX(I197+$D$7*F198+Q198-0.01*G198,0.01*G198)</f>
        <v/>
      </c>
      <c r="J198">
        <f>J197+$D$8*F198+K198-MAX(0,0.02*G198-I197-$D$7*F198-Q198)</f>
        <v/>
      </c>
      <c r="K198">
        <f>($D$9/12)*J197</f>
        <v/>
      </c>
      <c r="L198">
        <f>IF(G198=0,0,J198/(G198*$D$12))</f>
        <v/>
      </c>
      <c r="M198">
        <f>MIN(0.06,MAX(0.01,IF(G198=0,0,I198/G198)))</f>
        <v/>
      </c>
      <c r="N198">
        <f>INDEX($G$6:$G$30,MIN(INT((A198-1)/12)+1,25))</f>
        <v/>
      </c>
      <c r="O198">
        <f>G198*$D$12</f>
        <v/>
      </c>
      <c r="P198">
        <f>M198*G198</f>
        <v/>
      </c>
      <c r="Q198">
        <f>($D$16/12)*I197</f>
        <v/>
      </c>
    </row>
    <row r="199">
      <c r="A199" t="n">
        <v>167</v>
      </c>
      <c r="B199">
        <f>CEILING(0.0101*G198/$D$5,1)</f>
        <v/>
      </c>
      <c r="C199">
        <f>MAX(0,MIN(MAX(0,FLOOR($D$15*D198*MAX(0,1-D198/(($D$10+SUM($N$33:N198))/$D$5)),1)),IF(A199&gt;=$D$14,IF(AND(D198&gt;0,F198&gt;0),INT(K198*D198/F198),0),1000000000),MIN(IF($D$11&gt;G198,INT(($D$11-G198)/$D$5),0)-D198,MAX(B199,INT(($D$10+SUM($N$33:N198))/$D$5)-D198))))</f>
        <v/>
      </c>
      <c r="D199">
        <f>D198+C199</f>
        <v/>
      </c>
      <c r="E199">
        <f>$D$5</f>
        <v/>
      </c>
      <c r="F199">
        <f>IF(G198&gt;=$D$11,0,MIN(D199*E199,$D$11-G198))</f>
        <v/>
      </c>
      <c r="G199">
        <f>G198+F199</f>
        <v/>
      </c>
      <c r="H199">
        <f>H198+$D$6*F199</f>
        <v/>
      </c>
      <c r="I199">
        <f>MAX(I198+$D$7*F199+Q199-0.01*G199,0.01*G199)</f>
        <v/>
      </c>
      <c r="J199">
        <f>J198+$D$8*F199+K199-MAX(0,0.02*G199-I198-$D$7*F199-Q199)</f>
        <v/>
      </c>
      <c r="K199">
        <f>($D$9/12)*J198</f>
        <v/>
      </c>
      <c r="L199">
        <f>IF(G199=0,0,J199/(G199*$D$12))</f>
        <v/>
      </c>
      <c r="M199">
        <f>MIN(0.06,MAX(0.01,IF(G199=0,0,I199/G199)))</f>
        <v/>
      </c>
      <c r="N199">
        <f>INDEX($G$6:$G$30,MIN(INT((A199-1)/12)+1,25))</f>
        <v/>
      </c>
      <c r="O199">
        <f>G199*$D$12</f>
        <v/>
      </c>
      <c r="P199">
        <f>M199*G199</f>
        <v/>
      </c>
      <c r="Q199">
        <f>($D$16/12)*I198</f>
        <v/>
      </c>
    </row>
    <row r="200">
      <c r="A200" t="n">
        <v>168</v>
      </c>
      <c r="B200">
        <f>CEILING(0.0101*G199/$D$5,1)</f>
        <v/>
      </c>
      <c r="C200">
        <f>MAX(0,MIN(MAX(0,FLOOR($D$15*D199*MAX(0,1-D199/(($D$10+SUM($N$33:N199))/$D$5)),1)),IF(A200&gt;=$D$14,IF(AND(D199&gt;0,F199&gt;0),INT(K199*D199/F199),0),1000000000),MIN(IF($D$11&gt;G199,INT(($D$11-G199)/$D$5),0)-D199,MAX(B200,INT(($D$10+SUM($N$33:N199))/$D$5)-D199))))</f>
        <v/>
      </c>
      <c r="D200">
        <f>D199+C200</f>
        <v/>
      </c>
      <c r="E200">
        <f>$D$5</f>
        <v/>
      </c>
      <c r="F200">
        <f>IF(G199&gt;=$D$11,0,MIN(D200*E200,$D$11-G199))</f>
        <v/>
      </c>
      <c r="G200">
        <f>G199+F200</f>
        <v/>
      </c>
      <c r="H200">
        <f>H199+$D$6*F200</f>
        <v/>
      </c>
      <c r="I200">
        <f>MAX(I199+$D$7*F200+Q200-0.01*G200,0.01*G200)</f>
        <v/>
      </c>
      <c r="J200">
        <f>J199+$D$8*F200+K200-MAX(0,0.02*G200-I199-$D$7*F200-Q200)</f>
        <v/>
      </c>
      <c r="K200">
        <f>($D$9/12)*J199</f>
        <v/>
      </c>
      <c r="L200">
        <f>IF(G200=0,0,J200/(G200*$D$12))</f>
        <v/>
      </c>
      <c r="M200">
        <f>MIN(0.06,MAX(0.01,IF(G200=0,0,I200/G200)))</f>
        <v/>
      </c>
      <c r="N200">
        <f>INDEX($G$6:$G$30,MIN(INT((A200-1)/12)+1,25))</f>
        <v/>
      </c>
      <c r="O200">
        <f>G200*$D$12</f>
        <v/>
      </c>
      <c r="P200">
        <f>M200*G200</f>
        <v/>
      </c>
      <c r="Q200">
        <f>($D$16/12)*I199</f>
        <v/>
      </c>
    </row>
    <row r="201">
      <c r="A201" t="n">
        <v>169</v>
      </c>
      <c r="B201">
        <f>CEILING(0.0101*G200/$D$5,1)</f>
        <v/>
      </c>
      <c r="C201">
        <f>MAX(0,MIN(MAX(0,FLOOR($D$15*D200*MAX(0,1-D200/(($D$10+SUM($N$33:N200))/$D$5)),1)),IF(A201&gt;=$D$14,IF(AND(D200&gt;0,F200&gt;0),INT(K200*D200/F200),0),1000000000),MIN(IF($D$11&gt;G200,INT(($D$11-G200)/$D$5),0)-D200,MAX(B201,INT(($D$10+SUM($N$33:N200))/$D$5)-D200))))</f>
        <v/>
      </c>
      <c r="D201">
        <f>D200+C201</f>
        <v/>
      </c>
      <c r="E201">
        <f>$D$5</f>
        <v/>
      </c>
      <c r="F201">
        <f>IF(G200&gt;=$D$11,0,MIN(D201*E201,$D$11-G200))</f>
        <v/>
      </c>
      <c r="G201">
        <f>G200+F201</f>
        <v/>
      </c>
      <c r="H201">
        <f>H200+$D$6*F201</f>
        <v/>
      </c>
      <c r="I201">
        <f>MAX(I200+$D$7*F201+Q201-0.01*G201,0.01*G201)</f>
        <v/>
      </c>
      <c r="J201">
        <f>J200+$D$8*F201+K201-MAX(0,0.02*G201-I200-$D$7*F201-Q201)</f>
        <v/>
      </c>
      <c r="K201">
        <f>($D$9/12)*J200</f>
        <v/>
      </c>
      <c r="L201">
        <f>IF(G201=0,0,J201/(G201*$D$12))</f>
        <v/>
      </c>
      <c r="M201">
        <f>MIN(0.06,MAX(0.01,IF(G201=0,0,I201/G201)))</f>
        <v/>
      </c>
      <c r="N201">
        <f>INDEX($G$6:$G$30,MIN(INT((A201-1)/12)+1,25))</f>
        <v/>
      </c>
      <c r="O201">
        <f>G201*$D$12</f>
        <v/>
      </c>
      <c r="P201">
        <f>M201*G201</f>
        <v/>
      </c>
      <c r="Q201">
        <f>($D$16/12)*I200</f>
        <v/>
      </c>
    </row>
    <row r="202">
      <c r="A202" t="n">
        <v>170</v>
      </c>
      <c r="B202">
        <f>CEILING(0.0101*G201/$D$5,1)</f>
        <v/>
      </c>
      <c r="C202">
        <f>MAX(0,MIN(MAX(0,FLOOR($D$15*D201*MAX(0,1-D201/(($D$10+SUM($N$33:N201))/$D$5)),1)),IF(A202&gt;=$D$14,IF(AND(D201&gt;0,F201&gt;0),INT(K201*D201/F201),0),1000000000),MIN(IF($D$11&gt;G201,INT(($D$11-G201)/$D$5),0)-D201,MAX(B202,INT(($D$10+SUM($N$33:N201))/$D$5)-D201))))</f>
        <v/>
      </c>
      <c r="D202">
        <f>D201+C202</f>
        <v/>
      </c>
      <c r="E202">
        <f>$D$5</f>
        <v/>
      </c>
      <c r="F202">
        <f>IF(G201&gt;=$D$11,0,MIN(D202*E202,$D$11-G201))</f>
        <v/>
      </c>
      <c r="G202">
        <f>G201+F202</f>
        <v/>
      </c>
      <c r="H202">
        <f>H201+$D$6*F202</f>
        <v/>
      </c>
      <c r="I202">
        <f>MAX(I201+$D$7*F202+Q202-0.01*G202,0.01*G202)</f>
        <v/>
      </c>
      <c r="J202">
        <f>J201+$D$8*F202+K202-MAX(0,0.02*G202-I201-$D$7*F202-Q202)</f>
        <v/>
      </c>
      <c r="K202">
        <f>($D$9/12)*J201</f>
        <v/>
      </c>
      <c r="L202">
        <f>IF(G202=0,0,J202/(G202*$D$12))</f>
        <v/>
      </c>
      <c r="M202">
        <f>MIN(0.06,MAX(0.01,IF(G202=0,0,I202/G202)))</f>
        <v/>
      </c>
      <c r="N202">
        <f>INDEX($G$6:$G$30,MIN(INT((A202-1)/12)+1,25))</f>
        <v/>
      </c>
      <c r="O202">
        <f>G202*$D$12</f>
        <v/>
      </c>
      <c r="P202">
        <f>M202*G202</f>
        <v/>
      </c>
      <c r="Q202">
        <f>($D$16/12)*I201</f>
        <v/>
      </c>
    </row>
    <row r="203">
      <c r="A203" t="n">
        <v>171</v>
      </c>
      <c r="B203">
        <f>CEILING(0.0101*G202/$D$5,1)</f>
        <v/>
      </c>
      <c r="C203">
        <f>MAX(0,MIN(MAX(0,FLOOR($D$15*D202*MAX(0,1-D202/(($D$10+SUM($N$33:N202))/$D$5)),1)),IF(A203&gt;=$D$14,IF(AND(D202&gt;0,F202&gt;0),INT(K202*D202/F202),0),1000000000),MIN(IF($D$11&gt;G202,INT(($D$11-G202)/$D$5),0)-D202,MAX(B203,INT(($D$10+SUM($N$33:N202))/$D$5)-D202))))</f>
        <v/>
      </c>
      <c r="D203">
        <f>D202+C203</f>
        <v/>
      </c>
      <c r="E203">
        <f>$D$5</f>
        <v/>
      </c>
      <c r="F203">
        <f>IF(G202&gt;=$D$11,0,MIN(D203*E203,$D$11-G202))</f>
        <v/>
      </c>
      <c r="G203">
        <f>G202+F203</f>
        <v/>
      </c>
      <c r="H203">
        <f>H202+$D$6*F203</f>
        <v/>
      </c>
      <c r="I203">
        <f>MAX(I202+$D$7*F203+Q203-0.01*G203,0.01*G203)</f>
        <v/>
      </c>
      <c r="J203">
        <f>J202+$D$8*F203+K203-MAX(0,0.02*G203-I202-$D$7*F203-Q203)</f>
        <v/>
      </c>
      <c r="K203">
        <f>($D$9/12)*J202</f>
        <v/>
      </c>
      <c r="L203">
        <f>IF(G203=0,0,J203/(G203*$D$12))</f>
        <v/>
      </c>
      <c r="M203">
        <f>MIN(0.06,MAX(0.01,IF(G203=0,0,I203/G203)))</f>
        <v/>
      </c>
      <c r="N203">
        <f>INDEX($G$6:$G$30,MIN(INT((A203-1)/12)+1,25))</f>
        <v/>
      </c>
      <c r="O203">
        <f>G203*$D$12</f>
        <v/>
      </c>
      <c r="P203">
        <f>M203*G203</f>
        <v/>
      </c>
      <c r="Q203">
        <f>($D$16/12)*I202</f>
        <v/>
      </c>
    </row>
    <row r="204">
      <c r="A204" t="n">
        <v>172</v>
      </c>
      <c r="B204">
        <f>CEILING(0.0101*G203/$D$5,1)</f>
        <v/>
      </c>
      <c r="C204">
        <f>MAX(0,MIN(MAX(0,FLOOR($D$15*D203*MAX(0,1-D203/(($D$10+SUM($N$33:N203))/$D$5)),1)),IF(A204&gt;=$D$14,IF(AND(D203&gt;0,F203&gt;0),INT(K203*D203/F203),0),1000000000),MIN(IF($D$11&gt;G203,INT(($D$11-G203)/$D$5),0)-D203,MAX(B204,INT(($D$10+SUM($N$33:N203))/$D$5)-D203))))</f>
        <v/>
      </c>
      <c r="D204">
        <f>D203+C204</f>
        <v/>
      </c>
      <c r="E204">
        <f>$D$5</f>
        <v/>
      </c>
      <c r="F204">
        <f>IF(G203&gt;=$D$11,0,MIN(D204*E204,$D$11-G203))</f>
        <v/>
      </c>
      <c r="G204">
        <f>G203+F204</f>
        <v/>
      </c>
      <c r="H204">
        <f>H203+$D$6*F204</f>
        <v/>
      </c>
      <c r="I204">
        <f>MAX(I203+$D$7*F204+Q204-0.01*G204,0.01*G204)</f>
        <v/>
      </c>
      <c r="J204">
        <f>J203+$D$8*F204+K204-MAX(0,0.02*G204-I203-$D$7*F204-Q204)</f>
        <v/>
      </c>
      <c r="K204">
        <f>($D$9/12)*J203</f>
        <v/>
      </c>
      <c r="L204">
        <f>IF(G204=0,0,J204/(G204*$D$12))</f>
        <v/>
      </c>
      <c r="M204">
        <f>MIN(0.06,MAX(0.01,IF(G204=0,0,I204/G204)))</f>
        <v/>
      </c>
      <c r="N204">
        <f>INDEX($G$6:$G$30,MIN(INT((A204-1)/12)+1,25))</f>
        <v/>
      </c>
      <c r="O204">
        <f>G204*$D$12</f>
        <v/>
      </c>
      <c r="P204">
        <f>M204*G204</f>
        <v/>
      </c>
      <c r="Q204">
        <f>($D$16/12)*I203</f>
        <v/>
      </c>
    </row>
    <row r="205">
      <c r="A205" t="n">
        <v>173</v>
      </c>
      <c r="B205">
        <f>CEILING(0.0101*G204/$D$5,1)</f>
        <v/>
      </c>
      <c r="C205">
        <f>MAX(0,MIN(MAX(0,FLOOR($D$15*D204*MAX(0,1-D204/(($D$10+SUM($N$33:N204))/$D$5)),1)),IF(A205&gt;=$D$14,IF(AND(D204&gt;0,F204&gt;0),INT(K204*D204/F204),0),1000000000),MIN(IF($D$11&gt;G204,INT(($D$11-G204)/$D$5),0)-D204,MAX(B205,INT(($D$10+SUM($N$33:N204))/$D$5)-D204))))</f>
        <v/>
      </c>
      <c r="D205">
        <f>D204+C205</f>
        <v/>
      </c>
      <c r="E205">
        <f>$D$5</f>
        <v/>
      </c>
      <c r="F205">
        <f>IF(G204&gt;=$D$11,0,MIN(D205*E205,$D$11-G204))</f>
        <v/>
      </c>
      <c r="G205">
        <f>G204+F205</f>
        <v/>
      </c>
      <c r="H205">
        <f>H204+$D$6*F205</f>
        <v/>
      </c>
      <c r="I205">
        <f>MAX(I204+$D$7*F205+Q205-0.01*G205,0.01*G205)</f>
        <v/>
      </c>
      <c r="J205">
        <f>J204+$D$8*F205+K205-MAX(0,0.02*G205-I204-$D$7*F205-Q205)</f>
        <v/>
      </c>
      <c r="K205">
        <f>($D$9/12)*J204</f>
        <v/>
      </c>
      <c r="L205">
        <f>IF(G205=0,0,J205/(G205*$D$12))</f>
        <v/>
      </c>
      <c r="M205">
        <f>MIN(0.06,MAX(0.01,IF(G205=0,0,I205/G205)))</f>
        <v/>
      </c>
      <c r="N205">
        <f>INDEX($G$6:$G$30,MIN(INT((A205-1)/12)+1,25))</f>
        <v/>
      </c>
      <c r="O205">
        <f>G205*$D$12</f>
        <v/>
      </c>
      <c r="P205">
        <f>M205*G205</f>
        <v/>
      </c>
      <c r="Q205">
        <f>($D$16/12)*I204</f>
        <v/>
      </c>
    </row>
    <row r="206">
      <c r="A206" t="n">
        <v>174</v>
      </c>
      <c r="B206">
        <f>CEILING(0.0101*G205/$D$5,1)</f>
        <v/>
      </c>
      <c r="C206">
        <f>MAX(0,MIN(MAX(0,FLOOR($D$15*D205*MAX(0,1-D205/(($D$10+SUM($N$33:N205))/$D$5)),1)),IF(A206&gt;=$D$14,IF(AND(D205&gt;0,F205&gt;0),INT(K205*D205/F205),0),1000000000),MIN(IF($D$11&gt;G205,INT(($D$11-G205)/$D$5),0)-D205,MAX(B206,INT(($D$10+SUM($N$33:N205))/$D$5)-D205))))</f>
        <v/>
      </c>
      <c r="D206">
        <f>D205+C206</f>
        <v/>
      </c>
      <c r="E206">
        <f>$D$5</f>
        <v/>
      </c>
      <c r="F206">
        <f>IF(G205&gt;=$D$11,0,MIN(D206*E206,$D$11-G205))</f>
        <v/>
      </c>
      <c r="G206">
        <f>G205+F206</f>
        <v/>
      </c>
      <c r="H206">
        <f>H205+$D$6*F206</f>
        <v/>
      </c>
      <c r="I206">
        <f>MAX(I205+$D$7*F206+Q206-0.01*G206,0.01*G206)</f>
        <v/>
      </c>
      <c r="J206">
        <f>J205+$D$8*F206+K206-MAX(0,0.02*G206-I205-$D$7*F206-Q206)</f>
        <v/>
      </c>
      <c r="K206">
        <f>($D$9/12)*J205</f>
        <v/>
      </c>
      <c r="L206">
        <f>IF(G206=0,0,J206/(G206*$D$12))</f>
        <v/>
      </c>
      <c r="M206">
        <f>MIN(0.06,MAX(0.01,IF(G206=0,0,I206/G206)))</f>
        <v/>
      </c>
      <c r="N206">
        <f>INDEX($G$6:$G$30,MIN(INT((A206-1)/12)+1,25))</f>
        <v/>
      </c>
      <c r="O206">
        <f>G206*$D$12</f>
        <v/>
      </c>
      <c r="P206">
        <f>M206*G206</f>
        <v/>
      </c>
      <c r="Q206">
        <f>($D$16/12)*I205</f>
        <v/>
      </c>
    </row>
    <row r="207">
      <c r="A207" t="n">
        <v>175</v>
      </c>
      <c r="B207">
        <f>CEILING(0.0101*G206/$D$5,1)</f>
        <v/>
      </c>
      <c r="C207">
        <f>MAX(0,MIN(MAX(0,FLOOR($D$15*D206*MAX(0,1-D206/(($D$10+SUM($N$33:N206))/$D$5)),1)),IF(A207&gt;=$D$14,IF(AND(D206&gt;0,F206&gt;0),INT(K206*D206/F206),0),1000000000),MIN(IF($D$11&gt;G206,INT(($D$11-G206)/$D$5),0)-D206,MAX(B207,INT(($D$10+SUM($N$33:N206))/$D$5)-D206))))</f>
        <v/>
      </c>
      <c r="D207">
        <f>D206+C207</f>
        <v/>
      </c>
      <c r="E207">
        <f>$D$5</f>
        <v/>
      </c>
      <c r="F207">
        <f>IF(G206&gt;=$D$11,0,MIN(D207*E207,$D$11-G206))</f>
        <v/>
      </c>
      <c r="G207">
        <f>G206+F207</f>
        <v/>
      </c>
      <c r="H207">
        <f>H206+$D$6*F207</f>
        <v/>
      </c>
      <c r="I207">
        <f>MAX(I206+$D$7*F207+Q207-0.01*G207,0.01*G207)</f>
        <v/>
      </c>
      <c r="J207">
        <f>J206+$D$8*F207+K207-MAX(0,0.02*G207-I206-$D$7*F207-Q207)</f>
        <v/>
      </c>
      <c r="K207">
        <f>($D$9/12)*J206</f>
        <v/>
      </c>
      <c r="L207">
        <f>IF(G207=0,0,J207/(G207*$D$12))</f>
        <v/>
      </c>
      <c r="M207">
        <f>MIN(0.06,MAX(0.01,IF(G207=0,0,I207/G207)))</f>
        <v/>
      </c>
      <c r="N207">
        <f>INDEX($G$6:$G$30,MIN(INT((A207-1)/12)+1,25))</f>
        <v/>
      </c>
      <c r="O207">
        <f>G207*$D$12</f>
        <v/>
      </c>
      <c r="P207">
        <f>M207*G207</f>
        <v/>
      </c>
      <c r="Q207">
        <f>($D$16/12)*I206</f>
        <v/>
      </c>
    </row>
    <row r="208">
      <c r="A208" t="n">
        <v>176</v>
      </c>
      <c r="B208">
        <f>CEILING(0.0101*G207/$D$5,1)</f>
        <v/>
      </c>
      <c r="C208">
        <f>MAX(0,MIN(MAX(0,FLOOR($D$15*D207*MAX(0,1-D207/(($D$10+SUM($N$33:N207))/$D$5)),1)),IF(A208&gt;=$D$14,IF(AND(D207&gt;0,F207&gt;0),INT(K207*D207/F207),0),1000000000),MIN(IF($D$11&gt;G207,INT(($D$11-G207)/$D$5),0)-D207,MAX(B208,INT(($D$10+SUM($N$33:N207))/$D$5)-D207))))</f>
        <v/>
      </c>
      <c r="D208">
        <f>D207+C208</f>
        <v/>
      </c>
      <c r="E208">
        <f>$D$5</f>
        <v/>
      </c>
      <c r="F208">
        <f>IF(G207&gt;=$D$11,0,MIN(D208*E208,$D$11-G207))</f>
        <v/>
      </c>
      <c r="G208">
        <f>G207+F208</f>
        <v/>
      </c>
      <c r="H208">
        <f>H207+$D$6*F208</f>
        <v/>
      </c>
      <c r="I208">
        <f>MAX(I207+$D$7*F208+Q208-0.01*G208,0.01*G208)</f>
        <v/>
      </c>
      <c r="J208">
        <f>J207+$D$8*F208+K208-MAX(0,0.02*G208-I207-$D$7*F208-Q208)</f>
        <v/>
      </c>
      <c r="K208">
        <f>($D$9/12)*J207</f>
        <v/>
      </c>
      <c r="L208">
        <f>IF(G208=0,0,J208/(G208*$D$12))</f>
        <v/>
      </c>
      <c r="M208">
        <f>MIN(0.06,MAX(0.01,IF(G208=0,0,I208/G208)))</f>
        <v/>
      </c>
      <c r="N208">
        <f>INDEX($G$6:$G$30,MIN(INT((A208-1)/12)+1,25))</f>
        <v/>
      </c>
      <c r="O208">
        <f>G208*$D$12</f>
        <v/>
      </c>
      <c r="P208">
        <f>M208*G208</f>
        <v/>
      </c>
      <c r="Q208">
        <f>($D$16/12)*I207</f>
        <v/>
      </c>
    </row>
    <row r="209">
      <c r="A209" t="n">
        <v>177</v>
      </c>
      <c r="B209">
        <f>CEILING(0.0101*G208/$D$5,1)</f>
        <v/>
      </c>
      <c r="C209">
        <f>MAX(0,MIN(MAX(0,FLOOR($D$15*D208*MAX(0,1-D208/(($D$10+SUM($N$33:N208))/$D$5)),1)),IF(A209&gt;=$D$14,IF(AND(D208&gt;0,F208&gt;0),INT(K208*D208/F208),0),1000000000),MIN(IF($D$11&gt;G208,INT(($D$11-G208)/$D$5),0)-D208,MAX(B209,INT(($D$10+SUM($N$33:N208))/$D$5)-D208))))</f>
        <v/>
      </c>
      <c r="D209">
        <f>D208+C209</f>
        <v/>
      </c>
      <c r="E209">
        <f>$D$5</f>
        <v/>
      </c>
      <c r="F209">
        <f>IF(G208&gt;=$D$11,0,MIN(D209*E209,$D$11-G208))</f>
        <v/>
      </c>
      <c r="G209">
        <f>G208+F209</f>
        <v/>
      </c>
      <c r="H209">
        <f>H208+$D$6*F209</f>
        <v/>
      </c>
      <c r="I209">
        <f>MAX(I208+$D$7*F209+Q209-0.01*G209,0.01*G209)</f>
        <v/>
      </c>
      <c r="J209">
        <f>J208+$D$8*F209+K209-MAX(0,0.02*G209-I208-$D$7*F209-Q209)</f>
        <v/>
      </c>
      <c r="K209">
        <f>($D$9/12)*J208</f>
        <v/>
      </c>
      <c r="L209">
        <f>IF(G209=0,0,J209/(G209*$D$12))</f>
        <v/>
      </c>
      <c r="M209">
        <f>MIN(0.06,MAX(0.01,IF(G209=0,0,I209/G209)))</f>
        <v/>
      </c>
      <c r="N209">
        <f>INDEX($G$6:$G$30,MIN(INT((A209-1)/12)+1,25))</f>
        <v/>
      </c>
      <c r="O209">
        <f>G209*$D$12</f>
        <v/>
      </c>
      <c r="P209">
        <f>M209*G209</f>
        <v/>
      </c>
      <c r="Q209">
        <f>($D$16/12)*I208</f>
        <v/>
      </c>
    </row>
    <row r="210">
      <c r="A210" t="n">
        <v>178</v>
      </c>
      <c r="B210">
        <f>CEILING(0.0101*G209/$D$5,1)</f>
        <v/>
      </c>
      <c r="C210">
        <f>MAX(0,MIN(MAX(0,FLOOR($D$15*D209*MAX(0,1-D209/(($D$10+SUM($N$33:N209))/$D$5)),1)),IF(A210&gt;=$D$14,IF(AND(D209&gt;0,F209&gt;0),INT(K209*D209/F209),0),1000000000),MIN(IF($D$11&gt;G209,INT(($D$11-G209)/$D$5),0)-D209,MAX(B210,INT(($D$10+SUM($N$33:N209))/$D$5)-D209))))</f>
        <v/>
      </c>
      <c r="D210">
        <f>D209+C210</f>
        <v/>
      </c>
      <c r="E210">
        <f>$D$5</f>
        <v/>
      </c>
      <c r="F210">
        <f>IF(G209&gt;=$D$11,0,MIN(D210*E210,$D$11-G209))</f>
        <v/>
      </c>
      <c r="G210">
        <f>G209+F210</f>
        <v/>
      </c>
      <c r="H210">
        <f>H209+$D$6*F210</f>
        <v/>
      </c>
      <c r="I210">
        <f>MAX(I209+$D$7*F210+Q210-0.01*G210,0.01*G210)</f>
        <v/>
      </c>
      <c r="J210">
        <f>J209+$D$8*F210+K210-MAX(0,0.02*G210-I209-$D$7*F210-Q210)</f>
        <v/>
      </c>
      <c r="K210">
        <f>($D$9/12)*J209</f>
        <v/>
      </c>
      <c r="L210">
        <f>IF(G210=0,0,J210/(G210*$D$12))</f>
        <v/>
      </c>
      <c r="M210">
        <f>MIN(0.06,MAX(0.01,IF(G210=0,0,I210/G210)))</f>
        <v/>
      </c>
      <c r="N210">
        <f>INDEX($G$6:$G$30,MIN(INT((A210-1)/12)+1,25))</f>
        <v/>
      </c>
      <c r="O210">
        <f>G210*$D$12</f>
        <v/>
      </c>
      <c r="P210">
        <f>M210*G210</f>
        <v/>
      </c>
      <c r="Q210">
        <f>($D$16/12)*I209</f>
        <v/>
      </c>
    </row>
    <row r="211">
      <c r="A211" t="n">
        <v>179</v>
      </c>
      <c r="B211">
        <f>CEILING(0.0101*G210/$D$5,1)</f>
        <v/>
      </c>
      <c r="C211">
        <f>MAX(0,MIN(MAX(0,FLOOR($D$15*D210*MAX(0,1-D210/(($D$10+SUM($N$33:N210))/$D$5)),1)),IF(A211&gt;=$D$14,IF(AND(D210&gt;0,F210&gt;0),INT(K210*D210/F210),0),1000000000),MIN(IF($D$11&gt;G210,INT(($D$11-G210)/$D$5),0)-D210,MAX(B211,INT(($D$10+SUM($N$33:N210))/$D$5)-D210))))</f>
        <v/>
      </c>
      <c r="D211">
        <f>D210+C211</f>
        <v/>
      </c>
      <c r="E211">
        <f>$D$5</f>
        <v/>
      </c>
      <c r="F211">
        <f>IF(G210&gt;=$D$11,0,MIN(D211*E211,$D$11-G210))</f>
        <v/>
      </c>
      <c r="G211">
        <f>G210+F211</f>
        <v/>
      </c>
      <c r="H211">
        <f>H210+$D$6*F211</f>
        <v/>
      </c>
      <c r="I211">
        <f>MAX(I210+$D$7*F211+Q211-0.01*G211,0.01*G211)</f>
        <v/>
      </c>
      <c r="J211">
        <f>J210+$D$8*F211+K211-MAX(0,0.02*G211-I210-$D$7*F211-Q211)</f>
        <v/>
      </c>
      <c r="K211">
        <f>($D$9/12)*J210</f>
        <v/>
      </c>
      <c r="L211">
        <f>IF(G211=0,0,J211/(G211*$D$12))</f>
        <v/>
      </c>
      <c r="M211">
        <f>MIN(0.06,MAX(0.01,IF(G211=0,0,I211/G211)))</f>
        <v/>
      </c>
      <c r="N211">
        <f>INDEX($G$6:$G$30,MIN(INT((A211-1)/12)+1,25))</f>
        <v/>
      </c>
      <c r="O211">
        <f>G211*$D$12</f>
        <v/>
      </c>
      <c r="P211">
        <f>M211*G211</f>
        <v/>
      </c>
      <c r="Q211">
        <f>($D$16/12)*I210</f>
        <v/>
      </c>
    </row>
    <row r="212">
      <c r="A212" t="n">
        <v>180</v>
      </c>
      <c r="B212">
        <f>CEILING(0.0101*G211/$D$5,1)</f>
        <v/>
      </c>
      <c r="C212">
        <f>MAX(0,MIN(MAX(0,FLOOR($D$15*D211*MAX(0,1-D211/(($D$10+SUM($N$33:N211))/$D$5)),1)),IF(A212&gt;=$D$14,IF(AND(D211&gt;0,F211&gt;0),INT(K211*D211/F211),0),1000000000),MIN(IF($D$11&gt;G211,INT(($D$11-G211)/$D$5),0)-D211,MAX(B212,INT(($D$10+SUM($N$33:N211))/$D$5)-D211))))</f>
        <v/>
      </c>
      <c r="D212">
        <f>D211+C212</f>
        <v/>
      </c>
      <c r="E212">
        <f>$D$5</f>
        <v/>
      </c>
      <c r="F212">
        <f>IF(G211&gt;=$D$11,0,MIN(D212*E212,$D$11-G211))</f>
        <v/>
      </c>
      <c r="G212">
        <f>G211+F212</f>
        <v/>
      </c>
      <c r="H212">
        <f>H211+$D$6*F212</f>
        <v/>
      </c>
      <c r="I212">
        <f>MAX(I211+$D$7*F212+Q212-0.01*G212,0.01*G212)</f>
        <v/>
      </c>
      <c r="J212">
        <f>J211+$D$8*F212+K212-MAX(0,0.02*G212-I211-$D$7*F212-Q212)</f>
        <v/>
      </c>
      <c r="K212">
        <f>($D$9/12)*J211</f>
        <v/>
      </c>
      <c r="L212">
        <f>IF(G212=0,0,J212/(G212*$D$12))</f>
        <v/>
      </c>
      <c r="M212">
        <f>MIN(0.06,MAX(0.01,IF(G212=0,0,I212/G212)))</f>
        <v/>
      </c>
      <c r="N212">
        <f>INDEX($G$6:$G$30,MIN(INT((A212-1)/12)+1,25))</f>
        <v/>
      </c>
      <c r="O212">
        <f>G212*$D$12</f>
        <v/>
      </c>
      <c r="P212">
        <f>M212*G212</f>
        <v/>
      </c>
      <c r="Q212">
        <f>($D$16/12)*I211</f>
        <v/>
      </c>
    </row>
    <row r="213">
      <c r="A213" t="n">
        <v>181</v>
      </c>
      <c r="B213">
        <f>CEILING(0.0101*G212/$D$5,1)</f>
        <v/>
      </c>
      <c r="C213">
        <f>MAX(0,MIN(MAX(0,FLOOR($D$15*D212*MAX(0,1-D212/(($D$10+SUM($N$33:N212))/$D$5)),1)),IF(A213&gt;=$D$14,IF(AND(D212&gt;0,F212&gt;0),INT(K212*D212/F212),0),1000000000),MIN(IF($D$11&gt;G212,INT(($D$11-G212)/$D$5),0)-D212,MAX(B213,INT(($D$10+SUM($N$33:N212))/$D$5)-D212))))</f>
        <v/>
      </c>
      <c r="D213">
        <f>D212+C213</f>
        <v/>
      </c>
      <c r="E213">
        <f>$D$5</f>
        <v/>
      </c>
      <c r="F213">
        <f>IF(G212&gt;=$D$11,0,MIN(D213*E213,$D$11-G212))</f>
        <v/>
      </c>
      <c r="G213">
        <f>G212+F213</f>
        <v/>
      </c>
      <c r="H213">
        <f>H212+$D$6*F213</f>
        <v/>
      </c>
      <c r="I213">
        <f>MAX(I212+$D$7*F213+Q213-0.01*G213,0.01*G213)</f>
        <v/>
      </c>
      <c r="J213">
        <f>J212+$D$8*F213+K213-MAX(0,0.02*G213-I212-$D$7*F213-Q213)</f>
        <v/>
      </c>
      <c r="K213">
        <f>($D$9/12)*J212</f>
        <v/>
      </c>
      <c r="L213">
        <f>IF(G213=0,0,J213/(G213*$D$12))</f>
        <v/>
      </c>
      <c r="M213">
        <f>MIN(0.06,MAX(0.01,IF(G213=0,0,I213/G213)))</f>
        <v/>
      </c>
      <c r="N213">
        <f>INDEX($G$6:$G$30,MIN(INT((A213-1)/12)+1,25))</f>
        <v/>
      </c>
      <c r="O213">
        <f>G213*$D$12</f>
        <v/>
      </c>
      <c r="P213">
        <f>M213*G213</f>
        <v/>
      </c>
      <c r="Q213">
        <f>($D$16/12)*I212</f>
        <v/>
      </c>
    </row>
    <row r="214">
      <c r="A214" t="n">
        <v>182</v>
      </c>
      <c r="B214">
        <f>CEILING(0.0101*G213/$D$5,1)</f>
        <v/>
      </c>
      <c r="C214">
        <f>MAX(0,MIN(MAX(0,FLOOR($D$15*D213*MAX(0,1-D213/(($D$10+SUM($N$33:N213))/$D$5)),1)),IF(A214&gt;=$D$14,IF(AND(D213&gt;0,F213&gt;0),INT(K213*D213/F213),0),1000000000),MIN(IF($D$11&gt;G213,INT(($D$11-G213)/$D$5),0)-D213,MAX(B214,INT(($D$10+SUM($N$33:N213))/$D$5)-D213))))</f>
        <v/>
      </c>
      <c r="D214">
        <f>D213+C214</f>
        <v/>
      </c>
      <c r="E214">
        <f>$D$5</f>
        <v/>
      </c>
      <c r="F214">
        <f>IF(G213&gt;=$D$11,0,MIN(D214*E214,$D$11-G213))</f>
        <v/>
      </c>
      <c r="G214">
        <f>G213+F214</f>
        <v/>
      </c>
      <c r="H214">
        <f>H213+$D$6*F214</f>
        <v/>
      </c>
      <c r="I214">
        <f>MAX(I213+$D$7*F214+Q214-0.01*G214,0.01*G214)</f>
        <v/>
      </c>
      <c r="J214">
        <f>J213+$D$8*F214+K214-MAX(0,0.02*G214-I213-$D$7*F214-Q214)</f>
        <v/>
      </c>
      <c r="K214">
        <f>($D$9/12)*J213</f>
        <v/>
      </c>
      <c r="L214">
        <f>IF(G214=0,0,J214/(G214*$D$12))</f>
        <v/>
      </c>
      <c r="M214">
        <f>MIN(0.06,MAX(0.01,IF(G214=0,0,I214/G214)))</f>
        <v/>
      </c>
      <c r="N214">
        <f>INDEX($G$6:$G$30,MIN(INT((A214-1)/12)+1,25))</f>
        <v/>
      </c>
      <c r="O214">
        <f>G214*$D$12</f>
        <v/>
      </c>
      <c r="P214">
        <f>M214*G214</f>
        <v/>
      </c>
      <c r="Q214">
        <f>($D$16/12)*I213</f>
        <v/>
      </c>
    </row>
    <row r="215">
      <c r="A215" t="n">
        <v>183</v>
      </c>
      <c r="B215">
        <f>CEILING(0.0101*G214/$D$5,1)</f>
        <v/>
      </c>
      <c r="C215">
        <f>MAX(0,MIN(MAX(0,FLOOR($D$15*D214*MAX(0,1-D214/(($D$10+SUM($N$33:N214))/$D$5)),1)),IF(A215&gt;=$D$14,IF(AND(D214&gt;0,F214&gt;0),INT(K214*D214/F214),0),1000000000),MIN(IF($D$11&gt;G214,INT(($D$11-G214)/$D$5),0)-D214,MAX(B215,INT(($D$10+SUM($N$33:N214))/$D$5)-D214))))</f>
        <v/>
      </c>
      <c r="D215">
        <f>D214+C215</f>
        <v/>
      </c>
      <c r="E215">
        <f>$D$5</f>
        <v/>
      </c>
      <c r="F215">
        <f>IF(G214&gt;=$D$11,0,MIN(D215*E215,$D$11-G214))</f>
        <v/>
      </c>
      <c r="G215">
        <f>G214+F215</f>
        <v/>
      </c>
      <c r="H215">
        <f>H214+$D$6*F215</f>
        <v/>
      </c>
      <c r="I215">
        <f>MAX(I214+$D$7*F215+Q215-0.01*G215,0.01*G215)</f>
        <v/>
      </c>
      <c r="J215">
        <f>J214+$D$8*F215+K215-MAX(0,0.02*G215-I214-$D$7*F215-Q215)</f>
        <v/>
      </c>
      <c r="K215">
        <f>($D$9/12)*J214</f>
        <v/>
      </c>
      <c r="L215">
        <f>IF(G215=0,0,J215/(G215*$D$12))</f>
        <v/>
      </c>
      <c r="M215">
        <f>MIN(0.06,MAX(0.01,IF(G215=0,0,I215/G215)))</f>
        <v/>
      </c>
      <c r="N215">
        <f>INDEX($G$6:$G$30,MIN(INT((A215-1)/12)+1,25))</f>
        <v/>
      </c>
      <c r="O215">
        <f>G215*$D$12</f>
        <v/>
      </c>
      <c r="P215">
        <f>M215*G215</f>
        <v/>
      </c>
      <c r="Q215">
        <f>($D$16/12)*I214</f>
        <v/>
      </c>
    </row>
    <row r="216">
      <c r="A216" t="n">
        <v>184</v>
      </c>
      <c r="B216">
        <f>CEILING(0.0101*G215/$D$5,1)</f>
        <v/>
      </c>
      <c r="C216">
        <f>MAX(0,MIN(MAX(0,FLOOR($D$15*D215*MAX(0,1-D215/(($D$10+SUM($N$33:N215))/$D$5)),1)),IF(A216&gt;=$D$14,IF(AND(D215&gt;0,F215&gt;0),INT(K215*D215/F215),0),1000000000),MIN(IF($D$11&gt;G215,INT(($D$11-G215)/$D$5),0)-D215,MAX(B216,INT(($D$10+SUM($N$33:N215))/$D$5)-D215))))</f>
        <v/>
      </c>
      <c r="D216">
        <f>D215+C216</f>
        <v/>
      </c>
      <c r="E216">
        <f>$D$5</f>
        <v/>
      </c>
      <c r="F216">
        <f>IF(G215&gt;=$D$11,0,MIN(D216*E216,$D$11-G215))</f>
        <v/>
      </c>
      <c r="G216">
        <f>G215+F216</f>
        <v/>
      </c>
      <c r="H216">
        <f>H215+$D$6*F216</f>
        <v/>
      </c>
      <c r="I216">
        <f>MAX(I215+$D$7*F216+Q216-0.01*G216,0.01*G216)</f>
        <v/>
      </c>
      <c r="J216">
        <f>J215+$D$8*F216+K216-MAX(0,0.02*G216-I215-$D$7*F216-Q216)</f>
        <v/>
      </c>
      <c r="K216">
        <f>($D$9/12)*J215</f>
        <v/>
      </c>
      <c r="L216">
        <f>IF(G216=0,0,J216/(G216*$D$12))</f>
        <v/>
      </c>
      <c r="M216">
        <f>MIN(0.06,MAX(0.01,IF(G216=0,0,I216/G216)))</f>
        <v/>
      </c>
      <c r="N216">
        <f>INDEX($G$6:$G$30,MIN(INT((A216-1)/12)+1,25))</f>
        <v/>
      </c>
      <c r="O216">
        <f>G216*$D$12</f>
        <v/>
      </c>
      <c r="P216">
        <f>M216*G216</f>
        <v/>
      </c>
      <c r="Q216">
        <f>($D$16/12)*I215</f>
        <v/>
      </c>
    </row>
    <row r="217">
      <c r="A217" t="n">
        <v>185</v>
      </c>
      <c r="B217">
        <f>CEILING(0.0101*G216/$D$5,1)</f>
        <v/>
      </c>
      <c r="C217">
        <f>MAX(0,MIN(MAX(0,FLOOR($D$15*D216*MAX(0,1-D216/(($D$10+SUM($N$33:N216))/$D$5)),1)),IF(A217&gt;=$D$14,IF(AND(D216&gt;0,F216&gt;0),INT(K216*D216/F216),0),1000000000),MIN(IF($D$11&gt;G216,INT(($D$11-G216)/$D$5),0)-D216,MAX(B217,INT(($D$10+SUM($N$33:N216))/$D$5)-D216))))</f>
        <v/>
      </c>
      <c r="D217">
        <f>D216+C217</f>
        <v/>
      </c>
      <c r="E217">
        <f>$D$5</f>
        <v/>
      </c>
      <c r="F217">
        <f>IF(G216&gt;=$D$11,0,MIN(D217*E217,$D$11-G216))</f>
        <v/>
      </c>
      <c r="G217">
        <f>G216+F217</f>
        <v/>
      </c>
      <c r="H217">
        <f>H216+$D$6*F217</f>
        <v/>
      </c>
      <c r="I217">
        <f>MAX(I216+$D$7*F217+Q217-0.01*G217,0.01*G217)</f>
        <v/>
      </c>
      <c r="J217">
        <f>J216+$D$8*F217+K217-MAX(0,0.02*G217-I216-$D$7*F217-Q217)</f>
        <v/>
      </c>
      <c r="K217">
        <f>($D$9/12)*J216</f>
        <v/>
      </c>
      <c r="L217">
        <f>IF(G217=0,0,J217/(G217*$D$12))</f>
        <v/>
      </c>
      <c r="M217">
        <f>MIN(0.06,MAX(0.01,IF(G217=0,0,I217/G217)))</f>
        <v/>
      </c>
      <c r="N217">
        <f>INDEX($G$6:$G$30,MIN(INT((A217-1)/12)+1,25))</f>
        <v/>
      </c>
      <c r="O217">
        <f>G217*$D$12</f>
        <v/>
      </c>
      <c r="P217">
        <f>M217*G217</f>
        <v/>
      </c>
      <c r="Q217">
        <f>($D$16/12)*I216</f>
        <v/>
      </c>
    </row>
    <row r="218">
      <c r="A218" t="n">
        <v>186</v>
      </c>
      <c r="B218">
        <f>CEILING(0.0101*G217/$D$5,1)</f>
        <v/>
      </c>
      <c r="C218">
        <f>MAX(0,MIN(MAX(0,FLOOR($D$15*D217*MAX(0,1-D217/(($D$10+SUM($N$33:N217))/$D$5)),1)),IF(A218&gt;=$D$14,IF(AND(D217&gt;0,F217&gt;0),INT(K217*D217/F217),0),1000000000),MIN(IF($D$11&gt;G217,INT(($D$11-G217)/$D$5),0)-D217,MAX(B218,INT(($D$10+SUM($N$33:N217))/$D$5)-D217))))</f>
        <v/>
      </c>
      <c r="D218">
        <f>D217+C218</f>
        <v/>
      </c>
      <c r="E218">
        <f>$D$5</f>
        <v/>
      </c>
      <c r="F218">
        <f>IF(G217&gt;=$D$11,0,MIN(D218*E218,$D$11-G217))</f>
        <v/>
      </c>
      <c r="G218">
        <f>G217+F218</f>
        <v/>
      </c>
      <c r="H218">
        <f>H217+$D$6*F218</f>
        <v/>
      </c>
      <c r="I218">
        <f>MAX(I217+$D$7*F218+Q218-0.01*G218,0.01*G218)</f>
        <v/>
      </c>
      <c r="J218">
        <f>J217+$D$8*F218+K218-MAX(0,0.02*G218-I217-$D$7*F218-Q218)</f>
        <v/>
      </c>
      <c r="K218">
        <f>($D$9/12)*J217</f>
        <v/>
      </c>
      <c r="L218">
        <f>IF(G218=0,0,J218/(G218*$D$12))</f>
        <v/>
      </c>
      <c r="M218">
        <f>MIN(0.06,MAX(0.01,IF(G218=0,0,I218/G218)))</f>
        <v/>
      </c>
      <c r="N218">
        <f>INDEX($G$6:$G$30,MIN(INT((A218-1)/12)+1,25))</f>
        <v/>
      </c>
      <c r="O218">
        <f>G218*$D$12</f>
        <v/>
      </c>
      <c r="P218">
        <f>M218*G218</f>
        <v/>
      </c>
      <c r="Q218">
        <f>($D$16/12)*I217</f>
        <v/>
      </c>
    </row>
    <row r="219">
      <c r="A219" t="n">
        <v>187</v>
      </c>
      <c r="B219">
        <f>CEILING(0.0101*G218/$D$5,1)</f>
        <v/>
      </c>
      <c r="C219">
        <f>MAX(0,MIN(MAX(0,FLOOR($D$15*D218*MAX(0,1-D218/(($D$10+SUM($N$33:N218))/$D$5)),1)),IF(A219&gt;=$D$14,IF(AND(D218&gt;0,F218&gt;0),INT(K218*D218/F218),0),1000000000),MIN(IF($D$11&gt;G218,INT(($D$11-G218)/$D$5),0)-D218,MAX(B219,INT(($D$10+SUM($N$33:N218))/$D$5)-D218))))</f>
        <v/>
      </c>
      <c r="D219">
        <f>D218+C219</f>
        <v/>
      </c>
      <c r="E219">
        <f>$D$5</f>
        <v/>
      </c>
      <c r="F219">
        <f>IF(G218&gt;=$D$11,0,MIN(D219*E219,$D$11-G218))</f>
        <v/>
      </c>
      <c r="G219">
        <f>G218+F219</f>
        <v/>
      </c>
      <c r="H219">
        <f>H218+$D$6*F219</f>
        <v/>
      </c>
      <c r="I219">
        <f>MAX(I218+$D$7*F219+Q219-0.01*G219,0.01*G219)</f>
        <v/>
      </c>
      <c r="J219">
        <f>J218+$D$8*F219+K219-MAX(0,0.02*G219-I218-$D$7*F219-Q219)</f>
        <v/>
      </c>
      <c r="K219">
        <f>($D$9/12)*J218</f>
        <v/>
      </c>
      <c r="L219">
        <f>IF(G219=0,0,J219/(G219*$D$12))</f>
        <v/>
      </c>
      <c r="M219">
        <f>MIN(0.06,MAX(0.01,IF(G219=0,0,I219/G219)))</f>
        <v/>
      </c>
      <c r="N219">
        <f>INDEX($G$6:$G$30,MIN(INT((A219-1)/12)+1,25))</f>
        <v/>
      </c>
      <c r="O219">
        <f>G219*$D$12</f>
        <v/>
      </c>
      <c r="P219">
        <f>M219*G219</f>
        <v/>
      </c>
      <c r="Q219">
        <f>($D$16/12)*I218</f>
        <v/>
      </c>
    </row>
    <row r="220">
      <c r="A220" t="n">
        <v>188</v>
      </c>
      <c r="B220">
        <f>CEILING(0.0101*G219/$D$5,1)</f>
        <v/>
      </c>
      <c r="C220">
        <f>MAX(0,MIN(MAX(0,FLOOR($D$15*D219*MAX(0,1-D219/(($D$10+SUM($N$33:N219))/$D$5)),1)),IF(A220&gt;=$D$14,IF(AND(D219&gt;0,F219&gt;0),INT(K219*D219/F219),0),1000000000),MIN(IF($D$11&gt;G219,INT(($D$11-G219)/$D$5),0)-D219,MAX(B220,INT(($D$10+SUM($N$33:N219))/$D$5)-D219))))</f>
        <v/>
      </c>
      <c r="D220">
        <f>D219+C220</f>
        <v/>
      </c>
      <c r="E220">
        <f>$D$5</f>
        <v/>
      </c>
      <c r="F220">
        <f>IF(G219&gt;=$D$11,0,MIN(D220*E220,$D$11-G219))</f>
        <v/>
      </c>
      <c r="G220">
        <f>G219+F220</f>
        <v/>
      </c>
      <c r="H220">
        <f>H219+$D$6*F220</f>
        <v/>
      </c>
      <c r="I220">
        <f>MAX(I219+$D$7*F220+Q220-0.01*G220,0.01*G220)</f>
        <v/>
      </c>
      <c r="J220">
        <f>J219+$D$8*F220+K220-MAX(0,0.02*G220-I219-$D$7*F220-Q220)</f>
        <v/>
      </c>
      <c r="K220">
        <f>($D$9/12)*J219</f>
        <v/>
      </c>
      <c r="L220">
        <f>IF(G220=0,0,J220/(G220*$D$12))</f>
        <v/>
      </c>
      <c r="M220">
        <f>MIN(0.06,MAX(0.01,IF(G220=0,0,I220/G220)))</f>
        <v/>
      </c>
      <c r="N220">
        <f>INDEX($G$6:$G$30,MIN(INT((A220-1)/12)+1,25))</f>
        <v/>
      </c>
      <c r="O220">
        <f>G220*$D$12</f>
        <v/>
      </c>
      <c r="P220">
        <f>M220*G220</f>
        <v/>
      </c>
      <c r="Q220">
        <f>($D$16/12)*I219</f>
        <v/>
      </c>
    </row>
    <row r="221">
      <c r="A221" t="n">
        <v>189</v>
      </c>
      <c r="B221">
        <f>CEILING(0.0101*G220/$D$5,1)</f>
        <v/>
      </c>
      <c r="C221">
        <f>MAX(0,MIN(MAX(0,FLOOR($D$15*D220*MAX(0,1-D220/(($D$10+SUM($N$33:N220))/$D$5)),1)),IF(A221&gt;=$D$14,IF(AND(D220&gt;0,F220&gt;0),INT(K220*D220/F220),0),1000000000),MIN(IF($D$11&gt;G220,INT(($D$11-G220)/$D$5),0)-D220,MAX(B221,INT(($D$10+SUM($N$33:N220))/$D$5)-D220))))</f>
        <v/>
      </c>
      <c r="D221">
        <f>D220+C221</f>
        <v/>
      </c>
      <c r="E221">
        <f>$D$5</f>
        <v/>
      </c>
      <c r="F221">
        <f>IF(G220&gt;=$D$11,0,MIN(D221*E221,$D$11-G220))</f>
        <v/>
      </c>
      <c r="G221">
        <f>G220+F221</f>
        <v/>
      </c>
      <c r="H221">
        <f>H220+$D$6*F221</f>
        <v/>
      </c>
      <c r="I221">
        <f>MAX(I220+$D$7*F221+Q221-0.01*G221,0.01*G221)</f>
        <v/>
      </c>
      <c r="J221">
        <f>J220+$D$8*F221+K221-MAX(0,0.02*G221-I220-$D$7*F221-Q221)</f>
        <v/>
      </c>
      <c r="K221">
        <f>($D$9/12)*J220</f>
        <v/>
      </c>
      <c r="L221">
        <f>IF(G221=0,0,J221/(G221*$D$12))</f>
        <v/>
      </c>
      <c r="M221">
        <f>MIN(0.06,MAX(0.01,IF(G221=0,0,I221/G221)))</f>
        <v/>
      </c>
      <c r="N221">
        <f>INDEX($G$6:$G$30,MIN(INT((A221-1)/12)+1,25))</f>
        <v/>
      </c>
      <c r="O221">
        <f>G221*$D$12</f>
        <v/>
      </c>
      <c r="P221">
        <f>M221*G221</f>
        <v/>
      </c>
      <c r="Q221">
        <f>($D$16/12)*I220</f>
        <v/>
      </c>
    </row>
    <row r="222">
      <c r="A222" t="n">
        <v>190</v>
      </c>
      <c r="B222">
        <f>CEILING(0.0101*G221/$D$5,1)</f>
        <v/>
      </c>
      <c r="C222">
        <f>MAX(0,MIN(MAX(0,FLOOR($D$15*D221*MAX(0,1-D221/(($D$10+SUM($N$33:N221))/$D$5)),1)),IF(A222&gt;=$D$14,IF(AND(D221&gt;0,F221&gt;0),INT(K221*D221/F221),0),1000000000),MIN(IF($D$11&gt;G221,INT(($D$11-G221)/$D$5),0)-D221,MAX(B222,INT(($D$10+SUM($N$33:N221))/$D$5)-D221))))</f>
        <v/>
      </c>
      <c r="D222">
        <f>D221+C222</f>
        <v/>
      </c>
      <c r="E222">
        <f>$D$5</f>
        <v/>
      </c>
      <c r="F222">
        <f>IF(G221&gt;=$D$11,0,MIN(D222*E222,$D$11-G221))</f>
        <v/>
      </c>
      <c r="G222">
        <f>G221+F222</f>
        <v/>
      </c>
      <c r="H222">
        <f>H221+$D$6*F222</f>
        <v/>
      </c>
      <c r="I222">
        <f>MAX(I221+$D$7*F222+Q222-0.01*G222,0.01*G222)</f>
        <v/>
      </c>
      <c r="J222">
        <f>J221+$D$8*F222+K222-MAX(0,0.02*G222-I221-$D$7*F222-Q222)</f>
        <v/>
      </c>
      <c r="K222">
        <f>($D$9/12)*J221</f>
        <v/>
      </c>
      <c r="L222">
        <f>IF(G222=0,0,J222/(G222*$D$12))</f>
        <v/>
      </c>
      <c r="M222">
        <f>MIN(0.06,MAX(0.01,IF(G222=0,0,I222/G222)))</f>
        <v/>
      </c>
      <c r="N222">
        <f>INDEX($G$6:$G$30,MIN(INT((A222-1)/12)+1,25))</f>
        <v/>
      </c>
      <c r="O222">
        <f>G222*$D$12</f>
        <v/>
      </c>
      <c r="P222">
        <f>M222*G222</f>
        <v/>
      </c>
      <c r="Q222">
        <f>($D$16/12)*I221</f>
        <v/>
      </c>
    </row>
    <row r="223">
      <c r="A223" t="n">
        <v>191</v>
      </c>
      <c r="B223">
        <f>CEILING(0.0101*G222/$D$5,1)</f>
        <v/>
      </c>
      <c r="C223">
        <f>MAX(0,MIN(MAX(0,FLOOR($D$15*D222*MAX(0,1-D222/(($D$10+SUM($N$33:N222))/$D$5)),1)),IF(A223&gt;=$D$14,IF(AND(D222&gt;0,F222&gt;0),INT(K222*D222/F222),0),1000000000),MIN(IF($D$11&gt;G222,INT(($D$11-G222)/$D$5),0)-D222,MAX(B223,INT(($D$10+SUM($N$33:N222))/$D$5)-D222))))</f>
        <v/>
      </c>
      <c r="D223">
        <f>D222+C223</f>
        <v/>
      </c>
      <c r="E223">
        <f>$D$5</f>
        <v/>
      </c>
      <c r="F223">
        <f>IF(G222&gt;=$D$11,0,MIN(D223*E223,$D$11-G222))</f>
        <v/>
      </c>
      <c r="G223">
        <f>G222+F223</f>
        <v/>
      </c>
      <c r="H223">
        <f>H222+$D$6*F223</f>
        <v/>
      </c>
      <c r="I223">
        <f>MAX(I222+$D$7*F223+Q223-0.01*G223,0.01*G223)</f>
        <v/>
      </c>
      <c r="J223">
        <f>J222+$D$8*F223+K223-MAX(0,0.02*G223-I222-$D$7*F223-Q223)</f>
        <v/>
      </c>
      <c r="K223">
        <f>($D$9/12)*J222</f>
        <v/>
      </c>
      <c r="L223">
        <f>IF(G223=0,0,J223/(G223*$D$12))</f>
        <v/>
      </c>
      <c r="M223">
        <f>MIN(0.06,MAX(0.01,IF(G223=0,0,I223/G223)))</f>
        <v/>
      </c>
      <c r="N223">
        <f>INDEX($G$6:$G$30,MIN(INT((A223-1)/12)+1,25))</f>
        <v/>
      </c>
      <c r="O223">
        <f>G223*$D$12</f>
        <v/>
      </c>
      <c r="P223">
        <f>M223*G223</f>
        <v/>
      </c>
      <c r="Q223">
        <f>($D$16/12)*I222</f>
        <v/>
      </c>
    </row>
    <row r="224">
      <c r="A224" t="n">
        <v>192</v>
      </c>
      <c r="B224">
        <f>CEILING(0.0101*G223/$D$5,1)</f>
        <v/>
      </c>
      <c r="C224">
        <f>MAX(0,MIN(MAX(0,FLOOR($D$15*D223*MAX(0,1-D223/(($D$10+SUM($N$33:N223))/$D$5)),1)),IF(A224&gt;=$D$14,IF(AND(D223&gt;0,F223&gt;0),INT(K223*D223/F223),0),1000000000),MIN(IF($D$11&gt;G223,INT(($D$11-G223)/$D$5),0)-D223,MAX(B224,INT(($D$10+SUM($N$33:N223))/$D$5)-D223))))</f>
        <v/>
      </c>
      <c r="D224">
        <f>D223+C224</f>
        <v/>
      </c>
      <c r="E224">
        <f>$D$5</f>
        <v/>
      </c>
      <c r="F224">
        <f>IF(G223&gt;=$D$11,0,MIN(D224*E224,$D$11-G223))</f>
        <v/>
      </c>
      <c r="G224">
        <f>G223+F224</f>
        <v/>
      </c>
      <c r="H224">
        <f>H223+$D$6*F224</f>
        <v/>
      </c>
      <c r="I224">
        <f>MAX(I223+$D$7*F224+Q224-0.01*G224,0.01*G224)</f>
        <v/>
      </c>
      <c r="J224">
        <f>J223+$D$8*F224+K224-MAX(0,0.02*G224-I223-$D$7*F224-Q224)</f>
        <v/>
      </c>
      <c r="K224">
        <f>($D$9/12)*J223</f>
        <v/>
      </c>
      <c r="L224">
        <f>IF(G224=0,0,J224/(G224*$D$12))</f>
        <v/>
      </c>
      <c r="M224">
        <f>MIN(0.06,MAX(0.01,IF(G224=0,0,I224/G224)))</f>
        <v/>
      </c>
      <c r="N224">
        <f>INDEX($G$6:$G$30,MIN(INT((A224-1)/12)+1,25))</f>
        <v/>
      </c>
      <c r="O224">
        <f>G224*$D$12</f>
        <v/>
      </c>
      <c r="P224">
        <f>M224*G224</f>
        <v/>
      </c>
      <c r="Q224">
        <f>($D$16/12)*I223</f>
        <v/>
      </c>
    </row>
    <row r="225">
      <c r="A225" t="n">
        <v>193</v>
      </c>
      <c r="B225">
        <f>CEILING(0.0101*G224/$D$5,1)</f>
        <v/>
      </c>
      <c r="C225">
        <f>MAX(0,MIN(MAX(0,FLOOR($D$15*D224*MAX(0,1-D224/(($D$10+SUM($N$33:N224))/$D$5)),1)),IF(A225&gt;=$D$14,IF(AND(D224&gt;0,F224&gt;0),INT(K224*D224/F224),0),1000000000),MIN(IF($D$11&gt;G224,INT(($D$11-G224)/$D$5),0)-D224,MAX(B225,INT(($D$10+SUM($N$33:N224))/$D$5)-D224))))</f>
        <v/>
      </c>
      <c r="D225">
        <f>D224+C225</f>
        <v/>
      </c>
      <c r="E225">
        <f>$D$5</f>
        <v/>
      </c>
      <c r="F225">
        <f>IF(G224&gt;=$D$11,0,MIN(D225*E225,$D$11-G224))</f>
        <v/>
      </c>
      <c r="G225">
        <f>G224+F225</f>
        <v/>
      </c>
      <c r="H225">
        <f>H224+$D$6*F225</f>
        <v/>
      </c>
      <c r="I225">
        <f>MAX(I224+$D$7*F225+Q225-0.01*G225,0.01*G225)</f>
        <v/>
      </c>
      <c r="J225">
        <f>J224+$D$8*F225+K225-MAX(0,0.02*G225-I224-$D$7*F225-Q225)</f>
        <v/>
      </c>
      <c r="K225">
        <f>($D$9/12)*J224</f>
        <v/>
      </c>
      <c r="L225">
        <f>IF(G225=0,0,J225/(G225*$D$12))</f>
        <v/>
      </c>
      <c r="M225">
        <f>MIN(0.06,MAX(0.01,IF(G225=0,0,I225/G225)))</f>
        <v/>
      </c>
      <c r="N225">
        <f>INDEX($G$6:$G$30,MIN(INT((A225-1)/12)+1,25))</f>
        <v/>
      </c>
      <c r="O225">
        <f>G225*$D$12</f>
        <v/>
      </c>
      <c r="P225">
        <f>M225*G225</f>
        <v/>
      </c>
      <c r="Q225">
        <f>($D$16/12)*I224</f>
        <v/>
      </c>
    </row>
    <row r="226">
      <c r="A226" t="n">
        <v>194</v>
      </c>
      <c r="B226">
        <f>CEILING(0.0101*G225/$D$5,1)</f>
        <v/>
      </c>
      <c r="C226">
        <f>MAX(0,MIN(MAX(0,FLOOR($D$15*D225*MAX(0,1-D225/(($D$10+SUM($N$33:N225))/$D$5)),1)),IF(A226&gt;=$D$14,IF(AND(D225&gt;0,F225&gt;0),INT(K225*D225/F225),0),1000000000),MIN(IF($D$11&gt;G225,INT(($D$11-G225)/$D$5),0)-D225,MAX(B226,INT(($D$10+SUM($N$33:N225))/$D$5)-D225))))</f>
        <v/>
      </c>
      <c r="D226">
        <f>D225+C226</f>
        <v/>
      </c>
      <c r="E226">
        <f>$D$5</f>
        <v/>
      </c>
      <c r="F226">
        <f>IF(G225&gt;=$D$11,0,MIN(D226*E226,$D$11-G225))</f>
        <v/>
      </c>
      <c r="G226">
        <f>G225+F226</f>
        <v/>
      </c>
      <c r="H226">
        <f>H225+$D$6*F226</f>
        <v/>
      </c>
      <c r="I226">
        <f>MAX(I225+$D$7*F226+Q226-0.01*G226,0.01*G226)</f>
        <v/>
      </c>
      <c r="J226">
        <f>J225+$D$8*F226+K226-MAX(0,0.02*G226-I225-$D$7*F226-Q226)</f>
        <v/>
      </c>
      <c r="K226">
        <f>($D$9/12)*J225</f>
        <v/>
      </c>
      <c r="L226">
        <f>IF(G226=0,0,J226/(G226*$D$12))</f>
        <v/>
      </c>
      <c r="M226">
        <f>MIN(0.06,MAX(0.01,IF(G226=0,0,I226/G226)))</f>
        <v/>
      </c>
      <c r="N226">
        <f>INDEX($G$6:$G$30,MIN(INT((A226-1)/12)+1,25))</f>
        <v/>
      </c>
      <c r="O226">
        <f>G226*$D$12</f>
        <v/>
      </c>
      <c r="P226">
        <f>M226*G226</f>
        <v/>
      </c>
      <c r="Q226">
        <f>($D$16/12)*I225</f>
        <v/>
      </c>
    </row>
    <row r="227">
      <c r="A227" t="n">
        <v>195</v>
      </c>
      <c r="B227">
        <f>CEILING(0.0101*G226/$D$5,1)</f>
        <v/>
      </c>
      <c r="C227">
        <f>MAX(0,MIN(MAX(0,FLOOR($D$15*D226*MAX(0,1-D226/(($D$10+SUM($N$33:N226))/$D$5)),1)),IF(A227&gt;=$D$14,IF(AND(D226&gt;0,F226&gt;0),INT(K226*D226/F226),0),1000000000),MIN(IF($D$11&gt;G226,INT(($D$11-G226)/$D$5),0)-D226,MAX(B227,INT(($D$10+SUM($N$33:N226))/$D$5)-D226))))</f>
        <v/>
      </c>
      <c r="D227">
        <f>D226+C227</f>
        <v/>
      </c>
      <c r="E227">
        <f>$D$5</f>
        <v/>
      </c>
      <c r="F227">
        <f>IF(G226&gt;=$D$11,0,MIN(D227*E227,$D$11-G226))</f>
        <v/>
      </c>
      <c r="G227">
        <f>G226+F227</f>
        <v/>
      </c>
      <c r="H227">
        <f>H226+$D$6*F227</f>
        <v/>
      </c>
      <c r="I227">
        <f>MAX(I226+$D$7*F227+Q227-0.01*G227,0.01*G227)</f>
        <v/>
      </c>
      <c r="J227">
        <f>J226+$D$8*F227+K227-MAX(0,0.02*G227-I226-$D$7*F227-Q227)</f>
        <v/>
      </c>
      <c r="K227">
        <f>($D$9/12)*J226</f>
        <v/>
      </c>
      <c r="L227">
        <f>IF(G227=0,0,J227/(G227*$D$12))</f>
        <v/>
      </c>
      <c r="M227">
        <f>MIN(0.06,MAX(0.01,IF(G227=0,0,I227/G227)))</f>
        <v/>
      </c>
      <c r="N227">
        <f>INDEX($G$6:$G$30,MIN(INT((A227-1)/12)+1,25))</f>
        <v/>
      </c>
      <c r="O227">
        <f>G227*$D$12</f>
        <v/>
      </c>
      <c r="P227">
        <f>M227*G227</f>
        <v/>
      </c>
      <c r="Q227">
        <f>($D$16/12)*I226</f>
        <v/>
      </c>
    </row>
    <row r="228">
      <c r="A228" t="n">
        <v>196</v>
      </c>
      <c r="B228">
        <f>CEILING(0.0101*G227/$D$5,1)</f>
        <v/>
      </c>
      <c r="C228">
        <f>MAX(0,MIN(MAX(0,FLOOR($D$15*D227*MAX(0,1-D227/(($D$10+SUM($N$33:N227))/$D$5)),1)),IF(A228&gt;=$D$14,IF(AND(D227&gt;0,F227&gt;0),INT(K227*D227/F227),0),1000000000),MIN(IF($D$11&gt;G227,INT(($D$11-G227)/$D$5),0)-D227,MAX(B228,INT(($D$10+SUM($N$33:N227))/$D$5)-D227))))</f>
        <v/>
      </c>
      <c r="D228">
        <f>D227+C228</f>
        <v/>
      </c>
      <c r="E228">
        <f>$D$5</f>
        <v/>
      </c>
      <c r="F228">
        <f>IF(G227&gt;=$D$11,0,MIN(D228*E228,$D$11-G227))</f>
        <v/>
      </c>
      <c r="G228">
        <f>G227+F228</f>
        <v/>
      </c>
      <c r="H228">
        <f>H227+$D$6*F228</f>
        <v/>
      </c>
      <c r="I228">
        <f>MAX(I227+$D$7*F228+Q228-0.01*G228,0.01*G228)</f>
        <v/>
      </c>
      <c r="J228">
        <f>J227+$D$8*F228+K228-MAX(0,0.02*G228-I227-$D$7*F228-Q228)</f>
        <v/>
      </c>
      <c r="K228">
        <f>($D$9/12)*J227</f>
        <v/>
      </c>
      <c r="L228">
        <f>IF(G228=0,0,J228/(G228*$D$12))</f>
        <v/>
      </c>
      <c r="M228">
        <f>MIN(0.06,MAX(0.01,IF(G228=0,0,I228/G228)))</f>
        <v/>
      </c>
      <c r="N228">
        <f>INDEX($G$6:$G$30,MIN(INT((A228-1)/12)+1,25))</f>
        <v/>
      </c>
      <c r="O228">
        <f>G228*$D$12</f>
        <v/>
      </c>
      <c r="P228">
        <f>M228*G228</f>
        <v/>
      </c>
      <c r="Q228">
        <f>($D$16/12)*I227</f>
        <v/>
      </c>
    </row>
    <row r="229">
      <c r="A229" t="n">
        <v>197</v>
      </c>
      <c r="B229">
        <f>CEILING(0.0101*G228/$D$5,1)</f>
        <v/>
      </c>
      <c r="C229">
        <f>MAX(0,MIN(MAX(0,FLOOR($D$15*D228*MAX(0,1-D228/(($D$10+SUM($N$33:N228))/$D$5)),1)),IF(A229&gt;=$D$14,IF(AND(D228&gt;0,F228&gt;0),INT(K228*D228/F228),0),1000000000),MIN(IF($D$11&gt;G228,INT(($D$11-G228)/$D$5),0)-D228,MAX(B229,INT(($D$10+SUM($N$33:N228))/$D$5)-D228))))</f>
        <v/>
      </c>
      <c r="D229">
        <f>D228+C229</f>
        <v/>
      </c>
      <c r="E229">
        <f>$D$5</f>
        <v/>
      </c>
      <c r="F229">
        <f>IF(G228&gt;=$D$11,0,MIN(D229*E229,$D$11-G228))</f>
        <v/>
      </c>
      <c r="G229">
        <f>G228+F229</f>
        <v/>
      </c>
      <c r="H229">
        <f>H228+$D$6*F229</f>
        <v/>
      </c>
      <c r="I229">
        <f>MAX(I228+$D$7*F229+Q229-0.01*G229,0.01*G229)</f>
        <v/>
      </c>
      <c r="J229">
        <f>J228+$D$8*F229+K229-MAX(0,0.02*G229-I228-$D$7*F229-Q229)</f>
        <v/>
      </c>
      <c r="K229">
        <f>($D$9/12)*J228</f>
        <v/>
      </c>
      <c r="L229">
        <f>IF(G229=0,0,J229/(G229*$D$12))</f>
        <v/>
      </c>
      <c r="M229">
        <f>MIN(0.06,MAX(0.01,IF(G229=0,0,I229/G229)))</f>
        <v/>
      </c>
      <c r="N229">
        <f>INDEX($G$6:$G$30,MIN(INT((A229-1)/12)+1,25))</f>
        <v/>
      </c>
      <c r="O229">
        <f>G229*$D$12</f>
        <v/>
      </c>
      <c r="P229">
        <f>M229*G229</f>
        <v/>
      </c>
      <c r="Q229">
        <f>($D$16/12)*I228</f>
        <v/>
      </c>
    </row>
    <row r="230">
      <c r="A230" t="n">
        <v>198</v>
      </c>
      <c r="B230">
        <f>CEILING(0.0101*G229/$D$5,1)</f>
        <v/>
      </c>
      <c r="C230">
        <f>MAX(0,MIN(MAX(0,FLOOR($D$15*D229*MAX(0,1-D229/(($D$10+SUM($N$33:N229))/$D$5)),1)),IF(A230&gt;=$D$14,IF(AND(D229&gt;0,F229&gt;0),INT(K229*D229/F229),0),1000000000),MIN(IF($D$11&gt;G229,INT(($D$11-G229)/$D$5),0)-D229,MAX(B230,INT(($D$10+SUM($N$33:N229))/$D$5)-D229))))</f>
        <v/>
      </c>
      <c r="D230">
        <f>D229+C230</f>
        <v/>
      </c>
      <c r="E230">
        <f>$D$5</f>
        <v/>
      </c>
      <c r="F230">
        <f>IF(G229&gt;=$D$11,0,MIN(D230*E230,$D$11-G229))</f>
        <v/>
      </c>
      <c r="G230">
        <f>G229+F230</f>
        <v/>
      </c>
      <c r="H230">
        <f>H229+$D$6*F230</f>
        <v/>
      </c>
      <c r="I230">
        <f>MAX(I229+$D$7*F230+Q230-0.01*G230,0.01*G230)</f>
        <v/>
      </c>
      <c r="J230">
        <f>J229+$D$8*F230+K230-MAX(0,0.02*G230-I229-$D$7*F230-Q230)</f>
        <v/>
      </c>
      <c r="K230">
        <f>($D$9/12)*J229</f>
        <v/>
      </c>
      <c r="L230">
        <f>IF(G230=0,0,J230/(G230*$D$12))</f>
        <v/>
      </c>
      <c r="M230">
        <f>MIN(0.06,MAX(0.01,IF(G230=0,0,I230/G230)))</f>
        <v/>
      </c>
      <c r="N230">
        <f>INDEX($G$6:$G$30,MIN(INT((A230-1)/12)+1,25))</f>
        <v/>
      </c>
      <c r="O230">
        <f>G230*$D$12</f>
        <v/>
      </c>
      <c r="P230">
        <f>M230*G230</f>
        <v/>
      </c>
      <c r="Q230">
        <f>($D$16/12)*I229</f>
        <v/>
      </c>
    </row>
    <row r="231">
      <c r="A231" t="n">
        <v>199</v>
      </c>
      <c r="B231">
        <f>CEILING(0.0101*G230/$D$5,1)</f>
        <v/>
      </c>
      <c r="C231">
        <f>MAX(0,MIN(MAX(0,FLOOR($D$15*D230*MAX(0,1-D230/(($D$10+SUM($N$33:N230))/$D$5)),1)),IF(A231&gt;=$D$14,IF(AND(D230&gt;0,F230&gt;0),INT(K230*D230/F230),0),1000000000),MIN(IF($D$11&gt;G230,INT(($D$11-G230)/$D$5),0)-D230,MAX(B231,INT(($D$10+SUM($N$33:N230))/$D$5)-D230))))</f>
        <v/>
      </c>
      <c r="D231">
        <f>D230+C231</f>
        <v/>
      </c>
      <c r="E231">
        <f>$D$5</f>
        <v/>
      </c>
      <c r="F231">
        <f>IF(G230&gt;=$D$11,0,MIN(D231*E231,$D$11-G230))</f>
        <v/>
      </c>
      <c r="G231">
        <f>G230+F231</f>
        <v/>
      </c>
      <c r="H231">
        <f>H230+$D$6*F231</f>
        <v/>
      </c>
      <c r="I231">
        <f>MAX(I230+$D$7*F231+Q231-0.01*G231,0.01*G231)</f>
        <v/>
      </c>
      <c r="J231">
        <f>J230+$D$8*F231+K231-MAX(0,0.02*G231-I230-$D$7*F231-Q231)</f>
        <v/>
      </c>
      <c r="K231">
        <f>($D$9/12)*J230</f>
        <v/>
      </c>
      <c r="L231">
        <f>IF(G231=0,0,J231/(G231*$D$12))</f>
        <v/>
      </c>
      <c r="M231">
        <f>MIN(0.06,MAX(0.01,IF(G231=0,0,I231/G231)))</f>
        <v/>
      </c>
      <c r="N231">
        <f>INDEX($G$6:$G$30,MIN(INT((A231-1)/12)+1,25))</f>
        <v/>
      </c>
      <c r="O231">
        <f>G231*$D$12</f>
        <v/>
      </c>
      <c r="P231">
        <f>M231*G231</f>
        <v/>
      </c>
      <c r="Q231">
        <f>($D$16/12)*I230</f>
        <v/>
      </c>
    </row>
    <row r="232">
      <c r="A232" t="n">
        <v>200</v>
      </c>
      <c r="B232">
        <f>CEILING(0.0101*G231/$D$5,1)</f>
        <v/>
      </c>
      <c r="C232">
        <f>MAX(0,MIN(MAX(0,FLOOR($D$15*D231*MAX(0,1-D231/(($D$10+SUM($N$33:N231))/$D$5)),1)),IF(A232&gt;=$D$14,IF(AND(D231&gt;0,F231&gt;0),INT(K231*D231/F231),0),1000000000),MIN(IF($D$11&gt;G231,INT(($D$11-G231)/$D$5),0)-D231,MAX(B232,INT(($D$10+SUM($N$33:N231))/$D$5)-D231))))</f>
        <v/>
      </c>
      <c r="D232">
        <f>D231+C232</f>
        <v/>
      </c>
      <c r="E232">
        <f>$D$5</f>
        <v/>
      </c>
      <c r="F232">
        <f>IF(G231&gt;=$D$11,0,MIN(D232*E232,$D$11-G231))</f>
        <v/>
      </c>
      <c r="G232">
        <f>G231+F232</f>
        <v/>
      </c>
      <c r="H232">
        <f>H231+$D$6*F232</f>
        <v/>
      </c>
      <c r="I232">
        <f>MAX(I231+$D$7*F232+Q232-0.01*G232,0.01*G232)</f>
        <v/>
      </c>
      <c r="J232">
        <f>J231+$D$8*F232+K232-MAX(0,0.02*G232-I231-$D$7*F232-Q232)</f>
        <v/>
      </c>
      <c r="K232">
        <f>($D$9/12)*J231</f>
        <v/>
      </c>
      <c r="L232">
        <f>IF(G232=0,0,J232/(G232*$D$12))</f>
        <v/>
      </c>
      <c r="M232">
        <f>MIN(0.06,MAX(0.01,IF(G232=0,0,I232/G232)))</f>
        <v/>
      </c>
      <c r="N232">
        <f>INDEX($G$6:$G$30,MIN(INT((A232-1)/12)+1,25))</f>
        <v/>
      </c>
      <c r="O232">
        <f>G232*$D$12</f>
        <v/>
      </c>
      <c r="P232">
        <f>M232*G232</f>
        <v/>
      </c>
      <c r="Q232">
        <f>($D$16/12)*I231</f>
        <v/>
      </c>
    </row>
    <row r="233">
      <c r="A233" t="n">
        <v>201</v>
      </c>
      <c r="B233">
        <f>CEILING(0.0101*G232/$D$5,1)</f>
        <v/>
      </c>
      <c r="C233">
        <f>MAX(0,MIN(MAX(0,FLOOR($D$15*D232*MAX(0,1-D232/(($D$10+SUM($N$33:N232))/$D$5)),1)),IF(A233&gt;=$D$14,IF(AND(D232&gt;0,F232&gt;0),INT(K232*D232/F232),0),1000000000),MIN(IF($D$11&gt;G232,INT(($D$11-G232)/$D$5),0)-D232,MAX(B233,INT(($D$10+SUM($N$33:N232))/$D$5)-D232))))</f>
        <v/>
      </c>
      <c r="D233">
        <f>D232+C233</f>
        <v/>
      </c>
      <c r="E233">
        <f>$D$5</f>
        <v/>
      </c>
      <c r="F233">
        <f>IF(G232&gt;=$D$11,0,MIN(D233*E233,$D$11-G232))</f>
        <v/>
      </c>
      <c r="G233">
        <f>G232+F233</f>
        <v/>
      </c>
      <c r="H233">
        <f>H232+$D$6*F233</f>
        <v/>
      </c>
      <c r="I233">
        <f>MAX(I232+$D$7*F233+Q233-0.01*G233,0.01*G233)</f>
        <v/>
      </c>
      <c r="J233">
        <f>J232+$D$8*F233+K233-MAX(0,0.02*G233-I232-$D$7*F233-Q233)</f>
        <v/>
      </c>
      <c r="K233">
        <f>($D$9/12)*J232</f>
        <v/>
      </c>
      <c r="L233">
        <f>IF(G233=0,0,J233/(G233*$D$12))</f>
        <v/>
      </c>
      <c r="M233">
        <f>MIN(0.06,MAX(0.01,IF(G233=0,0,I233/G233)))</f>
        <v/>
      </c>
      <c r="N233">
        <f>INDEX($G$6:$G$30,MIN(INT((A233-1)/12)+1,25))</f>
        <v/>
      </c>
      <c r="O233">
        <f>G233*$D$12</f>
        <v/>
      </c>
      <c r="P233">
        <f>M233*G233</f>
        <v/>
      </c>
      <c r="Q233">
        <f>($D$16/12)*I232</f>
        <v/>
      </c>
    </row>
    <row r="234">
      <c r="A234" t="n">
        <v>202</v>
      </c>
      <c r="B234">
        <f>CEILING(0.0101*G233/$D$5,1)</f>
        <v/>
      </c>
      <c r="C234">
        <f>MAX(0,MIN(MAX(0,FLOOR($D$15*D233*MAX(0,1-D233/(($D$10+SUM($N$33:N233))/$D$5)),1)),IF(A234&gt;=$D$14,IF(AND(D233&gt;0,F233&gt;0),INT(K233*D233/F233),0),1000000000),MIN(IF($D$11&gt;G233,INT(($D$11-G233)/$D$5),0)-D233,MAX(B234,INT(($D$10+SUM($N$33:N233))/$D$5)-D233))))</f>
        <v/>
      </c>
      <c r="D234">
        <f>D233+C234</f>
        <v/>
      </c>
      <c r="E234">
        <f>$D$5</f>
        <v/>
      </c>
      <c r="F234">
        <f>IF(G233&gt;=$D$11,0,MIN(D234*E234,$D$11-G233))</f>
        <v/>
      </c>
      <c r="G234">
        <f>G233+F234</f>
        <v/>
      </c>
      <c r="H234">
        <f>H233+$D$6*F234</f>
        <v/>
      </c>
      <c r="I234">
        <f>MAX(I233+$D$7*F234+Q234-0.01*G234,0.01*G234)</f>
        <v/>
      </c>
      <c r="J234">
        <f>J233+$D$8*F234+K234-MAX(0,0.02*G234-I233-$D$7*F234-Q234)</f>
        <v/>
      </c>
      <c r="K234">
        <f>($D$9/12)*J233</f>
        <v/>
      </c>
      <c r="L234">
        <f>IF(G234=0,0,J234/(G234*$D$12))</f>
        <v/>
      </c>
      <c r="M234">
        <f>MIN(0.06,MAX(0.01,IF(G234=0,0,I234/G234)))</f>
        <v/>
      </c>
      <c r="N234">
        <f>INDEX($G$6:$G$30,MIN(INT((A234-1)/12)+1,25))</f>
        <v/>
      </c>
      <c r="O234">
        <f>G234*$D$12</f>
        <v/>
      </c>
      <c r="P234">
        <f>M234*G234</f>
        <v/>
      </c>
      <c r="Q234">
        <f>($D$16/12)*I233</f>
        <v/>
      </c>
    </row>
    <row r="235">
      <c r="A235" t="n">
        <v>203</v>
      </c>
      <c r="B235">
        <f>CEILING(0.0101*G234/$D$5,1)</f>
        <v/>
      </c>
      <c r="C235">
        <f>MAX(0,MIN(MAX(0,FLOOR($D$15*D234*MAX(0,1-D234/(($D$10+SUM($N$33:N234))/$D$5)),1)),IF(A235&gt;=$D$14,IF(AND(D234&gt;0,F234&gt;0),INT(K234*D234/F234),0),1000000000),MIN(IF($D$11&gt;G234,INT(($D$11-G234)/$D$5),0)-D234,MAX(B235,INT(($D$10+SUM($N$33:N234))/$D$5)-D234))))</f>
        <v/>
      </c>
      <c r="D235">
        <f>D234+C235</f>
        <v/>
      </c>
      <c r="E235">
        <f>$D$5</f>
        <v/>
      </c>
      <c r="F235">
        <f>IF(G234&gt;=$D$11,0,MIN(D235*E235,$D$11-G234))</f>
        <v/>
      </c>
      <c r="G235">
        <f>G234+F235</f>
        <v/>
      </c>
      <c r="H235">
        <f>H234+$D$6*F235</f>
        <v/>
      </c>
      <c r="I235">
        <f>MAX(I234+$D$7*F235+Q235-0.01*G235,0.01*G235)</f>
        <v/>
      </c>
      <c r="J235">
        <f>J234+$D$8*F235+K235-MAX(0,0.02*G235-I234-$D$7*F235-Q235)</f>
        <v/>
      </c>
      <c r="K235">
        <f>($D$9/12)*J234</f>
        <v/>
      </c>
      <c r="L235">
        <f>IF(G235=0,0,J235/(G235*$D$12))</f>
        <v/>
      </c>
      <c r="M235">
        <f>MIN(0.06,MAX(0.01,IF(G235=0,0,I235/G235)))</f>
        <v/>
      </c>
      <c r="N235">
        <f>INDEX($G$6:$G$30,MIN(INT((A235-1)/12)+1,25))</f>
        <v/>
      </c>
      <c r="O235">
        <f>G235*$D$12</f>
        <v/>
      </c>
      <c r="P235">
        <f>M235*G235</f>
        <v/>
      </c>
      <c r="Q235">
        <f>($D$16/12)*I234</f>
        <v/>
      </c>
    </row>
    <row r="236">
      <c r="A236" t="n">
        <v>204</v>
      </c>
      <c r="B236">
        <f>CEILING(0.0101*G235/$D$5,1)</f>
        <v/>
      </c>
      <c r="C236">
        <f>MAX(0,MIN(MAX(0,FLOOR($D$15*D235*MAX(0,1-D235/(($D$10+SUM($N$33:N235))/$D$5)),1)),IF(A236&gt;=$D$14,IF(AND(D235&gt;0,F235&gt;0),INT(K235*D235/F235),0),1000000000),MIN(IF($D$11&gt;G235,INT(($D$11-G235)/$D$5),0)-D235,MAX(B236,INT(($D$10+SUM($N$33:N235))/$D$5)-D235))))</f>
        <v/>
      </c>
      <c r="D236">
        <f>D235+C236</f>
        <v/>
      </c>
      <c r="E236">
        <f>$D$5</f>
        <v/>
      </c>
      <c r="F236">
        <f>IF(G235&gt;=$D$11,0,MIN(D236*E236,$D$11-G235))</f>
        <v/>
      </c>
      <c r="G236">
        <f>G235+F236</f>
        <v/>
      </c>
      <c r="H236">
        <f>H235+$D$6*F236</f>
        <v/>
      </c>
      <c r="I236">
        <f>MAX(I235+$D$7*F236+Q236-0.01*G236,0.01*G236)</f>
        <v/>
      </c>
      <c r="J236">
        <f>J235+$D$8*F236+K236-MAX(0,0.02*G236-I235-$D$7*F236-Q236)</f>
        <v/>
      </c>
      <c r="K236">
        <f>($D$9/12)*J235</f>
        <v/>
      </c>
      <c r="L236">
        <f>IF(G236=0,0,J236/(G236*$D$12))</f>
        <v/>
      </c>
      <c r="M236">
        <f>MIN(0.06,MAX(0.01,IF(G236=0,0,I236/G236)))</f>
        <v/>
      </c>
      <c r="N236">
        <f>INDEX($G$6:$G$30,MIN(INT((A236-1)/12)+1,25))</f>
        <v/>
      </c>
      <c r="O236">
        <f>G236*$D$12</f>
        <v/>
      </c>
      <c r="P236">
        <f>M236*G236</f>
        <v/>
      </c>
      <c r="Q236">
        <f>($D$16/12)*I235</f>
        <v/>
      </c>
    </row>
    <row r="237">
      <c r="A237" t="n">
        <v>205</v>
      </c>
      <c r="B237">
        <f>CEILING(0.0101*G236/$D$5,1)</f>
        <v/>
      </c>
      <c r="C237">
        <f>MAX(0,MIN(MAX(0,FLOOR($D$15*D236*MAX(0,1-D236/(($D$10+SUM($N$33:N236))/$D$5)),1)),IF(A237&gt;=$D$14,IF(AND(D236&gt;0,F236&gt;0),INT(K236*D236/F236),0),1000000000),MIN(IF($D$11&gt;G236,INT(($D$11-G236)/$D$5),0)-D236,MAX(B237,INT(($D$10+SUM($N$33:N236))/$D$5)-D236))))</f>
        <v/>
      </c>
      <c r="D237">
        <f>D236+C237</f>
        <v/>
      </c>
      <c r="E237">
        <f>$D$5</f>
        <v/>
      </c>
      <c r="F237">
        <f>IF(G236&gt;=$D$11,0,MIN(D237*E237,$D$11-G236))</f>
        <v/>
      </c>
      <c r="G237">
        <f>G236+F237</f>
        <v/>
      </c>
      <c r="H237">
        <f>H236+$D$6*F237</f>
        <v/>
      </c>
      <c r="I237">
        <f>MAX(I236+$D$7*F237+Q237-0.01*G237,0.01*G237)</f>
        <v/>
      </c>
      <c r="J237">
        <f>J236+$D$8*F237+K237-MAX(0,0.02*G237-I236-$D$7*F237-Q237)</f>
        <v/>
      </c>
      <c r="K237">
        <f>($D$9/12)*J236</f>
        <v/>
      </c>
      <c r="L237">
        <f>IF(G237=0,0,J237/(G237*$D$12))</f>
        <v/>
      </c>
      <c r="M237">
        <f>MIN(0.06,MAX(0.01,IF(G237=0,0,I237/G237)))</f>
        <v/>
      </c>
      <c r="N237">
        <f>INDEX($G$6:$G$30,MIN(INT((A237-1)/12)+1,25))</f>
        <v/>
      </c>
      <c r="O237">
        <f>G237*$D$12</f>
        <v/>
      </c>
      <c r="P237">
        <f>M237*G237</f>
        <v/>
      </c>
      <c r="Q237">
        <f>($D$16/12)*I236</f>
        <v/>
      </c>
    </row>
    <row r="238">
      <c r="A238" t="n">
        <v>206</v>
      </c>
      <c r="B238">
        <f>CEILING(0.0101*G237/$D$5,1)</f>
        <v/>
      </c>
      <c r="C238">
        <f>MAX(0,MIN(MAX(0,FLOOR($D$15*D237*MAX(0,1-D237/(($D$10+SUM($N$33:N237))/$D$5)),1)),IF(A238&gt;=$D$14,IF(AND(D237&gt;0,F237&gt;0),INT(K237*D237/F237),0),1000000000),MIN(IF($D$11&gt;G237,INT(($D$11-G237)/$D$5),0)-D237,MAX(B238,INT(($D$10+SUM($N$33:N237))/$D$5)-D237))))</f>
        <v/>
      </c>
      <c r="D238">
        <f>D237+C238</f>
        <v/>
      </c>
      <c r="E238">
        <f>$D$5</f>
        <v/>
      </c>
      <c r="F238">
        <f>IF(G237&gt;=$D$11,0,MIN(D238*E238,$D$11-G237))</f>
        <v/>
      </c>
      <c r="G238">
        <f>G237+F238</f>
        <v/>
      </c>
      <c r="H238">
        <f>H237+$D$6*F238</f>
        <v/>
      </c>
      <c r="I238">
        <f>MAX(I237+$D$7*F238+Q238-0.01*G238,0.01*G238)</f>
        <v/>
      </c>
      <c r="J238">
        <f>J237+$D$8*F238+K238-MAX(0,0.02*G238-I237-$D$7*F238-Q238)</f>
        <v/>
      </c>
      <c r="K238">
        <f>($D$9/12)*J237</f>
        <v/>
      </c>
      <c r="L238">
        <f>IF(G238=0,0,J238/(G238*$D$12))</f>
        <v/>
      </c>
      <c r="M238">
        <f>MIN(0.06,MAX(0.01,IF(G238=0,0,I238/G238)))</f>
        <v/>
      </c>
      <c r="N238">
        <f>INDEX($G$6:$G$30,MIN(INT((A238-1)/12)+1,25))</f>
        <v/>
      </c>
      <c r="O238">
        <f>G238*$D$12</f>
        <v/>
      </c>
      <c r="P238">
        <f>M238*G238</f>
        <v/>
      </c>
      <c r="Q238">
        <f>($D$16/12)*I237</f>
        <v/>
      </c>
    </row>
    <row r="239">
      <c r="A239" t="n">
        <v>207</v>
      </c>
      <c r="B239">
        <f>CEILING(0.0101*G238/$D$5,1)</f>
        <v/>
      </c>
      <c r="C239">
        <f>MAX(0,MIN(MAX(0,FLOOR($D$15*D238*MAX(0,1-D238/(($D$10+SUM($N$33:N238))/$D$5)),1)),IF(A239&gt;=$D$14,IF(AND(D238&gt;0,F238&gt;0),INT(K238*D238/F238),0),1000000000),MIN(IF($D$11&gt;G238,INT(($D$11-G238)/$D$5),0)-D238,MAX(B239,INT(($D$10+SUM($N$33:N238))/$D$5)-D238))))</f>
        <v/>
      </c>
      <c r="D239">
        <f>D238+C239</f>
        <v/>
      </c>
      <c r="E239">
        <f>$D$5</f>
        <v/>
      </c>
      <c r="F239">
        <f>IF(G238&gt;=$D$11,0,MIN(D239*E239,$D$11-G238))</f>
        <v/>
      </c>
      <c r="G239">
        <f>G238+F239</f>
        <v/>
      </c>
      <c r="H239">
        <f>H238+$D$6*F239</f>
        <v/>
      </c>
      <c r="I239">
        <f>MAX(I238+$D$7*F239+Q239-0.01*G239,0.01*G239)</f>
        <v/>
      </c>
      <c r="J239">
        <f>J238+$D$8*F239+K239-MAX(0,0.02*G239-I238-$D$7*F239-Q239)</f>
        <v/>
      </c>
      <c r="K239">
        <f>($D$9/12)*J238</f>
        <v/>
      </c>
      <c r="L239">
        <f>IF(G239=0,0,J239/(G239*$D$12))</f>
        <v/>
      </c>
      <c r="M239">
        <f>MIN(0.06,MAX(0.01,IF(G239=0,0,I239/G239)))</f>
        <v/>
      </c>
      <c r="N239">
        <f>INDEX($G$6:$G$30,MIN(INT((A239-1)/12)+1,25))</f>
        <v/>
      </c>
      <c r="O239">
        <f>G239*$D$12</f>
        <v/>
      </c>
      <c r="P239">
        <f>M239*G239</f>
        <v/>
      </c>
      <c r="Q239">
        <f>($D$16/12)*I238</f>
        <v/>
      </c>
    </row>
    <row r="240">
      <c r="A240" t="n">
        <v>208</v>
      </c>
      <c r="B240">
        <f>CEILING(0.0101*G239/$D$5,1)</f>
        <v/>
      </c>
      <c r="C240">
        <f>MAX(0,MIN(MAX(0,FLOOR($D$15*D239*MAX(0,1-D239/(($D$10+SUM($N$33:N239))/$D$5)),1)),IF(A240&gt;=$D$14,IF(AND(D239&gt;0,F239&gt;0),INT(K239*D239/F239),0),1000000000),MIN(IF($D$11&gt;G239,INT(($D$11-G239)/$D$5),0)-D239,MAX(B240,INT(($D$10+SUM($N$33:N239))/$D$5)-D239))))</f>
        <v/>
      </c>
      <c r="D240">
        <f>D239+C240</f>
        <v/>
      </c>
      <c r="E240">
        <f>$D$5</f>
        <v/>
      </c>
      <c r="F240">
        <f>IF(G239&gt;=$D$11,0,MIN(D240*E240,$D$11-G239))</f>
        <v/>
      </c>
      <c r="G240">
        <f>G239+F240</f>
        <v/>
      </c>
      <c r="H240">
        <f>H239+$D$6*F240</f>
        <v/>
      </c>
      <c r="I240">
        <f>MAX(I239+$D$7*F240+Q240-0.01*G240,0.01*G240)</f>
        <v/>
      </c>
      <c r="J240">
        <f>J239+$D$8*F240+K240-MAX(0,0.02*G240-I239-$D$7*F240-Q240)</f>
        <v/>
      </c>
      <c r="K240">
        <f>($D$9/12)*J239</f>
        <v/>
      </c>
      <c r="L240">
        <f>IF(G240=0,0,J240/(G240*$D$12))</f>
        <v/>
      </c>
      <c r="M240">
        <f>MIN(0.06,MAX(0.01,IF(G240=0,0,I240/G240)))</f>
        <v/>
      </c>
      <c r="N240">
        <f>INDEX($G$6:$G$30,MIN(INT((A240-1)/12)+1,25))</f>
        <v/>
      </c>
      <c r="O240">
        <f>G240*$D$12</f>
        <v/>
      </c>
      <c r="P240">
        <f>M240*G240</f>
        <v/>
      </c>
      <c r="Q240">
        <f>($D$16/12)*I239</f>
        <v/>
      </c>
    </row>
    <row r="241">
      <c r="A241" t="n">
        <v>209</v>
      </c>
      <c r="B241">
        <f>CEILING(0.0101*G240/$D$5,1)</f>
        <v/>
      </c>
      <c r="C241">
        <f>MAX(0,MIN(MAX(0,FLOOR($D$15*D240*MAX(0,1-D240/(($D$10+SUM($N$33:N240))/$D$5)),1)),IF(A241&gt;=$D$14,IF(AND(D240&gt;0,F240&gt;0),INT(K240*D240/F240),0),1000000000),MIN(IF($D$11&gt;G240,INT(($D$11-G240)/$D$5),0)-D240,MAX(B241,INT(($D$10+SUM($N$33:N240))/$D$5)-D240))))</f>
        <v/>
      </c>
      <c r="D241">
        <f>D240+C241</f>
        <v/>
      </c>
      <c r="E241">
        <f>$D$5</f>
        <v/>
      </c>
      <c r="F241">
        <f>IF(G240&gt;=$D$11,0,MIN(D241*E241,$D$11-G240))</f>
        <v/>
      </c>
      <c r="G241">
        <f>G240+F241</f>
        <v/>
      </c>
      <c r="H241">
        <f>H240+$D$6*F241</f>
        <v/>
      </c>
      <c r="I241">
        <f>MAX(I240+$D$7*F241+Q241-0.01*G241,0.01*G241)</f>
        <v/>
      </c>
      <c r="J241">
        <f>J240+$D$8*F241+K241-MAX(0,0.02*G241-I240-$D$7*F241-Q241)</f>
        <v/>
      </c>
      <c r="K241">
        <f>($D$9/12)*J240</f>
        <v/>
      </c>
      <c r="L241">
        <f>IF(G241=0,0,J241/(G241*$D$12))</f>
        <v/>
      </c>
      <c r="M241">
        <f>MIN(0.06,MAX(0.01,IF(G241=0,0,I241/G241)))</f>
        <v/>
      </c>
      <c r="N241">
        <f>INDEX($G$6:$G$30,MIN(INT((A241-1)/12)+1,25))</f>
        <v/>
      </c>
      <c r="O241">
        <f>G241*$D$12</f>
        <v/>
      </c>
      <c r="P241">
        <f>M241*G241</f>
        <v/>
      </c>
      <c r="Q241">
        <f>($D$16/12)*I240</f>
        <v/>
      </c>
    </row>
    <row r="242">
      <c r="A242" t="n">
        <v>210</v>
      </c>
      <c r="B242">
        <f>CEILING(0.0101*G241/$D$5,1)</f>
        <v/>
      </c>
      <c r="C242">
        <f>MAX(0,MIN(MAX(0,FLOOR($D$15*D241*MAX(0,1-D241/(($D$10+SUM($N$33:N241))/$D$5)),1)),IF(A242&gt;=$D$14,IF(AND(D241&gt;0,F241&gt;0),INT(K241*D241/F241),0),1000000000),MIN(IF($D$11&gt;G241,INT(($D$11-G241)/$D$5),0)-D241,MAX(B242,INT(($D$10+SUM($N$33:N241))/$D$5)-D241))))</f>
        <v/>
      </c>
      <c r="D242">
        <f>D241+C242</f>
        <v/>
      </c>
      <c r="E242">
        <f>$D$5</f>
        <v/>
      </c>
      <c r="F242">
        <f>IF(G241&gt;=$D$11,0,MIN(D242*E242,$D$11-G241))</f>
        <v/>
      </c>
      <c r="G242">
        <f>G241+F242</f>
        <v/>
      </c>
      <c r="H242">
        <f>H241+$D$6*F242</f>
        <v/>
      </c>
      <c r="I242">
        <f>MAX(I241+$D$7*F242+Q242-0.01*G242,0.01*G242)</f>
        <v/>
      </c>
      <c r="J242">
        <f>J241+$D$8*F242+K242-MAX(0,0.02*G242-I241-$D$7*F242-Q242)</f>
        <v/>
      </c>
      <c r="K242">
        <f>($D$9/12)*J241</f>
        <v/>
      </c>
      <c r="L242">
        <f>IF(G242=0,0,J242/(G242*$D$12))</f>
        <v/>
      </c>
      <c r="M242">
        <f>MIN(0.06,MAX(0.01,IF(G242=0,0,I242/G242)))</f>
        <v/>
      </c>
      <c r="N242">
        <f>INDEX($G$6:$G$30,MIN(INT((A242-1)/12)+1,25))</f>
        <v/>
      </c>
      <c r="O242">
        <f>G242*$D$12</f>
        <v/>
      </c>
      <c r="P242">
        <f>M242*G242</f>
        <v/>
      </c>
      <c r="Q242">
        <f>($D$16/12)*I241</f>
        <v/>
      </c>
    </row>
    <row r="243">
      <c r="A243" t="n">
        <v>211</v>
      </c>
      <c r="B243">
        <f>CEILING(0.0101*G242/$D$5,1)</f>
        <v/>
      </c>
      <c r="C243">
        <f>MAX(0,MIN(MAX(0,FLOOR($D$15*D242*MAX(0,1-D242/(($D$10+SUM($N$33:N242))/$D$5)),1)),IF(A243&gt;=$D$14,IF(AND(D242&gt;0,F242&gt;0),INT(K242*D242/F242),0),1000000000),MIN(IF($D$11&gt;G242,INT(($D$11-G242)/$D$5),0)-D242,MAX(B243,INT(($D$10+SUM($N$33:N242))/$D$5)-D242))))</f>
        <v/>
      </c>
      <c r="D243">
        <f>D242+C243</f>
        <v/>
      </c>
      <c r="E243">
        <f>$D$5</f>
        <v/>
      </c>
      <c r="F243">
        <f>IF(G242&gt;=$D$11,0,MIN(D243*E243,$D$11-G242))</f>
        <v/>
      </c>
      <c r="G243">
        <f>G242+F243</f>
        <v/>
      </c>
      <c r="H243">
        <f>H242+$D$6*F243</f>
        <v/>
      </c>
      <c r="I243">
        <f>MAX(I242+$D$7*F243+Q243-0.01*G243,0.01*G243)</f>
        <v/>
      </c>
      <c r="J243">
        <f>J242+$D$8*F243+K243-MAX(0,0.02*G243-I242-$D$7*F243-Q243)</f>
        <v/>
      </c>
      <c r="K243">
        <f>($D$9/12)*J242</f>
        <v/>
      </c>
      <c r="L243">
        <f>IF(G243=0,0,J243/(G243*$D$12))</f>
        <v/>
      </c>
      <c r="M243">
        <f>MIN(0.06,MAX(0.01,IF(G243=0,0,I243/G243)))</f>
        <v/>
      </c>
      <c r="N243">
        <f>INDEX($G$6:$G$30,MIN(INT((A243-1)/12)+1,25))</f>
        <v/>
      </c>
      <c r="O243">
        <f>G243*$D$12</f>
        <v/>
      </c>
      <c r="P243">
        <f>M243*G243</f>
        <v/>
      </c>
      <c r="Q243">
        <f>($D$16/12)*I242</f>
        <v/>
      </c>
    </row>
    <row r="244">
      <c r="A244" t="n">
        <v>212</v>
      </c>
      <c r="B244">
        <f>CEILING(0.0101*G243/$D$5,1)</f>
        <v/>
      </c>
      <c r="C244">
        <f>MAX(0,MIN(MAX(0,FLOOR($D$15*D243*MAX(0,1-D243/(($D$10+SUM($N$33:N243))/$D$5)),1)),IF(A244&gt;=$D$14,IF(AND(D243&gt;0,F243&gt;0),INT(K243*D243/F243),0),1000000000),MIN(IF($D$11&gt;G243,INT(($D$11-G243)/$D$5),0)-D243,MAX(B244,INT(($D$10+SUM($N$33:N243))/$D$5)-D243))))</f>
        <v/>
      </c>
      <c r="D244">
        <f>D243+C244</f>
        <v/>
      </c>
      <c r="E244">
        <f>$D$5</f>
        <v/>
      </c>
      <c r="F244">
        <f>IF(G243&gt;=$D$11,0,MIN(D244*E244,$D$11-G243))</f>
        <v/>
      </c>
      <c r="G244">
        <f>G243+F244</f>
        <v/>
      </c>
      <c r="H244">
        <f>H243+$D$6*F244</f>
        <v/>
      </c>
      <c r="I244">
        <f>MAX(I243+$D$7*F244+Q244-0.01*G244,0.01*G244)</f>
        <v/>
      </c>
      <c r="J244">
        <f>J243+$D$8*F244+K244-MAX(0,0.02*G244-I243-$D$7*F244-Q244)</f>
        <v/>
      </c>
      <c r="K244">
        <f>($D$9/12)*J243</f>
        <v/>
      </c>
      <c r="L244">
        <f>IF(G244=0,0,J244/(G244*$D$12))</f>
        <v/>
      </c>
      <c r="M244">
        <f>MIN(0.06,MAX(0.01,IF(G244=0,0,I244/G244)))</f>
        <v/>
      </c>
      <c r="N244">
        <f>INDEX($G$6:$G$30,MIN(INT((A244-1)/12)+1,25))</f>
        <v/>
      </c>
      <c r="O244">
        <f>G244*$D$12</f>
        <v/>
      </c>
      <c r="P244">
        <f>M244*G244</f>
        <v/>
      </c>
      <c r="Q244">
        <f>($D$16/12)*I243</f>
        <v/>
      </c>
    </row>
    <row r="245">
      <c r="A245" t="n">
        <v>213</v>
      </c>
      <c r="B245">
        <f>CEILING(0.0101*G244/$D$5,1)</f>
        <v/>
      </c>
      <c r="C245">
        <f>MAX(0,MIN(MAX(0,FLOOR($D$15*D244*MAX(0,1-D244/(($D$10+SUM($N$33:N244))/$D$5)),1)),IF(A245&gt;=$D$14,IF(AND(D244&gt;0,F244&gt;0),INT(K244*D244/F244),0),1000000000),MIN(IF($D$11&gt;G244,INT(($D$11-G244)/$D$5),0)-D244,MAX(B245,INT(($D$10+SUM($N$33:N244))/$D$5)-D244))))</f>
        <v/>
      </c>
      <c r="D245">
        <f>D244+C245</f>
        <v/>
      </c>
      <c r="E245">
        <f>$D$5</f>
        <v/>
      </c>
      <c r="F245">
        <f>IF(G244&gt;=$D$11,0,MIN(D245*E245,$D$11-G244))</f>
        <v/>
      </c>
      <c r="G245">
        <f>G244+F245</f>
        <v/>
      </c>
      <c r="H245">
        <f>H244+$D$6*F245</f>
        <v/>
      </c>
      <c r="I245">
        <f>MAX(I244+$D$7*F245+Q245-0.01*G245,0.01*G245)</f>
        <v/>
      </c>
      <c r="J245">
        <f>J244+$D$8*F245+K245-MAX(0,0.02*G245-I244-$D$7*F245-Q245)</f>
        <v/>
      </c>
      <c r="K245">
        <f>($D$9/12)*J244</f>
        <v/>
      </c>
      <c r="L245">
        <f>IF(G245=0,0,J245/(G245*$D$12))</f>
        <v/>
      </c>
      <c r="M245">
        <f>MIN(0.06,MAX(0.01,IF(G245=0,0,I245/G245)))</f>
        <v/>
      </c>
      <c r="N245">
        <f>INDEX($G$6:$G$30,MIN(INT((A245-1)/12)+1,25))</f>
        <v/>
      </c>
      <c r="O245">
        <f>G245*$D$12</f>
        <v/>
      </c>
      <c r="P245">
        <f>M245*G245</f>
        <v/>
      </c>
      <c r="Q245">
        <f>($D$16/12)*I244</f>
        <v/>
      </c>
    </row>
    <row r="246">
      <c r="A246" t="n">
        <v>214</v>
      </c>
      <c r="B246">
        <f>CEILING(0.0101*G245/$D$5,1)</f>
        <v/>
      </c>
      <c r="C246">
        <f>MAX(0,MIN(MAX(0,FLOOR($D$15*D245*MAX(0,1-D245/(($D$10+SUM($N$33:N245))/$D$5)),1)),IF(A246&gt;=$D$14,IF(AND(D245&gt;0,F245&gt;0),INT(K245*D245/F245),0),1000000000),MIN(IF($D$11&gt;G245,INT(($D$11-G245)/$D$5),0)-D245,MAX(B246,INT(($D$10+SUM($N$33:N245))/$D$5)-D245))))</f>
        <v/>
      </c>
      <c r="D246">
        <f>D245+C246</f>
        <v/>
      </c>
      <c r="E246">
        <f>$D$5</f>
        <v/>
      </c>
      <c r="F246">
        <f>IF(G245&gt;=$D$11,0,MIN(D246*E246,$D$11-G245))</f>
        <v/>
      </c>
      <c r="G246">
        <f>G245+F246</f>
        <v/>
      </c>
      <c r="H246">
        <f>H245+$D$6*F246</f>
        <v/>
      </c>
      <c r="I246">
        <f>MAX(I245+$D$7*F246+Q246-0.01*G246,0.01*G246)</f>
        <v/>
      </c>
      <c r="J246">
        <f>J245+$D$8*F246+K246-MAX(0,0.02*G246-I245-$D$7*F246-Q246)</f>
        <v/>
      </c>
      <c r="K246">
        <f>($D$9/12)*J245</f>
        <v/>
      </c>
      <c r="L246">
        <f>IF(G246=0,0,J246/(G246*$D$12))</f>
        <v/>
      </c>
      <c r="M246">
        <f>MIN(0.06,MAX(0.01,IF(G246=0,0,I246/G246)))</f>
        <v/>
      </c>
      <c r="N246">
        <f>INDEX($G$6:$G$30,MIN(INT((A246-1)/12)+1,25))</f>
        <v/>
      </c>
      <c r="O246">
        <f>G246*$D$12</f>
        <v/>
      </c>
      <c r="P246">
        <f>M246*G246</f>
        <v/>
      </c>
      <c r="Q246">
        <f>($D$16/12)*I245</f>
        <v/>
      </c>
    </row>
    <row r="247">
      <c r="A247" t="n">
        <v>215</v>
      </c>
      <c r="B247">
        <f>CEILING(0.0101*G246/$D$5,1)</f>
        <v/>
      </c>
      <c r="C247">
        <f>MAX(0,MIN(MAX(0,FLOOR($D$15*D246*MAX(0,1-D246/(($D$10+SUM($N$33:N246))/$D$5)),1)),IF(A247&gt;=$D$14,IF(AND(D246&gt;0,F246&gt;0),INT(K246*D246/F246),0),1000000000),MIN(IF($D$11&gt;G246,INT(($D$11-G246)/$D$5),0)-D246,MAX(B247,INT(($D$10+SUM($N$33:N246))/$D$5)-D246))))</f>
        <v/>
      </c>
      <c r="D247">
        <f>D246+C247</f>
        <v/>
      </c>
      <c r="E247">
        <f>$D$5</f>
        <v/>
      </c>
      <c r="F247">
        <f>IF(G246&gt;=$D$11,0,MIN(D247*E247,$D$11-G246))</f>
        <v/>
      </c>
      <c r="G247">
        <f>G246+F247</f>
        <v/>
      </c>
      <c r="H247">
        <f>H246+$D$6*F247</f>
        <v/>
      </c>
      <c r="I247">
        <f>MAX(I246+$D$7*F247+Q247-0.01*G247,0.01*G247)</f>
        <v/>
      </c>
      <c r="J247">
        <f>J246+$D$8*F247+K247-MAX(0,0.02*G247-I246-$D$7*F247-Q247)</f>
        <v/>
      </c>
      <c r="K247">
        <f>($D$9/12)*J246</f>
        <v/>
      </c>
      <c r="L247">
        <f>IF(G247=0,0,J247/(G247*$D$12))</f>
        <v/>
      </c>
      <c r="M247">
        <f>MIN(0.06,MAX(0.01,IF(G247=0,0,I247/G247)))</f>
        <v/>
      </c>
      <c r="N247">
        <f>INDEX($G$6:$G$30,MIN(INT((A247-1)/12)+1,25))</f>
        <v/>
      </c>
      <c r="O247">
        <f>G247*$D$12</f>
        <v/>
      </c>
      <c r="P247">
        <f>M247*G247</f>
        <v/>
      </c>
      <c r="Q247">
        <f>($D$16/12)*I246</f>
        <v/>
      </c>
    </row>
    <row r="248">
      <c r="A248" t="n">
        <v>216</v>
      </c>
      <c r="B248">
        <f>CEILING(0.0101*G247/$D$5,1)</f>
        <v/>
      </c>
      <c r="C248">
        <f>MAX(0,MIN(MAX(0,FLOOR($D$15*D247*MAX(0,1-D247/(($D$10+SUM($N$33:N247))/$D$5)),1)),IF(A248&gt;=$D$14,IF(AND(D247&gt;0,F247&gt;0),INT(K247*D247/F247),0),1000000000),MIN(IF($D$11&gt;G247,INT(($D$11-G247)/$D$5),0)-D247,MAX(B248,INT(($D$10+SUM($N$33:N247))/$D$5)-D247))))</f>
        <v/>
      </c>
      <c r="D248">
        <f>D247+C248</f>
        <v/>
      </c>
      <c r="E248">
        <f>$D$5</f>
        <v/>
      </c>
      <c r="F248">
        <f>IF(G247&gt;=$D$11,0,MIN(D248*E248,$D$11-G247))</f>
        <v/>
      </c>
      <c r="G248">
        <f>G247+F248</f>
        <v/>
      </c>
      <c r="H248">
        <f>H247+$D$6*F248</f>
        <v/>
      </c>
      <c r="I248">
        <f>MAX(I247+$D$7*F248+Q248-0.01*G248,0.01*G248)</f>
        <v/>
      </c>
      <c r="J248">
        <f>J247+$D$8*F248+K248-MAX(0,0.02*G248-I247-$D$7*F248-Q248)</f>
        <v/>
      </c>
      <c r="K248">
        <f>($D$9/12)*J247</f>
        <v/>
      </c>
      <c r="L248">
        <f>IF(G248=0,0,J248/(G248*$D$12))</f>
        <v/>
      </c>
      <c r="M248">
        <f>MIN(0.06,MAX(0.01,IF(G248=0,0,I248/G248)))</f>
        <v/>
      </c>
      <c r="N248">
        <f>INDEX($G$6:$G$30,MIN(INT((A248-1)/12)+1,25))</f>
        <v/>
      </c>
      <c r="O248">
        <f>G248*$D$12</f>
        <v/>
      </c>
      <c r="P248">
        <f>M248*G248</f>
        <v/>
      </c>
      <c r="Q248">
        <f>($D$16/12)*I247</f>
        <v/>
      </c>
    </row>
    <row r="249">
      <c r="A249" t="n">
        <v>217</v>
      </c>
      <c r="B249">
        <f>CEILING(0.0101*G248/$D$5,1)</f>
        <v/>
      </c>
      <c r="C249">
        <f>MAX(0,MIN(MAX(0,FLOOR($D$15*D248*MAX(0,1-D248/(($D$10+SUM($N$33:N248))/$D$5)),1)),IF(A249&gt;=$D$14,IF(AND(D248&gt;0,F248&gt;0),INT(K248*D248/F248),0),1000000000),MIN(IF($D$11&gt;G248,INT(($D$11-G248)/$D$5),0)-D248,MAX(B249,INT(($D$10+SUM($N$33:N248))/$D$5)-D248))))</f>
        <v/>
      </c>
      <c r="D249">
        <f>D248+C249</f>
        <v/>
      </c>
      <c r="E249">
        <f>$D$5</f>
        <v/>
      </c>
      <c r="F249">
        <f>IF(G248&gt;=$D$11,0,MIN(D249*E249,$D$11-G248))</f>
        <v/>
      </c>
      <c r="G249">
        <f>G248+F249</f>
        <v/>
      </c>
      <c r="H249">
        <f>H248+$D$6*F249</f>
        <v/>
      </c>
      <c r="I249">
        <f>MAX(I248+$D$7*F249+Q249-0.01*G249,0.01*G249)</f>
        <v/>
      </c>
      <c r="J249">
        <f>J248+$D$8*F249+K249-MAX(0,0.02*G249-I248-$D$7*F249-Q249)</f>
        <v/>
      </c>
      <c r="K249">
        <f>($D$9/12)*J248</f>
        <v/>
      </c>
      <c r="L249">
        <f>IF(G249=0,0,J249/(G249*$D$12))</f>
        <v/>
      </c>
      <c r="M249">
        <f>MIN(0.06,MAX(0.01,IF(G249=0,0,I249/G249)))</f>
        <v/>
      </c>
      <c r="N249">
        <f>INDEX($G$6:$G$30,MIN(INT((A249-1)/12)+1,25))</f>
        <v/>
      </c>
      <c r="O249">
        <f>G249*$D$12</f>
        <v/>
      </c>
      <c r="P249">
        <f>M249*G249</f>
        <v/>
      </c>
      <c r="Q249">
        <f>($D$16/12)*I248</f>
        <v/>
      </c>
    </row>
    <row r="250">
      <c r="A250" t="n">
        <v>218</v>
      </c>
      <c r="B250">
        <f>CEILING(0.0101*G249/$D$5,1)</f>
        <v/>
      </c>
      <c r="C250">
        <f>MAX(0,MIN(MAX(0,FLOOR($D$15*D249*MAX(0,1-D249/(($D$10+SUM($N$33:N249))/$D$5)),1)),IF(A250&gt;=$D$14,IF(AND(D249&gt;0,F249&gt;0),INT(K249*D249/F249),0),1000000000),MIN(IF($D$11&gt;G249,INT(($D$11-G249)/$D$5),0)-D249,MAX(B250,INT(($D$10+SUM($N$33:N249))/$D$5)-D249))))</f>
        <v/>
      </c>
      <c r="D250">
        <f>D249+C250</f>
        <v/>
      </c>
      <c r="E250">
        <f>$D$5</f>
        <v/>
      </c>
      <c r="F250">
        <f>IF(G249&gt;=$D$11,0,MIN(D250*E250,$D$11-G249))</f>
        <v/>
      </c>
      <c r="G250">
        <f>G249+F250</f>
        <v/>
      </c>
      <c r="H250">
        <f>H249+$D$6*F250</f>
        <v/>
      </c>
      <c r="I250">
        <f>MAX(I249+$D$7*F250+Q250-0.01*G250,0.01*G250)</f>
        <v/>
      </c>
      <c r="J250">
        <f>J249+$D$8*F250+K250-MAX(0,0.02*G250-I249-$D$7*F250-Q250)</f>
        <v/>
      </c>
      <c r="K250">
        <f>($D$9/12)*J249</f>
        <v/>
      </c>
      <c r="L250">
        <f>IF(G250=0,0,J250/(G250*$D$12))</f>
        <v/>
      </c>
      <c r="M250">
        <f>MIN(0.06,MAX(0.01,IF(G250=0,0,I250/G250)))</f>
        <v/>
      </c>
      <c r="N250">
        <f>INDEX($G$6:$G$30,MIN(INT((A250-1)/12)+1,25))</f>
        <v/>
      </c>
      <c r="O250">
        <f>G250*$D$12</f>
        <v/>
      </c>
      <c r="P250">
        <f>M250*G250</f>
        <v/>
      </c>
      <c r="Q250">
        <f>($D$16/12)*I249</f>
        <v/>
      </c>
    </row>
    <row r="251">
      <c r="A251" t="n">
        <v>219</v>
      </c>
      <c r="B251">
        <f>CEILING(0.0101*G250/$D$5,1)</f>
        <v/>
      </c>
      <c r="C251">
        <f>MAX(0,MIN(MAX(0,FLOOR($D$15*D250*MAX(0,1-D250/(($D$10+SUM($N$33:N250))/$D$5)),1)),IF(A251&gt;=$D$14,IF(AND(D250&gt;0,F250&gt;0),INT(K250*D250/F250),0),1000000000),MIN(IF($D$11&gt;G250,INT(($D$11-G250)/$D$5),0)-D250,MAX(B251,INT(($D$10+SUM($N$33:N250))/$D$5)-D250))))</f>
        <v/>
      </c>
      <c r="D251">
        <f>D250+C251</f>
        <v/>
      </c>
      <c r="E251">
        <f>$D$5</f>
        <v/>
      </c>
      <c r="F251">
        <f>IF(G250&gt;=$D$11,0,MIN(D251*E251,$D$11-G250))</f>
        <v/>
      </c>
      <c r="G251">
        <f>G250+F251</f>
        <v/>
      </c>
      <c r="H251">
        <f>H250+$D$6*F251</f>
        <v/>
      </c>
      <c r="I251">
        <f>MAX(I250+$D$7*F251+Q251-0.01*G251,0.01*G251)</f>
        <v/>
      </c>
      <c r="J251">
        <f>J250+$D$8*F251+K251-MAX(0,0.02*G251-I250-$D$7*F251-Q251)</f>
        <v/>
      </c>
      <c r="K251">
        <f>($D$9/12)*J250</f>
        <v/>
      </c>
      <c r="L251">
        <f>IF(G251=0,0,J251/(G251*$D$12))</f>
        <v/>
      </c>
      <c r="M251">
        <f>MIN(0.06,MAX(0.01,IF(G251=0,0,I251/G251)))</f>
        <v/>
      </c>
      <c r="N251">
        <f>INDEX($G$6:$G$30,MIN(INT((A251-1)/12)+1,25))</f>
        <v/>
      </c>
      <c r="O251">
        <f>G251*$D$12</f>
        <v/>
      </c>
      <c r="P251">
        <f>M251*G251</f>
        <v/>
      </c>
      <c r="Q251">
        <f>($D$16/12)*I250</f>
        <v/>
      </c>
    </row>
    <row r="252">
      <c r="A252" t="n">
        <v>220</v>
      </c>
      <c r="B252">
        <f>CEILING(0.0101*G251/$D$5,1)</f>
        <v/>
      </c>
      <c r="C252">
        <f>MAX(0,MIN(MAX(0,FLOOR($D$15*D251*MAX(0,1-D251/(($D$10+SUM($N$33:N251))/$D$5)),1)),IF(A252&gt;=$D$14,IF(AND(D251&gt;0,F251&gt;0),INT(K251*D251/F251),0),1000000000),MIN(IF($D$11&gt;G251,INT(($D$11-G251)/$D$5),0)-D251,MAX(B252,INT(($D$10+SUM($N$33:N251))/$D$5)-D251))))</f>
        <v/>
      </c>
      <c r="D252">
        <f>D251+C252</f>
        <v/>
      </c>
      <c r="E252">
        <f>$D$5</f>
        <v/>
      </c>
      <c r="F252">
        <f>IF(G251&gt;=$D$11,0,MIN(D252*E252,$D$11-G251))</f>
        <v/>
      </c>
      <c r="G252">
        <f>G251+F252</f>
        <v/>
      </c>
      <c r="H252">
        <f>H251+$D$6*F252</f>
        <v/>
      </c>
      <c r="I252">
        <f>MAX(I251+$D$7*F252+Q252-0.01*G252,0.01*G252)</f>
        <v/>
      </c>
      <c r="J252">
        <f>J251+$D$8*F252+K252-MAX(0,0.02*G252-I251-$D$7*F252-Q252)</f>
        <v/>
      </c>
      <c r="K252">
        <f>($D$9/12)*J251</f>
        <v/>
      </c>
      <c r="L252">
        <f>IF(G252=0,0,J252/(G252*$D$12))</f>
        <v/>
      </c>
      <c r="M252">
        <f>MIN(0.06,MAX(0.01,IF(G252=0,0,I252/G252)))</f>
        <v/>
      </c>
      <c r="N252">
        <f>INDEX($G$6:$G$30,MIN(INT((A252-1)/12)+1,25))</f>
        <v/>
      </c>
      <c r="O252">
        <f>G252*$D$12</f>
        <v/>
      </c>
      <c r="P252">
        <f>M252*G252</f>
        <v/>
      </c>
      <c r="Q252">
        <f>($D$16/12)*I251</f>
        <v/>
      </c>
    </row>
    <row r="253">
      <c r="A253" t="n">
        <v>221</v>
      </c>
      <c r="B253">
        <f>CEILING(0.0101*G252/$D$5,1)</f>
        <v/>
      </c>
      <c r="C253">
        <f>MAX(0,MIN(MAX(0,FLOOR($D$15*D252*MAX(0,1-D252/(($D$10+SUM($N$33:N252))/$D$5)),1)),IF(A253&gt;=$D$14,IF(AND(D252&gt;0,F252&gt;0),INT(K252*D252/F252),0),1000000000),MIN(IF($D$11&gt;G252,INT(($D$11-G252)/$D$5),0)-D252,MAX(B253,INT(($D$10+SUM($N$33:N252))/$D$5)-D252))))</f>
        <v/>
      </c>
      <c r="D253">
        <f>D252+C253</f>
        <v/>
      </c>
      <c r="E253">
        <f>$D$5</f>
        <v/>
      </c>
      <c r="F253">
        <f>IF(G252&gt;=$D$11,0,MIN(D253*E253,$D$11-G252))</f>
        <v/>
      </c>
      <c r="G253">
        <f>G252+F253</f>
        <v/>
      </c>
      <c r="H253">
        <f>H252+$D$6*F253</f>
        <v/>
      </c>
      <c r="I253">
        <f>MAX(I252+$D$7*F253+Q253-0.01*G253,0.01*G253)</f>
        <v/>
      </c>
      <c r="J253">
        <f>J252+$D$8*F253+K253-MAX(0,0.02*G253-I252-$D$7*F253-Q253)</f>
        <v/>
      </c>
      <c r="K253">
        <f>($D$9/12)*J252</f>
        <v/>
      </c>
      <c r="L253">
        <f>IF(G253=0,0,J253/(G253*$D$12))</f>
        <v/>
      </c>
      <c r="M253">
        <f>MIN(0.06,MAX(0.01,IF(G253=0,0,I253/G253)))</f>
        <v/>
      </c>
      <c r="N253">
        <f>INDEX($G$6:$G$30,MIN(INT((A253-1)/12)+1,25))</f>
        <v/>
      </c>
      <c r="O253">
        <f>G253*$D$12</f>
        <v/>
      </c>
      <c r="P253">
        <f>M253*G253</f>
        <v/>
      </c>
      <c r="Q253">
        <f>($D$16/12)*I252</f>
        <v/>
      </c>
    </row>
    <row r="254">
      <c r="A254" t="n">
        <v>222</v>
      </c>
      <c r="B254">
        <f>CEILING(0.0101*G253/$D$5,1)</f>
        <v/>
      </c>
      <c r="C254">
        <f>MAX(0,MIN(MAX(0,FLOOR($D$15*D253*MAX(0,1-D253/(($D$10+SUM($N$33:N253))/$D$5)),1)),IF(A254&gt;=$D$14,IF(AND(D253&gt;0,F253&gt;0),INT(K253*D253/F253),0),1000000000),MIN(IF($D$11&gt;G253,INT(($D$11-G253)/$D$5),0)-D253,MAX(B254,INT(($D$10+SUM($N$33:N253))/$D$5)-D253))))</f>
        <v/>
      </c>
      <c r="D254">
        <f>D253+C254</f>
        <v/>
      </c>
      <c r="E254">
        <f>$D$5</f>
        <v/>
      </c>
      <c r="F254">
        <f>IF(G253&gt;=$D$11,0,MIN(D254*E254,$D$11-G253))</f>
        <v/>
      </c>
      <c r="G254">
        <f>G253+F254</f>
        <v/>
      </c>
      <c r="H254">
        <f>H253+$D$6*F254</f>
        <v/>
      </c>
      <c r="I254">
        <f>MAX(I253+$D$7*F254+Q254-0.01*G254,0.01*G254)</f>
        <v/>
      </c>
      <c r="J254">
        <f>J253+$D$8*F254+K254-MAX(0,0.02*G254-I253-$D$7*F254-Q254)</f>
        <v/>
      </c>
      <c r="K254">
        <f>($D$9/12)*J253</f>
        <v/>
      </c>
      <c r="L254">
        <f>IF(G254=0,0,J254/(G254*$D$12))</f>
        <v/>
      </c>
      <c r="M254">
        <f>MIN(0.06,MAX(0.01,IF(G254=0,0,I254/G254)))</f>
        <v/>
      </c>
      <c r="N254">
        <f>INDEX($G$6:$G$30,MIN(INT((A254-1)/12)+1,25))</f>
        <v/>
      </c>
      <c r="O254">
        <f>G254*$D$12</f>
        <v/>
      </c>
      <c r="P254">
        <f>M254*G254</f>
        <v/>
      </c>
      <c r="Q254">
        <f>($D$16/12)*I253</f>
        <v/>
      </c>
    </row>
    <row r="255">
      <c r="A255" t="n">
        <v>223</v>
      </c>
      <c r="B255">
        <f>CEILING(0.0101*G254/$D$5,1)</f>
        <v/>
      </c>
      <c r="C255">
        <f>MAX(0,MIN(MAX(0,FLOOR($D$15*D254*MAX(0,1-D254/(($D$10+SUM($N$33:N254))/$D$5)),1)),IF(A255&gt;=$D$14,IF(AND(D254&gt;0,F254&gt;0),INT(K254*D254/F254),0),1000000000),MIN(IF($D$11&gt;G254,INT(($D$11-G254)/$D$5),0)-D254,MAX(B255,INT(($D$10+SUM($N$33:N254))/$D$5)-D254))))</f>
        <v/>
      </c>
      <c r="D255">
        <f>D254+C255</f>
        <v/>
      </c>
      <c r="E255">
        <f>$D$5</f>
        <v/>
      </c>
      <c r="F255">
        <f>IF(G254&gt;=$D$11,0,MIN(D255*E255,$D$11-G254))</f>
        <v/>
      </c>
      <c r="G255">
        <f>G254+F255</f>
        <v/>
      </c>
      <c r="H255">
        <f>H254+$D$6*F255</f>
        <v/>
      </c>
      <c r="I255">
        <f>MAX(I254+$D$7*F255+Q255-0.01*G255,0.01*G255)</f>
        <v/>
      </c>
      <c r="J255">
        <f>J254+$D$8*F255+K255-MAX(0,0.02*G255-I254-$D$7*F255-Q255)</f>
        <v/>
      </c>
      <c r="K255">
        <f>($D$9/12)*J254</f>
        <v/>
      </c>
      <c r="L255">
        <f>IF(G255=0,0,J255/(G255*$D$12))</f>
        <v/>
      </c>
      <c r="M255">
        <f>MIN(0.06,MAX(0.01,IF(G255=0,0,I255/G255)))</f>
        <v/>
      </c>
      <c r="N255">
        <f>INDEX($G$6:$G$30,MIN(INT((A255-1)/12)+1,25))</f>
        <v/>
      </c>
      <c r="O255">
        <f>G255*$D$12</f>
        <v/>
      </c>
      <c r="P255">
        <f>M255*G255</f>
        <v/>
      </c>
      <c r="Q255">
        <f>($D$16/12)*I254</f>
        <v/>
      </c>
    </row>
    <row r="256">
      <c r="A256" t="n">
        <v>224</v>
      </c>
      <c r="B256">
        <f>CEILING(0.0101*G255/$D$5,1)</f>
        <v/>
      </c>
      <c r="C256">
        <f>MAX(0,MIN(MAX(0,FLOOR($D$15*D255*MAX(0,1-D255/(($D$10+SUM($N$33:N255))/$D$5)),1)),IF(A256&gt;=$D$14,IF(AND(D255&gt;0,F255&gt;0),INT(K255*D255/F255),0),1000000000),MIN(IF($D$11&gt;G255,INT(($D$11-G255)/$D$5),0)-D255,MAX(B256,INT(($D$10+SUM($N$33:N255))/$D$5)-D255))))</f>
        <v/>
      </c>
      <c r="D256">
        <f>D255+C256</f>
        <v/>
      </c>
      <c r="E256">
        <f>$D$5</f>
        <v/>
      </c>
      <c r="F256">
        <f>IF(G255&gt;=$D$11,0,MIN(D256*E256,$D$11-G255))</f>
        <v/>
      </c>
      <c r="G256">
        <f>G255+F256</f>
        <v/>
      </c>
      <c r="H256">
        <f>H255+$D$6*F256</f>
        <v/>
      </c>
      <c r="I256">
        <f>MAX(I255+$D$7*F256+Q256-0.01*G256,0.01*G256)</f>
        <v/>
      </c>
      <c r="J256">
        <f>J255+$D$8*F256+K256-MAX(0,0.02*G256-I255-$D$7*F256-Q256)</f>
        <v/>
      </c>
      <c r="K256">
        <f>($D$9/12)*J255</f>
        <v/>
      </c>
      <c r="L256">
        <f>IF(G256=0,0,J256/(G256*$D$12))</f>
        <v/>
      </c>
      <c r="M256">
        <f>MIN(0.06,MAX(0.01,IF(G256=0,0,I256/G256)))</f>
        <v/>
      </c>
      <c r="N256">
        <f>INDEX($G$6:$G$30,MIN(INT((A256-1)/12)+1,25))</f>
        <v/>
      </c>
      <c r="O256">
        <f>G256*$D$12</f>
        <v/>
      </c>
      <c r="P256">
        <f>M256*G256</f>
        <v/>
      </c>
      <c r="Q256">
        <f>($D$16/12)*I255</f>
        <v/>
      </c>
    </row>
    <row r="257">
      <c r="A257" t="n">
        <v>225</v>
      </c>
      <c r="B257">
        <f>CEILING(0.0101*G256/$D$5,1)</f>
        <v/>
      </c>
      <c r="C257">
        <f>MAX(0,MIN(MAX(0,FLOOR($D$15*D256*MAX(0,1-D256/(($D$10+SUM($N$33:N256))/$D$5)),1)),IF(A257&gt;=$D$14,IF(AND(D256&gt;0,F256&gt;0),INT(K256*D256/F256),0),1000000000),MIN(IF($D$11&gt;G256,INT(($D$11-G256)/$D$5),0)-D256,MAX(B257,INT(($D$10+SUM($N$33:N256))/$D$5)-D256))))</f>
        <v/>
      </c>
      <c r="D257">
        <f>D256+C257</f>
        <v/>
      </c>
      <c r="E257">
        <f>$D$5</f>
        <v/>
      </c>
      <c r="F257">
        <f>IF(G256&gt;=$D$11,0,MIN(D257*E257,$D$11-G256))</f>
        <v/>
      </c>
      <c r="G257">
        <f>G256+F257</f>
        <v/>
      </c>
      <c r="H257">
        <f>H256+$D$6*F257</f>
        <v/>
      </c>
      <c r="I257">
        <f>MAX(I256+$D$7*F257+Q257-0.01*G257,0.01*G257)</f>
        <v/>
      </c>
      <c r="J257">
        <f>J256+$D$8*F257+K257-MAX(0,0.02*G257-I256-$D$7*F257-Q257)</f>
        <v/>
      </c>
      <c r="K257">
        <f>($D$9/12)*J256</f>
        <v/>
      </c>
      <c r="L257">
        <f>IF(G257=0,0,J257/(G257*$D$12))</f>
        <v/>
      </c>
      <c r="M257">
        <f>MIN(0.06,MAX(0.01,IF(G257=0,0,I257/G257)))</f>
        <v/>
      </c>
      <c r="N257">
        <f>INDEX($G$6:$G$30,MIN(INT((A257-1)/12)+1,25))</f>
        <v/>
      </c>
      <c r="O257">
        <f>G257*$D$12</f>
        <v/>
      </c>
      <c r="P257">
        <f>M257*G257</f>
        <v/>
      </c>
      <c r="Q257">
        <f>($D$16/12)*I256</f>
        <v/>
      </c>
    </row>
    <row r="258">
      <c r="A258" t="n">
        <v>226</v>
      </c>
      <c r="B258">
        <f>CEILING(0.0101*G257/$D$5,1)</f>
        <v/>
      </c>
      <c r="C258">
        <f>MAX(0,MIN(MAX(0,FLOOR($D$15*D257*MAX(0,1-D257/(($D$10+SUM($N$33:N257))/$D$5)),1)),IF(A258&gt;=$D$14,IF(AND(D257&gt;0,F257&gt;0),INT(K257*D257/F257),0),1000000000),MIN(IF($D$11&gt;G257,INT(($D$11-G257)/$D$5),0)-D257,MAX(B258,INT(($D$10+SUM($N$33:N257))/$D$5)-D257))))</f>
        <v/>
      </c>
      <c r="D258">
        <f>D257+C258</f>
        <v/>
      </c>
      <c r="E258">
        <f>$D$5</f>
        <v/>
      </c>
      <c r="F258">
        <f>IF(G257&gt;=$D$11,0,MIN(D258*E258,$D$11-G257))</f>
        <v/>
      </c>
      <c r="G258">
        <f>G257+F258</f>
        <v/>
      </c>
      <c r="H258">
        <f>H257+$D$6*F258</f>
        <v/>
      </c>
      <c r="I258">
        <f>MAX(I257+$D$7*F258+Q258-0.01*G258,0.01*G258)</f>
        <v/>
      </c>
      <c r="J258">
        <f>J257+$D$8*F258+K258-MAX(0,0.02*G258-I257-$D$7*F258-Q258)</f>
        <v/>
      </c>
      <c r="K258">
        <f>($D$9/12)*J257</f>
        <v/>
      </c>
      <c r="L258">
        <f>IF(G258=0,0,J258/(G258*$D$12))</f>
        <v/>
      </c>
      <c r="M258">
        <f>MIN(0.06,MAX(0.01,IF(G258=0,0,I258/G258)))</f>
        <v/>
      </c>
      <c r="N258">
        <f>INDEX($G$6:$G$30,MIN(INT((A258-1)/12)+1,25))</f>
        <v/>
      </c>
      <c r="O258">
        <f>G258*$D$12</f>
        <v/>
      </c>
      <c r="P258">
        <f>M258*G258</f>
        <v/>
      </c>
      <c r="Q258">
        <f>($D$16/12)*I257</f>
        <v/>
      </c>
    </row>
    <row r="259">
      <c r="A259" t="n">
        <v>227</v>
      </c>
      <c r="B259">
        <f>CEILING(0.0101*G258/$D$5,1)</f>
        <v/>
      </c>
      <c r="C259">
        <f>MAX(0,MIN(MAX(0,FLOOR($D$15*D258*MAX(0,1-D258/(($D$10+SUM($N$33:N258))/$D$5)),1)),IF(A259&gt;=$D$14,IF(AND(D258&gt;0,F258&gt;0),INT(K258*D258/F258),0),1000000000),MIN(IF($D$11&gt;G258,INT(($D$11-G258)/$D$5),0)-D258,MAX(B259,INT(($D$10+SUM($N$33:N258))/$D$5)-D258))))</f>
        <v/>
      </c>
      <c r="D259">
        <f>D258+C259</f>
        <v/>
      </c>
      <c r="E259">
        <f>$D$5</f>
        <v/>
      </c>
      <c r="F259">
        <f>IF(G258&gt;=$D$11,0,MIN(D259*E259,$D$11-G258))</f>
        <v/>
      </c>
      <c r="G259">
        <f>G258+F259</f>
        <v/>
      </c>
      <c r="H259">
        <f>H258+$D$6*F259</f>
        <v/>
      </c>
      <c r="I259">
        <f>MAX(I258+$D$7*F259+Q259-0.01*G259,0.01*G259)</f>
        <v/>
      </c>
      <c r="J259">
        <f>J258+$D$8*F259+K259-MAX(0,0.02*G259-I258-$D$7*F259-Q259)</f>
        <v/>
      </c>
      <c r="K259">
        <f>($D$9/12)*J258</f>
        <v/>
      </c>
      <c r="L259">
        <f>IF(G259=0,0,J259/(G259*$D$12))</f>
        <v/>
      </c>
      <c r="M259">
        <f>MIN(0.06,MAX(0.01,IF(G259=0,0,I259/G259)))</f>
        <v/>
      </c>
      <c r="N259">
        <f>INDEX($G$6:$G$30,MIN(INT((A259-1)/12)+1,25))</f>
        <v/>
      </c>
      <c r="O259">
        <f>G259*$D$12</f>
        <v/>
      </c>
      <c r="P259">
        <f>M259*G259</f>
        <v/>
      </c>
      <c r="Q259">
        <f>($D$16/12)*I258</f>
        <v/>
      </c>
    </row>
    <row r="260">
      <c r="A260" t="n">
        <v>228</v>
      </c>
      <c r="B260">
        <f>CEILING(0.0101*G259/$D$5,1)</f>
        <v/>
      </c>
      <c r="C260">
        <f>MAX(0,MIN(MAX(0,FLOOR($D$15*D259*MAX(0,1-D259/(($D$10+SUM($N$33:N259))/$D$5)),1)),IF(A260&gt;=$D$14,IF(AND(D259&gt;0,F259&gt;0),INT(K259*D259/F259),0),1000000000),MIN(IF($D$11&gt;G259,INT(($D$11-G259)/$D$5),0)-D259,MAX(B260,INT(($D$10+SUM($N$33:N259))/$D$5)-D259))))</f>
        <v/>
      </c>
      <c r="D260">
        <f>D259+C260</f>
        <v/>
      </c>
      <c r="E260">
        <f>$D$5</f>
        <v/>
      </c>
      <c r="F260">
        <f>IF(G259&gt;=$D$11,0,MIN(D260*E260,$D$11-G259))</f>
        <v/>
      </c>
      <c r="G260">
        <f>G259+F260</f>
        <v/>
      </c>
      <c r="H260">
        <f>H259+$D$6*F260</f>
        <v/>
      </c>
      <c r="I260">
        <f>MAX(I259+$D$7*F260+Q260-0.01*G260,0.01*G260)</f>
        <v/>
      </c>
      <c r="J260">
        <f>J259+$D$8*F260+K260-MAX(0,0.02*G260-I259-$D$7*F260-Q260)</f>
        <v/>
      </c>
      <c r="K260">
        <f>($D$9/12)*J259</f>
        <v/>
      </c>
      <c r="L260">
        <f>IF(G260=0,0,J260/(G260*$D$12))</f>
        <v/>
      </c>
      <c r="M260">
        <f>MIN(0.06,MAX(0.01,IF(G260=0,0,I260/G260)))</f>
        <v/>
      </c>
      <c r="N260">
        <f>INDEX($G$6:$G$30,MIN(INT((A260-1)/12)+1,25))</f>
        <v/>
      </c>
      <c r="O260">
        <f>G260*$D$12</f>
        <v/>
      </c>
      <c r="P260">
        <f>M260*G260</f>
        <v/>
      </c>
      <c r="Q260">
        <f>($D$16/12)*I259</f>
        <v/>
      </c>
    </row>
    <row r="261">
      <c r="A261" t="n">
        <v>229</v>
      </c>
      <c r="B261">
        <f>CEILING(0.0101*G260/$D$5,1)</f>
        <v/>
      </c>
      <c r="C261">
        <f>MAX(0,MIN(MAX(0,FLOOR($D$15*D260*MAX(0,1-D260/(($D$10+SUM($N$33:N260))/$D$5)),1)),IF(A261&gt;=$D$14,IF(AND(D260&gt;0,F260&gt;0),INT(K260*D260/F260),0),1000000000),MIN(IF($D$11&gt;G260,INT(($D$11-G260)/$D$5),0)-D260,MAX(B261,INT(($D$10+SUM($N$33:N260))/$D$5)-D260))))</f>
        <v/>
      </c>
      <c r="D261">
        <f>D260+C261</f>
        <v/>
      </c>
      <c r="E261">
        <f>$D$5</f>
        <v/>
      </c>
      <c r="F261">
        <f>IF(G260&gt;=$D$11,0,MIN(D261*E261,$D$11-G260))</f>
        <v/>
      </c>
      <c r="G261">
        <f>G260+F261</f>
        <v/>
      </c>
      <c r="H261">
        <f>H260+$D$6*F261</f>
        <v/>
      </c>
      <c r="I261">
        <f>MAX(I260+$D$7*F261+Q261-0.01*G261,0.01*G261)</f>
        <v/>
      </c>
      <c r="J261">
        <f>J260+$D$8*F261+K261-MAX(0,0.02*G261-I260-$D$7*F261-Q261)</f>
        <v/>
      </c>
      <c r="K261">
        <f>($D$9/12)*J260</f>
        <v/>
      </c>
      <c r="L261">
        <f>IF(G261=0,0,J261/(G261*$D$12))</f>
        <v/>
      </c>
      <c r="M261">
        <f>MIN(0.06,MAX(0.01,IF(G261=0,0,I261/G261)))</f>
        <v/>
      </c>
      <c r="N261">
        <f>INDEX($G$6:$G$30,MIN(INT((A261-1)/12)+1,25))</f>
        <v/>
      </c>
      <c r="O261">
        <f>G261*$D$12</f>
        <v/>
      </c>
      <c r="P261">
        <f>M261*G261</f>
        <v/>
      </c>
      <c r="Q261">
        <f>($D$16/12)*I260</f>
        <v/>
      </c>
    </row>
    <row r="262">
      <c r="A262" t="n">
        <v>230</v>
      </c>
      <c r="B262">
        <f>CEILING(0.0101*G261/$D$5,1)</f>
        <v/>
      </c>
      <c r="C262">
        <f>MAX(0,MIN(MAX(0,FLOOR($D$15*D261*MAX(0,1-D261/(($D$10+SUM($N$33:N261))/$D$5)),1)),IF(A262&gt;=$D$14,IF(AND(D261&gt;0,F261&gt;0),INT(K261*D261/F261),0),1000000000),MIN(IF($D$11&gt;G261,INT(($D$11-G261)/$D$5),0)-D261,MAX(B262,INT(($D$10+SUM($N$33:N261))/$D$5)-D261))))</f>
        <v/>
      </c>
      <c r="D262">
        <f>D261+C262</f>
        <v/>
      </c>
      <c r="E262">
        <f>$D$5</f>
        <v/>
      </c>
      <c r="F262">
        <f>IF(G261&gt;=$D$11,0,MIN(D262*E262,$D$11-G261))</f>
        <v/>
      </c>
      <c r="G262">
        <f>G261+F262</f>
        <v/>
      </c>
      <c r="H262">
        <f>H261+$D$6*F262</f>
        <v/>
      </c>
      <c r="I262">
        <f>MAX(I261+$D$7*F262+Q262-0.01*G262,0.01*G262)</f>
        <v/>
      </c>
      <c r="J262">
        <f>J261+$D$8*F262+K262-MAX(0,0.02*G262-I261-$D$7*F262-Q262)</f>
        <v/>
      </c>
      <c r="K262">
        <f>($D$9/12)*J261</f>
        <v/>
      </c>
      <c r="L262">
        <f>IF(G262=0,0,J262/(G262*$D$12))</f>
        <v/>
      </c>
      <c r="M262">
        <f>MIN(0.06,MAX(0.01,IF(G262=0,0,I262/G262)))</f>
        <v/>
      </c>
      <c r="N262">
        <f>INDEX($G$6:$G$30,MIN(INT((A262-1)/12)+1,25))</f>
        <v/>
      </c>
      <c r="O262">
        <f>G262*$D$12</f>
        <v/>
      </c>
      <c r="P262">
        <f>M262*G262</f>
        <v/>
      </c>
      <c r="Q262">
        <f>($D$16/12)*I261</f>
        <v/>
      </c>
    </row>
    <row r="263">
      <c r="A263" t="n">
        <v>231</v>
      </c>
      <c r="B263">
        <f>CEILING(0.0101*G262/$D$5,1)</f>
        <v/>
      </c>
      <c r="C263">
        <f>MAX(0,MIN(MAX(0,FLOOR($D$15*D262*MAX(0,1-D262/(($D$10+SUM($N$33:N262))/$D$5)),1)),IF(A263&gt;=$D$14,IF(AND(D262&gt;0,F262&gt;0),INT(K262*D262/F262),0),1000000000),MIN(IF($D$11&gt;G262,INT(($D$11-G262)/$D$5),0)-D262,MAX(B263,INT(($D$10+SUM($N$33:N262))/$D$5)-D262))))</f>
        <v/>
      </c>
      <c r="D263">
        <f>D262+C263</f>
        <v/>
      </c>
      <c r="E263">
        <f>$D$5</f>
        <v/>
      </c>
      <c r="F263">
        <f>IF(G262&gt;=$D$11,0,MIN(D263*E263,$D$11-G262))</f>
        <v/>
      </c>
      <c r="G263">
        <f>G262+F263</f>
        <v/>
      </c>
      <c r="H263">
        <f>H262+$D$6*F263</f>
        <v/>
      </c>
      <c r="I263">
        <f>MAX(I262+$D$7*F263+Q263-0.01*G263,0.01*G263)</f>
        <v/>
      </c>
      <c r="J263">
        <f>J262+$D$8*F263+K263-MAX(0,0.02*G263-I262-$D$7*F263-Q263)</f>
        <v/>
      </c>
      <c r="K263">
        <f>($D$9/12)*J262</f>
        <v/>
      </c>
      <c r="L263">
        <f>IF(G263=0,0,J263/(G263*$D$12))</f>
        <v/>
      </c>
      <c r="M263">
        <f>MIN(0.06,MAX(0.01,IF(G263=0,0,I263/G263)))</f>
        <v/>
      </c>
      <c r="N263">
        <f>INDEX($G$6:$G$30,MIN(INT((A263-1)/12)+1,25))</f>
        <v/>
      </c>
      <c r="O263">
        <f>G263*$D$12</f>
        <v/>
      </c>
      <c r="P263">
        <f>M263*G263</f>
        <v/>
      </c>
      <c r="Q263">
        <f>($D$16/12)*I262</f>
        <v/>
      </c>
    </row>
    <row r="264">
      <c r="A264" t="n">
        <v>232</v>
      </c>
      <c r="B264">
        <f>CEILING(0.0101*G263/$D$5,1)</f>
        <v/>
      </c>
      <c r="C264">
        <f>MAX(0,MIN(MAX(0,FLOOR($D$15*D263*MAX(0,1-D263/(($D$10+SUM($N$33:N263))/$D$5)),1)),IF(A264&gt;=$D$14,IF(AND(D263&gt;0,F263&gt;0),INT(K263*D263/F263),0),1000000000),MIN(IF($D$11&gt;G263,INT(($D$11-G263)/$D$5),0)-D263,MAX(B264,INT(($D$10+SUM($N$33:N263))/$D$5)-D263))))</f>
        <v/>
      </c>
      <c r="D264">
        <f>D263+C264</f>
        <v/>
      </c>
      <c r="E264">
        <f>$D$5</f>
        <v/>
      </c>
      <c r="F264">
        <f>IF(G263&gt;=$D$11,0,MIN(D264*E264,$D$11-G263))</f>
        <v/>
      </c>
      <c r="G264">
        <f>G263+F264</f>
        <v/>
      </c>
      <c r="H264">
        <f>H263+$D$6*F264</f>
        <v/>
      </c>
      <c r="I264">
        <f>MAX(I263+$D$7*F264+Q264-0.01*G264,0.01*G264)</f>
        <v/>
      </c>
      <c r="J264">
        <f>J263+$D$8*F264+K264-MAX(0,0.02*G264-I263-$D$7*F264-Q264)</f>
        <v/>
      </c>
      <c r="K264">
        <f>($D$9/12)*J263</f>
        <v/>
      </c>
      <c r="L264">
        <f>IF(G264=0,0,J264/(G264*$D$12))</f>
        <v/>
      </c>
      <c r="M264">
        <f>MIN(0.06,MAX(0.01,IF(G264=0,0,I264/G264)))</f>
        <v/>
      </c>
      <c r="N264">
        <f>INDEX($G$6:$G$30,MIN(INT((A264-1)/12)+1,25))</f>
        <v/>
      </c>
      <c r="O264">
        <f>G264*$D$12</f>
        <v/>
      </c>
      <c r="P264">
        <f>M264*G264</f>
        <v/>
      </c>
      <c r="Q264">
        <f>($D$16/12)*I263</f>
        <v/>
      </c>
    </row>
    <row r="265">
      <c r="A265" t="n">
        <v>233</v>
      </c>
      <c r="B265">
        <f>CEILING(0.0101*G264/$D$5,1)</f>
        <v/>
      </c>
      <c r="C265">
        <f>MAX(0,MIN(MAX(0,FLOOR($D$15*D264*MAX(0,1-D264/(($D$10+SUM($N$33:N264))/$D$5)),1)),IF(A265&gt;=$D$14,IF(AND(D264&gt;0,F264&gt;0),INT(K264*D264/F264),0),1000000000),MIN(IF($D$11&gt;G264,INT(($D$11-G264)/$D$5),0)-D264,MAX(B265,INT(($D$10+SUM($N$33:N264))/$D$5)-D264))))</f>
        <v/>
      </c>
      <c r="D265">
        <f>D264+C265</f>
        <v/>
      </c>
      <c r="E265">
        <f>$D$5</f>
        <v/>
      </c>
      <c r="F265">
        <f>IF(G264&gt;=$D$11,0,MIN(D265*E265,$D$11-G264))</f>
        <v/>
      </c>
      <c r="G265">
        <f>G264+F265</f>
        <v/>
      </c>
      <c r="H265">
        <f>H264+$D$6*F265</f>
        <v/>
      </c>
      <c r="I265">
        <f>MAX(I264+$D$7*F265+Q265-0.01*G265,0.01*G265)</f>
        <v/>
      </c>
      <c r="J265">
        <f>J264+$D$8*F265+K265-MAX(0,0.02*G265-I264-$D$7*F265-Q265)</f>
        <v/>
      </c>
      <c r="K265">
        <f>($D$9/12)*J264</f>
        <v/>
      </c>
      <c r="L265">
        <f>IF(G265=0,0,J265/(G265*$D$12))</f>
        <v/>
      </c>
      <c r="M265">
        <f>MIN(0.06,MAX(0.01,IF(G265=0,0,I265/G265)))</f>
        <v/>
      </c>
      <c r="N265">
        <f>INDEX($G$6:$G$30,MIN(INT((A265-1)/12)+1,25))</f>
        <v/>
      </c>
      <c r="O265">
        <f>G265*$D$12</f>
        <v/>
      </c>
      <c r="P265">
        <f>M265*G265</f>
        <v/>
      </c>
      <c r="Q265">
        <f>($D$16/12)*I264</f>
        <v/>
      </c>
    </row>
    <row r="266">
      <c r="A266" t="n">
        <v>234</v>
      </c>
      <c r="B266">
        <f>CEILING(0.0101*G265/$D$5,1)</f>
        <v/>
      </c>
      <c r="C266">
        <f>MAX(0,MIN(MAX(0,FLOOR($D$15*D265*MAX(0,1-D265/(($D$10+SUM($N$33:N265))/$D$5)),1)),IF(A266&gt;=$D$14,IF(AND(D265&gt;0,F265&gt;0),INT(K265*D265/F265),0),1000000000),MIN(IF($D$11&gt;G265,INT(($D$11-G265)/$D$5),0)-D265,MAX(B266,INT(($D$10+SUM($N$33:N265))/$D$5)-D265))))</f>
        <v/>
      </c>
      <c r="D266">
        <f>D265+C266</f>
        <v/>
      </c>
      <c r="E266">
        <f>$D$5</f>
        <v/>
      </c>
      <c r="F266">
        <f>IF(G265&gt;=$D$11,0,MIN(D266*E266,$D$11-G265))</f>
        <v/>
      </c>
      <c r="G266">
        <f>G265+F266</f>
        <v/>
      </c>
      <c r="H266">
        <f>H265+$D$6*F266</f>
        <v/>
      </c>
      <c r="I266">
        <f>MAX(I265+$D$7*F266+Q266-0.01*G266,0.01*G266)</f>
        <v/>
      </c>
      <c r="J266">
        <f>J265+$D$8*F266+K266-MAX(0,0.02*G266-I265-$D$7*F266-Q266)</f>
        <v/>
      </c>
      <c r="K266">
        <f>($D$9/12)*J265</f>
        <v/>
      </c>
      <c r="L266">
        <f>IF(G266=0,0,J266/(G266*$D$12))</f>
        <v/>
      </c>
      <c r="M266">
        <f>MIN(0.06,MAX(0.01,IF(G266=0,0,I266/G266)))</f>
        <v/>
      </c>
      <c r="N266">
        <f>INDEX($G$6:$G$30,MIN(INT((A266-1)/12)+1,25))</f>
        <v/>
      </c>
      <c r="O266">
        <f>G266*$D$12</f>
        <v/>
      </c>
      <c r="P266">
        <f>M266*G266</f>
        <v/>
      </c>
      <c r="Q266">
        <f>($D$16/12)*I265</f>
        <v/>
      </c>
    </row>
    <row r="267">
      <c r="A267" t="n">
        <v>235</v>
      </c>
      <c r="B267">
        <f>CEILING(0.0101*G266/$D$5,1)</f>
        <v/>
      </c>
      <c r="C267">
        <f>MAX(0,MIN(MAX(0,FLOOR($D$15*D266*MAX(0,1-D266/(($D$10+SUM($N$33:N266))/$D$5)),1)),IF(A267&gt;=$D$14,IF(AND(D266&gt;0,F266&gt;0),INT(K266*D266/F266),0),1000000000),MIN(IF($D$11&gt;G266,INT(($D$11-G266)/$D$5),0)-D266,MAX(B267,INT(($D$10+SUM($N$33:N266))/$D$5)-D266))))</f>
        <v/>
      </c>
      <c r="D267">
        <f>D266+C267</f>
        <v/>
      </c>
      <c r="E267">
        <f>$D$5</f>
        <v/>
      </c>
      <c r="F267">
        <f>IF(G266&gt;=$D$11,0,MIN(D267*E267,$D$11-G266))</f>
        <v/>
      </c>
      <c r="G267">
        <f>G266+F267</f>
        <v/>
      </c>
      <c r="H267">
        <f>H266+$D$6*F267</f>
        <v/>
      </c>
      <c r="I267">
        <f>MAX(I266+$D$7*F267+Q267-0.01*G267,0.01*G267)</f>
        <v/>
      </c>
      <c r="J267">
        <f>J266+$D$8*F267+K267-MAX(0,0.02*G267-I266-$D$7*F267-Q267)</f>
        <v/>
      </c>
      <c r="K267">
        <f>($D$9/12)*J266</f>
        <v/>
      </c>
      <c r="L267">
        <f>IF(G267=0,0,J267/(G267*$D$12))</f>
        <v/>
      </c>
      <c r="M267">
        <f>MIN(0.06,MAX(0.01,IF(G267=0,0,I267/G267)))</f>
        <v/>
      </c>
      <c r="N267">
        <f>INDEX($G$6:$G$30,MIN(INT((A267-1)/12)+1,25))</f>
        <v/>
      </c>
      <c r="O267">
        <f>G267*$D$12</f>
        <v/>
      </c>
      <c r="P267">
        <f>M267*G267</f>
        <v/>
      </c>
      <c r="Q267">
        <f>($D$16/12)*I266</f>
        <v/>
      </c>
    </row>
    <row r="268">
      <c r="A268" t="n">
        <v>236</v>
      </c>
      <c r="B268">
        <f>CEILING(0.0101*G267/$D$5,1)</f>
        <v/>
      </c>
      <c r="C268">
        <f>MAX(0,MIN(MAX(0,FLOOR($D$15*D267*MAX(0,1-D267/(($D$10+SUM($N$33:N267))/$D$5)),1)),IF(A268&gt;=$D$14,IF(AND(D267&gt;0,F267&gt;0),INT(K267*D267/F267),0),1000000000),MIN(IF($D$11&gt;G267,INT(($D$11-G267)/$D$5),0)-D267,MAX(B268,INT(($D$10+SUM($N$33:N267))/$D$5)-D267))))</f>
        <v/>
      </c>
      <c r="D268">
        <f>D267+C268</f>
        <v/>
      </c>
      <c r="E268">
        <f>$D$5</f>
        <v/>
      </c>
      <c r="F268">
        <f>IF(G267&gt;=$D$11,0,MIN(D268*E268,$D$11-G267))</f>
        <v/>
      </c>
      <c r="G268">
        <f>G267+F268</f>
        <v/>
      </c>
      <c r="H268">
        <f>H267+$D$6*F268</f>
        <v/>
      </c>
      <c r="I268">
        <f>MAX(I267+$D$7*F268+Q268-0.01*G268,0.01*G268)</f>
        <v/>
      </c>
      <c r="J268">
        <f>J267+$D$8*F268+K268-MAX(0,0.02*G268-I267-$D$7*F268-Q268)</f>
        <v/>
      </c>
      <c r="K268">
        <f>($D$9/12)*J267</f>
        <v/>
      </c>
      <c r="L268">
        <f>IF(G268=0,0,J268/(G268*$D$12))</f>
        <v/>
      </c>
      <c r="M268">
        <f>MIN(0.06,MAX(0.01,IF(G268=0,0,I268/G268)))</f>
        <v/>
      </c>
      <c r="N268">
        <f>INDEX($G$6:$G$30,MIN(INT((A268-1)/12)+1,25))</f>
        <v/>
      </c>
      <c r="O268">
        <f>G268*$D$12</f>
        <v/>
      </c>
      <c r="P268">
        <f>M268*G268</f>
        <v/>
      </c>
      <c r="Q268">
        <f>($D$16/12)*I267</f>
        <v/>
      </c>
    </row>
    <row r="269">
      <c r="A269" t="n">
        <v>237</v>
      </c>
      <c r="B269">
        <f>CEILING(0.0101*G268/$D$5,1)</f>
        <v/>
      </c>
      <c r="C269">
        <f>MAX(0,MIN(MAX(0,FLOOR($D$15*D268*MAX(0,1-D268/(($D$10+SUM($N$33:N268))/$D$5)),1)),IF(A269&gt;=$D$14,IF(AND(D268&gt;0,F268&gt;0),INT(K268*D268/F268),0),1000000000),MIN(IF($D$11&gt;G268,INT(($D$11-G268)/$D$5),0)-D268,MAX(B269,INT(($D$10+SUM($N$33:N268))/$D$5)-D268))))</f>
        <v/>
      </c>
      <c r="D269">
        <f>D268+C269</f>
        <v/>
      </c>
      <c r="E269">
        <f>$D$5</f>
        <v/>
      </c>
      <c r="F269">
        <f>IF(G268&gt;=$D$11,0,MIN(D269*E269,$D$11-G268))</f>
        <v/>
      </c>
      <c r="G269">
        <f>G268+F269</f>
        <v/>
      </c>
      <c r="H269">
        <f>H268+$D$6*F269</f>
        <v/>
      </c>
      <c r="I269">
        <f>MAX(I268+$D$7*F269+Q269-0.01*G269,0.01*G269)</f>
        <v/>
      </c>
      <c r="J269">
        <f>J268+$D$8*F269+K269-MAX(0,0.02*G269-I268-$D$7*F269-Q269)</f>
        <v/>
      </c>
      <c r="K269">
        <f>($D$9/12)*J268</f>
        <v/>
      </c>
      <c r="L269">
        <f>IF(G269=0,0,J269/(G269*$D$12))</f>
        <v/>
      </c>
      <c r="M269">
        <f>MIN(0.06,MAX(0.01,IF(G269=0,0,I269/G269)))</f>
        <v/>
      </c>
      <c r="N269">
        <f>INDEX($G$6:$G$30,MIN(INT((A269-1)/12)+1,25))</f>
        <v/>
      </c>
      <c r="O269">
        <f>G269*$D$12</f>
        <v/>
      </c>
      <c r="P269">
        <f>M269*G269</f>
        <v/>
      </c>
      <c r="Q269">
        <f>($D$16/12)*I268</f>
        <v/>
      </c>
    </row>
    <row r="270">
      <c r="A270" t="n">
        <v>238</v>
      </c>
      <c r="B270">
        <f>CEILING(0.0101*G269/$D$5,1)</f>
        <v/>
      </c>
      <c r="C270">
        <f>MAX(0,MIN(MAX(0,FLOOR($D$15*D269*MAX(0,1-D269/(($D$10+SUM($N$33:N269))/$D$5)),1)),IF(A270&gt;=$D$14,IF(AND(D269&gt;0,F269&gt;0),INT(K269*D269/F269),0),1000000000),MIN(IF($D$11&gt;G269,INT(($D$11-G269)/$D$5),0)-D269,MAX(B270,INT(($D$10+SUM($N$33:N269))/$D$5)-D269))))</f>
        <v/>
      </c>
      <c r="D270">
        <f>D269+C270</f>
        <v/>
      </c>
      <c r="E270">
        <f>$D$5</f>
        <v/>
      </c>
      <c r="F270">
        <f>IF(G269&gt;=$D$11,0,MIN(D270*E270,$D$11-G269))</f>
        <v/>
      </c>
      <c r="G270">
        <f>G269+F270</f>
        <v/>
      </c>
      <c r="H270">
        <f>H269+$D$6*F270</f>
        <v/>
      </c>
      <c r="I270">
        <f>MAX(I269+$D$7*F270+Q270-0.01*G270,0.01*G270)</f>
        <v/>
      </c>
      <c r="J270">
        <f>J269+$D$8*F270+K270-MAX(0,0.02*G270-I269-$D$7*F270-Q270)</f>
        <v/>
      </c>
      <c r="K270">
        <f>($D$9/12)*J269</f>
        <v/>
      </c>
      <c r="L270">
        <f>IF(G270=0,0,J270/(G270*$D$12))</f>
        <v/>
      </c>
      <c r="M270">
        <f>MIN(0.06,MAX(0.01,IF(G270=0,0,I270/G270)))</f>
        <v/>
      </c>
      <c r="N270">
        <f>INDEX($G$6:$G$30,MIN(INT((A270-1)/12)+1,25))</f>
        <v/>
      </c>
      <c r="O270">
        <f>G270*$D$12</f>
        <v/>
      </c>
      <c r="P270">
        <f>M270*G270</f>
        <v/>
      </c>
      <c r="Q270">
        <f>($D$16/12)*I269</f>
        <v/>
      </c>
    </row>
    <row r="271">
      <c r="A271" t="n">
        <v>239</v>
      </c>
      <c r="B271">
        <f>CEILING(0.0101*G270/$D$5,1)</f>
        <v/>
      </c>
      <c r="C271">
        <f>MAX(0,MIN(MAX(0,FLOOR($D$15*D270*MAX(0,1-D270/(($D$10+SUM($N$33:N270))/$D$5)),1)),IF(A271&gt;=$D$14,IF(AND(D270&gt;0,F270&gt;0),INT(K270*D270/F270),0),1000000000),MIN(IF($D$11&gt;G270,INT(($D$11-G270)/$D$5),0)-D270,MAX(B271,INT(($D$10+SUM($N$33:N270))/$D$5)-D270))))</f>
        <v/>
      </c>
      <c r="D271">
        <f>D270+C271</f>
        <v/>
      </c>
      <c r="E271">
        <f>$D$5</f>
        <v/>
      </c>
      <c r="F271">
        <f>IF(G270&gt;=$D$11,0,MIN(D271*E271,$D$11-G270))</f>
        <v/>
      </c>
      <c r="G271">
        <f>G270+F271</f>
        <v/>
      </c>
      <c r="H271">
        <f>H270+$D$6*F271</f>
        <v/>
      </c>
      <c r="I271">
        <f>MAX(I270+$D$7*F271+Q271-0.01*G271,0.01*G271)</f>
        <v/>
      </c>
      <c r="J271">
        <f>J270+$D$8*F271+K271-MAX(0,0.02*G271-I270-$D$7*F271-Q271)</f>
        <v/>
      </c>
      <c r="K271">
        <f>($D$9/12)*J270</f>
        <v/>
      </c>
      <c r="L271">
        <f>IF(G271=0,0,J271/(G271*$D$12))</f>
        <v/>
      </c>
      <c r="M271">
        <f>MIN(0.06,MAX(0.01,IF(G271=0,0,I271/G271)))</f>
        <v/>
      </c>
      <c r="N271">
        <f>INDEX($G$6:$G$30,MIN(INT((A271-1)/12)+1,25))</f>
        <v/>
      </c>
      <c r="O271">
        <f>G271*$D$12</f>
        <v/>
      </c>
      <c r="P271">
        <f>M271*G271</f>
        <v/>
      </c>
      <c r="Q271">
        <f>($D$16/12)*I270</f>
        <v/>
      </c>
    </row>
    <row r="272">
      <c r="A272" t="n">
        <v>240</v>
      </c>
      <c r="B272">
        <f>CEILING(0.0101*G271/$D$5,1)</f>
        <v/>
      </c>
      <c r="C272">
        <f>MAX(0,MIN(MAX(0,FLOOR($D$15*D271*MAX(0,1-D271/(($D$10+SUM($N$33:N271))/$D$5)),1)),IF(A272&gt;=$D$14,IF(AND(D271&gt;0,F271&gt;0),INT(K271*D271/F271),0),1000000000),MIN(IF($D$11&gt;G271,INT(($D$11-G271)/$D$5),0)-D271,MAX(B272,INT(($D$10+SUM($N$33:N271))/$D$5)-D271))))</f>
        <v/>
      </c>
      <c r="D272">
        <f>D271+C272</f>
        <v/>
      </c>
      <c r="E272">
        <f>$D$5</f>
        <v/>
      </c>
      <c r="F272">
        <f>IF(G271&gt;=$D$11,0,MIN(D272*E272,$D$11-G271))</f>
        <v/>
      </c>
      <c r="G272">
        <f>G271+F272</f>
        <v/>
      </c>
      <c r="H272">
        <f>H271+$D$6*F272</f>
        <v/>
      </c>
      <c r="I272">
        <f>MAX(I271+$D$7*F272+Q272-0.01*G272,0.01*G272)</f>
        <v/>
      </c>
      <c r="J272">
        <f>J271+$D$8*F272+K272-MAX(0,0.02*G272-I271-$D$7*F272-Q272)</f>
        <v/>
      </c>
      <c r="K272">
        <f>($D$9/12)*J271</f>
        <v/>
      </c>
      <c r="L272">
        <f>IF(G272=0,0,J272/(G272*$D$12))</f>
        <v/>
      </c>
      <c r="M272">
        <f>MIN(0.06,MAX(0.01,IF(G272=0,0,I272/G272)))</f>
        <v/>
      </c>
      <c r="N272">
        <f>INDEX($G$6:$G$30,MIN(INT((A272-1)/12)+1,25))</f>
        <v/>
      </c>
      <c r="O272">
        <f>G272*$D$12</f>
        <v/>
      </c>
      <c r="P272">
        <f>M272*G272</f>
        <v/>
      </c>
      <c r="Q272">
        <f>($D$16/12)*I271</f>
        <v/>
      </c>
    </row>
    <row r="273">
      <c r="A273" t="n">
        <v>241</v>
      </c>
      <c r="B273">
        <f>CEILING(0.0101*G272/$D$5,1)</f>
        <v/>
      </c>
      <c r="C273">
        <f>MAX(0,MIN(MAX(0,FLOOR($D$15*D272*MAX(0,1-D272/(($D$10+SUM($N$33:N272))/$D$5)),1)),IF(A273&gt;=$D$14,IF(AND(D272&gt;0,F272&gt;0),INT(K272*D272/F272),0),1000000000),MIN(IF($D$11&gt;G272,INT(($D$11-G272)/$D$5),0)-D272,MAX(B273,INT(($D$10+SUM($N$33:N272))/$D$5)-D272))))</f>
        <v/>
      </c>
      <c r="D273">
        <f>D272+C273</f>
        <v/>
      </c>
      <c r="E273">
        <f>$D$5</f>
        <v/>
      </c>
      <c r="F273">
        <f>IF(G272&gt;=$D$11,0,MIN(D273*E273,$D$11-G272))</f>
        <v/>
      </c>
      <c r="G273">
        <f>G272+F273</f>
        <v/>
      </c>
      <c r="H273">
        <f>H272+$D$6*F273</f>
        <v/>
      </c>
      <c r="I273">
        <f>MAX(I272+$D$7*F273+Q273-0.01*G273,0.01*G273)</f>
        <v/>
      </c>
      <c r="J273">
        <f>J272+$D$8*F273+K273-MAX(0,0.02*G273-I272-$D$7*F273-Q273)</f>
        <v/>
      </c>
      <c r="K273">
        <f>($D$9/12)*J272</f>
        <v/>
      </c>
      <c r="L273">
        <f>IF(G273=0,0,J273/(G273*$D$12))</f>
        <v/>
      </c>
      <c r="M273">
        <f>MIN(0.06,MAX(0.01,IF(G273=0,0,I273/G273)))</f>
        <v/>
      </c>
      <c r="N273">
        <f>INDEX($G$6:$G$30,MIN(INT((A273-1)/12)+1,25))</f>
        <v/>
      </c>
      <c r="O273">
        <f>G273*$D$12</f>
        <v/>
      </c>
      <c r="P273">
        <f>M273*G273</f>
        <v/>
      </c>
      <c r="Q273">
        <f>($D$16/12)*I272</f>
        <v/>
      </c>
    </row>
    <row r="274">
      <c r="A274" t="n">
        <v>242</v>
      </c>
      <c r="B274">
        <f>CEILING(0.0101*G273/$D$5,1)</f>
        <v/>
      </c>
      <c r="C274">
        <f>MAX(0,MIN(MAX(0,FLOOR($D$15*D273*MAX(0,1-D273/(($D$10+SUM($N$33:N273))/$D$5)),1)),IF(A274&gt;=$D$14,IF(AND(D273&gt;0,F273&gt;0),INT(K273*D273/F273),0),1000000000),MIN(IF($D$11&gt;G273,INT(($D$11-G273)/$D$5),0)-D273,MAX(B274,INT(($D$10+SUM($N$33:N273))/$D$5)-D273))))</f>
        <v/>
      </c>
      <c r="D274">
        <f>D273+C274</f>
        <v/>
      </c>
      <c r="E274">
        <f>$D$5</f>
        <v/>
      </c>
      <c r="F274">
        <f>IF(G273&gt;=$D$11,0,MIN(D274*E274,$D$11-G273))</f>
        <v/>
      </c>
      <c r="G274">
        <f>G273+F274</f>
        <v/>
      </c>
      <c r="H274">
        <f>H273+$D$6*F274</f>
        <v/>
      </c>
      <c r="I274">
        <f>MAX(I273+$D$7*F274+Q274-0.01*G274,0.01*G274)</f>
        <v/>
      </c>
      <c r="J274">
        <f>J273+$D$8*F274+K274-MAX(0,0.02*G274-I273-$D$7*F274-Q274)</f>
        <v/>
      </c>
      <c r="K274">
        <f>($D$9/12)*J273</f>
        <v/>
      </c>
      <c r="L274">
        <f>IF(G274=0,0,J274/(G274*$D$12))</f>
        <v/>
      </c>
      <c r="M274">
        <f>MIN(0.06,MAX(0.01,IF(G274=0,0,I274/G274)))</f>
        <v/>
      </c>
      <c r="N274">
        <f>INDEX($G$6:$G$30,MIN(INT((A274-1)/12)+1,25))</f>
        <v/>
      </c>
      <c r="O274">
        <f>G274*$D$12</f>
        <v/>
      </c>
      <c r="P274">
        <f>M274*G274</f>
        <v/>
      </c>
      <c r="Q274">
        <f>($D$16/12)*I273</f>
        <v/>
      </c>
    </row>
    <row r="275">
      <c r="A275" t="n">
        <v>243</v>
      </c>
      <c r="B275">
        <f>CEILING(0.0101*G274/$D$5,1)</f>
        <v/>
      </c>
      <c r="C275">
        <f>MAX(0,MIN(MAX(0,FLOOR($D$15*D274*MAX(0,1-D274/(($D$10+SUM($N$33:N274))/$D$5)),1)),IF(A275&gt;=$D$14,IF(AND(D274&gt;0,F274&gt;0),INT(K274*D274/F274),0),1000000000),MIN(IF($D$11&gt;G274,INT(($D$11-G274)/$D$5),0)-D274,MAX(B275,INT(($D$10+SUM($N$33:N274))/$D$5)-D274))))</f>
        <v/>
      </c>
      <c r="D275">
        <f>D274+C275</f>
        <v/>
      </c>
      <c r="E275">
        <f>$D$5</f>
        <v/>
      </c>
      <c r="F275">
        <f>IF(G274&gt;=$D$11,0,MIN(D275*E275,$D$11-G274))</f>
        <v/>
      </c>
      <c r="G275">
        <f>G274+F275</f>
        <v/>
      </c>
      <c r="H275">
        <f>H274+$D$6*F275</f>
        <v/>
      </c>
      <c r="I275">
        <f>MAX(I274+$D$7*F275+Q275-0.01*G275,0.01*G275)</f>
        <v/>
      </c>
      <c r="J275">
        <f>J274+$D$8*F275+K275-MAX(0,0.02*G275-I274-$D$7*F275-Q275)</f>
        <v/>
      </c>
      <c r="K275">
        <f>($D$9/12)*J274</f>
        <v/>
      </c>
      <c r="L275">
        <f>IF(G275=0,0,J275/(G275*$D$12))</f>
        <v/>
      </c>
      <c r="M275">
        <f>MIN(0.06,MAX(0.01,IF(G275=0,0,I275/G275)))</f>
        <v/>
      </c>
      <c r="N275">
        <f>INDEX($G$6:$G$30,MIN(INT((A275-1)/12)+1,25))</f>
        <v/>
      </c>
      <c r="O275">
        <f>G275*$D$12</f>
        <v/>
      </c>
      <c r="P275">
        <f>M275*G275</f>
        <v/>
      </c>
      <c r="Q275">
        <f>($D$16/12)*I274</f>
        <v/>
      </c>
    </row>
    <row r="276">
      <c r="A276" t="n">
        <v>244</v>
      </c>
      <c r="B276">
        <f>CEILING(0.0101*G275/$D$5,1)</f>
        <v/>
      </c>
      <c r="C276">
        <f>MAX(0,MIN(MAX(0,FLOOR($D$15*D275*MAX(0,1-D275/(($D$10+SUM($N$33:N275))/$D$5)),1)),IF(A276&gt;=$D$14,IF(AND(D275&gt;0,F275&gt;0),INT(K275*D275/F275),0),1000000000),MIN(IF($D$11&gt;G275,INT(($D$11-G275)/$D$5),0)-D275,MAX(B276,INT(($D$10+SUM($N$33:N275))/$D$5)-D275))))</f>
        <v/>
      </c>
      <c r="D276">
        <f>D275+C276</f>
        <v/>
      </c>
      <c r="E276">
        <f>$D$5</f>
        <v/>
      </c>
      <c r="F276">
        <f>IF(G275&gt;=$D$11,0,MIN(D276*E276,$D$11-G275))</f>
        <v/>
      </c>
      <c r="G276">
        <f>G275+F276</f>
        <v/>
      </c>
      <c r="H276">
        <f>H275+$D$6*F276</f>
        <v/>
      </c>
      <c r="I276">
        <f>MAX(I275+$D$7*F276+Q276-0.01*G276,0.01*G276)</f>
        <v/>
      </c>
      <c r="J276">
        <f>J275+$D$8*F276+K276-MAX(0,0.02*G276-I275-$D$7*F276-Q276)</f>
        <v/>
      </c>
      <c r="K276">
        <f>($D$9/12)*J275</f>
        <v/>
      </c>
      <c r="L276">
        <f>IF(G276=0,0,J276/(G276*$D$12))</f>
        <v/>
      </c>
      <c r="M276">
        <f>MIN(0.06,MAX(0.01,IF(G276=0,0,I276/G276)))</f>
        <v/>
      </c>
      <c r="N276">
        <f>INDEX($G$6:$G$30,MIN(INT((A276-1)/12)+1,25))</f>
        <v/>
      </c>
      <c r="O276">
        <f>G276*$D$12</f>
        <v/>
      </c>
      <c r="P276">
        <f>M276*G276</f>
        <v/>
      </c>
      <c r="Q276">
        <f>($D$16/12)*I275</f>
        <v/>
      </c>
    </row>
    <row r="277">
      <c r="A277" t="n">
        <v>245</v>
      </c>
      <c r="B277">
        <f>CEILING(0.0101*G276/$D$5,1)</f>
        <v/>
      </c>
      <c r="C277">
        <f>MAX(0,MIN(MAX(0,FLOOR($D$15*D276*MAX(0,1-D276/(($D$10+SUM($N$33:N276))/$D$5)),1)),IF(A277&gt;=$D$14,IF(AND(D276&gt;0,F276&gt;0),INT(K276*D276/F276),0),1000000000),MIN(IF($D$11&gt;G276,INT(($D$11-G276)/$D$5),0)-D276,MAX(B277,INT(($D$10+SUM($N$33:N276))/$D$5)-D276))))</f>
        <v/>
      </c>
      <c r="D277">
        <f>D276+C277</f>
        <v/>
      </c>
      <c r="E277">
        <f>$D$5</f>
        <v/>
      </c>
      <c r="F277">
        <f>IF(G276&gt;=$D$11,0,MIN(D277*E277,$D$11-G276))</f>
        <v/>
      </c>
      <c r="G277">
        <f>G276+F277</f>
        <v/>
      </c>
      <c r="H277">
        <f>H276+$D$6*F277</f>
        <v/>
      </c>
      <c r="I277">
        <f>MAX(I276+$D$7*F277+Q277-0.01*G277,0.01*G277)</f>
        <v/>
      </c>
      <c r="J277">
        <f>J276+$D$8*F277+K277-MAX(0,0.02*G277-I276-$D$7*F277-Q277)</f>
        <v/>
      </c>
      <c r="K277">
        <f>($D$9/12)*J276</f>
        <v/>
      </c>
      <c r="L277">
        <f>IF(G277=0,0,J277/(G277*$D$12))</f>
        <v/>
      </c>
      <c r="M277">
        <f>MIN(0.06,MAX(0.01,IF(G277=0,0,I277/G277)))</f>
        <v/>
      </c>
      <c r="N277">
        <f>INDEX($G$6:$G$30,MIN(INT((A277-1)/12)+1,25))</f>
        <v/>
      </c>
      <c r="O277">
        <f>G277*$D$12</f>
        <v/>
      </c>
      <c r="P277">
        <f>M277*G277</f>
        <v/>
      </c>
      <c r="Q277">
        <f>($D$16/12)*I276</f>
        <v/>
      </c>
    </row>
    <row r="278">
      <c r="A278" t="n">
        <v>246</v>
      </c>
      <c r="B278">
        <f>CEILING(0.0101*G277/$D$5,1)</f>
        <v/>
      </c>
      <c r="C278">
        <f>MAX(0,MIN(MAX(0,FLOOR($D$15*D277*MAX(0,1-D277/(($D$10+SUM($N$33:N277))/$D$5)),1)),IF(A278&gt;=$D$14,IF(AND(D277&gt;0,F277&gt;0),INT(K277*D277/F277),0),1000000000),MIN(IF($D$11&gt;G277,INT(($D$11-G277)/$D$5),0)-D277,MAX(B278,INT(($D$10+SUM($N$33:N277))/$D$5)-D277))))</f>
        <v/>
      </c>
      <c r="D278">
        <f>D277+C278</f>
        <v/>
      </c>
      <c r="E278">
        <f>$D$5</f>
        <v/>
      </c>
      <c r="F278">
        <f>IF(G277&gt;=$D$11,0,MIN(D278*E278,$D$11-G277))</f>
        <v/>
      </c>
      <c r="G278">
        <f>G277+F278</f>
        <v/>
      </c>
      <c r="H278">
        <f>H277+$D$6*F278</f>
        <v/>
      </c>
      <c r="I278">
        <f>MAX(I277+$D$7*F278+Q278-0.01*G278,0.01*G278)</f>
        <v/>
      </c>
      <c r="J278">
        <f>J277+$D$8*F278+K278-MAX(0,0.02*G278-I277-$D$7*F278-Q278)</f>
        <v/>
      </c>
      <c r="K278">
        <f>($D$9/12)*J277</f>
        <v/>
      </c>
      <c r="L278">
        <f>IF(G278=0,0,J278/(G278*$D$12))</f>
        <v/>
      </c>
      <c r="M278">
        <f>MIN(0.06,MAX(0.01,IF(G278=0,0,I278/G278)))</f>
        <v/>
      </c>
      <c r="N278">
        <f>INDEX($G$6:$G$30,MIN(INT((A278-1)/12)+1,25))</f>
        <v/>
      </c>
      <c r="O278">
        <f>G278*$D$12</f>
        <v/>
      </c>
      <c r="P278">
        <f>M278*G278</f>
        <v/>
      </c>
      <c r="Q278">
        <f>($D$16/12)*I277</f>
        <v/>
      </c>
    </row>
    <row r="279">
      <c r="A279" t="n">
        <v>247</v>
      </c>
      <c r="B279">
        <f>CEILING(0.0101*G278/$D$5,1)</f>
        <v/>
      </c>
      <c r="C279">
        <f>MAX(0,MIN(MAX(0,FLOOR($D$15*D278*MAX(0,1-D278/(($D$10+SUM($N$33:N278))/$D$5)),1)),IF(A279&gt;=$D$14,IF(AND(D278&gt;0,F278&gt;0),INT(K278*D278/F278),0),1000000000),MIN(IF($D$11&gt;G278,INT(($D$11-G278)/$D$5),0)-D278,MAX(B279,INT(($D$10+SUM($N$33:N278))/$D$5)-D278))))</f>
        <v/>
      </c>
      <c r="D279">
        <f>D278+C279</f>
        <v/>
      </c>
      <c r="E279">
        <f>$D$5</f>
        <v/>
      </c>
      <c r="F279">
        <f>IF(G278&gt;=$D$11,0,MIN(D279*E279,$D$11-G278))</f>
        <v/>
      </c>
      <c r="G279">
        <f>G278+F279</f>
        <v/>
      </c>
      <c r="H279">
        <f>H278+$D$6*F279</f>
        <v/>
      </c>
      <c r="I279">
        <f>MAX(I278+$D$7*F279+Q279-0.01*G279,0.01*G279)</f>
        <v/>
      </c>
      <c r="J279">
        <f>J278+$D$8*F279+K279-MAX(0,0.02*G279-I278-$D$7*F279-Q279)</f>
        <v/>
      </c>
      <c r="K279">
        <f>($D$9/12)*J278</f>
        <v/>
      </c>
      <c r="L279">
        <f>IF(G279=0,0,J279/(G279*$D$12))</f>
        <v/>
      </c>
      <c r="M279">
        <f>MIN(0.06,MAX(0.01,IF(G279=0,0,I279/G279)))</f>
        <v/>
      </c>
      <c r="N279">
        <f>INDEX($G$6:$G$30,MIN(INT((A279-1)/12)+1,25))</f>
        <v/>
      </c>
      <c r="O279">
        <f>G279*$D$12</f>
        <v/>
      </c>
      <c r="P279">
        <f>M279*G279</f>
        <v/>
      </c>
      <c r="Q279">
        <f>($D$16/12)*I278</f>
        <v/>
      </c>
    </row>
    <row r="280">
      <c r="A280" t="n">
        <v>248</v>
      </c>
      <c r="B280">
        <f>CEILING(0.0101*G279/$D$5,1)</f>
        <v/>
      </c>
      <c r="C280">
        <f>MAX(0,MIN(MAX(0,FLOOR($D$15*D279*MAX(0,1-D279/(($D$10+SUM($N$33:N279))/$D$5)),1)),IF(A280&gt;=$D$14,IF(AND(D279&gt;0,F279&gt;0),INT(K279*D279/F279),0),1000000000),MIN(IF($D$11&gt;G279,INT(($D$11-G279)/$D$5),0)-D279,MAX(B280,INT(($D$10+SUM($N$33:N279))/$D$5)-D279))))</f>
        <v/>
      </c>
      <c r="D280">
        <f>D279+C280</f>
        <v/>
      </c>
      <c r="E280">
        <f>$D$5</f>
        <v/>
      </c>
      <c r="F280">
        <f>IF(G279&gt;=$D$11,0,MIN(D280*E280,$D$11-G279))</f>
        <v/>
      </c>
      <c r="G280">
        <f>G279+F280</f>
        <v/>
      </c>
      <c r="H280">
        <f>H279+$D$6*F280</f>
        <v/>
      </c>
      <c r="I280">
        <f>MAX(I279+$D$7*F280+Q280-0.01*G280,0.01*G280)</f>
        <v/>
      </c>
      <c r="J280">
        <f>J279+$D$8*F280+K280-MAX(0,0.02*G280-I279-$D$7*F280-Q280)</f>
        <v/>
      </c>
      <c r="K280">
        <f>($D$9/12)*J279</f>
        <v/>
      </c>
      <c r="L280">
        <f>IF(G280=0,0,J280/(G280*$D$12))</f>
        <v/>
      </c>
      <c r="M280">
        <f>MIN(0.06,MAX(0.01,IF(G280=0,0,I280/G280)))</f>
        <v/>
      </c>
      <c r="N280">
        <f>INDEX($G$6:$G$30,MIN(INT((A280-1)/12)+1,25))</f>
        <v/>
      </c>
      <c r="O280">
        <f>G280*$D$12</f>
        <v/>
      </c>
      <c r="P280">
        <f>M280*G280</f>
        <v/>
      </c>
      <c r="Q280">
        <f>($D$16/12)*I279</f>
        <v/>
      </c>
    </row>
    <row r="281">
      <c r="A281" t="n">
        <v>249</v>
      </c>
      <c r="B281">
        <f>CEILING(0.0101*G280/$D$5,1)</f>
        <v/>
      </c>
      <c r="C281">
        <f>MAX(0,MIN(MAX(0,FLOOR($D$15*D280*MAX(0,1-D280/(($D$10+SUM($N$33:N280))/$D$5)),1)),IF(A281&gt;=$D$14,IF(AND(D280&gt;0,F280&gt;0),INT(K280*D280/F280),0),1000000000),MIN(IF($D$11&gt;G280,INT(($D$11-G280)/$D$5),0)-D280,MAX(B281,INT(($D$10+SUM($N$33:N280))/$D$5)-D280))))</f>
        <v/>
      </c>
      <c r="D281">
        <f>D280+C281</f>
        <v/>
      </c>
      <c r="E281">
        <f>$D$5</f>
        <v/>
      </c>
      <c r="F281">
        <f>IF(G280&gt;=$D$11,0,MIN(D281*E281,$D$11-G280))</f>
        <v/>
      </c>
      <c r="G281">
        <f>G280+F281</f>
        <v/>
      </c>
      <c r="H281">
        <f>H280+$D$6*F281</f>
        <v/>
      </c>
      <c r="I281">
        <f>MAX(I280+$D$7*F281+Q281-0.01*G281,0.01*G281)</f>
        <v/>
      </c>
      <c r="J281">
        <f>J280+$D$8*F281+K281-MAX(0,0.02*G281-I280-$D$7*F281-Q281)</f>
        <v/>
      </c>
      <c r="K281">
        <f>($D$9/12)*J280</f>
        <v/>
      </c>
      <c r="L281">
        <f>IF(G281=0,0,J281/(G281*$D$12))</f>
        <v/>
      </c>
      <c r="M281">
        <f>MIN(0.06,MAX(0.01,IF(G281=0,0,I281/G281)))</f>
        <v/>
      </c>
      <c r="N281">
        <f>INDEX($G$6:$G$30,MIN(INT((A281-1)/12)+1,25))</f>
        <v/>
      </c>
      <c r="O281">
        <f>G281*$D$12</f>
        <v/>
      </c>
      <c r="P281">
        <f>M281*G281</f>
        <v/>
      </c>
      <c r="Q281">
        <f>($D$16/12)*I280</f>
        <v/>
      </c>
    </row>
    <row r="282">
      <c r="A282" t="n">
        <v>250</v>
      </c>
      <c r="B282">
        <f>CEILING(0.0101*G281/$D$5,1)</f>
        <v/>
      </c>
      <c r="C282">
        <f>MAX(0,MIN(MAX(0,FLOOR($D$15*D281*MAX(0,1-D281/(($D$10+SUM($N$33:N281))/$D$5)),1)),IF(A282&gt;=$D$14,IF(AND(D281&gt;0,F281&gt;0),INT(K281*D281/F281),0),1000000000),MIN(IF($D$11&gt;G281,INT(($D$11-G281)/$D$5),0)-D281,MAX(B282,INT(($D$10+SUM($N$33:N281))/$D$5)-D281))))</f>
        <v/>
      </c>
      <c r="D282">
        <f>D281+C282</f>
        <v/>
      </c>
      <c r="E282">
        <f>$D$5</f>
        <v/>
      </c>
      <c r="F282">
        <f>IF(G281&gt;=$D$11,0,MIN(D282*E282,$D$11-G281))</f>
        <v/>
      </c>
      <c r="G282">
        <f>G281+F282</f>
        <v/>
      </c>
      <c r="H282">
        <f>H281+$D$6*F282</f>
        <v/>
      </c>
      <c r="I282">
        <f>MAX(I281+$D$7*F282+Q282-0.01*G282,0.01*G282)</f>
        <v/>
      </c>
      <c r="J282">
        <f>J281+$D$8*F282+K282-MAX(0,0.02*G282-I281-$D$7*F282-Q282)</f>
        <v/>
      </c>
      <c r="K282">
        <f>($D$9/12)*J281</f>
        <v/>
      </c>
      <c r="L282">
        <f>IF(G282=0,0,J282/(G282*$D$12))</f>
        <v/>
      </c>
      <c r="M282">
        <f>MIN(0.06,MAX(0.01,IF(G282=0,0,I282/G282)))</f>
        <v/>
      </c>
      <c r="N282">
        <f>INDEX($G$6:$G$30,MIN(INT((A282-1)/12)+1,25))</f>
        <v/>
      </c>
      <c r="O282">
        <f>G282*$D$12</f>
        <v/>
      </c>
      <c r="P282">
        <f>M282*G282</f>
        <v/>
      </c>
      <c r="Q282">
        <f>($D$16/12)*I281</f>
        <v/>
      </c>
    </row>
    <row r="283">
      <c r="A283" t="n">
        <v>251</v>
      </c>
      <c r="B283">
        <f>CEILING(0.0101*G282/$D$5,1)</f>
        <v/>
      </c>
      <c r="C283">
        <f>MAX(0,MIN(MAX(0,FLOOR($D$15*D282*MAX(0,1-D282/(($D$10+SUM($N$33:N282))/$D$5)),1)),IF(A283&gt;=$D$14,IF(AND(D282&gt;0,F282&gt;0),INT(K282*D282/F282),0),1000000000),MIN(IF($D$11&gt;G282,INT(($D$11-G282)/$D$5),0)-D282,MAX(B283,INT(($D$10+SUM($N$33:N282))/$D$5)-D282))))</f>
        <v/>
      </c>
      <c r="D283">
        <f>D282+C283</f>
        <v/>
      </c>
      <c r="E283">
        <f>$D$5</f>
        <v/>
      </c>
      <c r="F283">
        <f>IF(G282&gt;=$D$11,0,MIN(D283*E283,$D$11-G282))</f>
        <v/>
      </c>
      <c r="G283">
        <f>G282+F283</f>
        <v/>
      </c>
      <c r="H283">
        <f>H282+$D$6*F283</f>
        <v/>
      </c>
      <c r="I283">
        <f>MAX(I282+$D$7*F283+Q283-0.01*G283,0.01*G283)</f>
        <v/>
      </c>
      <c r="J283">
        <f>J282+$D$8*F283+K283-MAX(0,0.02*G283-I282-$D$7*F283-Q283)</f>
        <v/>
      </c>
      <c r="K283">
        <f>($D$9/12)*J282</f>
        <v/>
      </c>
      <c r="L283">
        <f>IF(G283=0,0,J283/(G283*$D$12))</f>
        <v/>
      </c>
      <c r="M283">
        <f>MIN(0.06,MAX(0.01,IF(G283=0,0,I283/G283)))</f>
        <v/>
      </c>
      <c r="N283">
        <f>INDEX($G$6:$G$30,MIN(INT((A283-1)/12)+1,25))</f>
        <v/>
      </c>
      <c r="O283">
        <f>G283*$D$12</f>
        <v/>
      </c>
      <c r="P283">
        <f>M283*G283</f>
        <v/>
      </c>
      <c r="Q283">
        <f>($D$16/12)*I282</f>
        <v/>
      </c>
    </row>
    <row r="284">
      <c r="A284" t="n">
        <v>252</v>
      </c>
      <c r="B284">
        <f>CEILING(0.0101*G283/$D$5,1)</f>
        <v/>
      </c>
      <c r="C284">
        <f>MAX(0,MIN(MAX(0,FLOOR($D$15*D283*MAX(0,1-D283/(($D$10+SUM($N$33:N283))/$D$5)),1)),IF(A284&gt;=$D$14,IF(AND(D283&gt;0,F283&gt;0),INT(K283*D283/F283),0),1000000000),MIN(IF($D$11&gt;G283,INT(($D$11-G283)/$D$5),0)-D283,MAX(B284,INT(($D$10+SUM($N$33:N283))/$D$5)-D283))))</f>
        <v/>
      </c>
      <c r="D284">
        <f>D283+C284</f>
        <v/>
      </c>
      <c r="E284">
        <f>$D$5</f>
        <v/>
      </c>
      <c r="F284">
        <f>IF(G283&gt;=$D$11,0,MIN(D284*E284,$D$11-G283))</f>
        <v/>
      </c>
      <c r="G284">
        <f>G283+F284</f>
        <v/>
      </c>
      <c r="H284">
        <f>H283+$D$6*F284</f>
        <v/>
      </c>
      <c r="I284">
        <f>MAX(I283+$D$7*F284+Q284-0.01*G284,0.01*G284)</f>
        <v/>
      </c>
      <c r="J284">
        <f>J283+$D$8*F284+K284-MAX(0,0.02*G284-I283-$D$7*F284-Q284)</f>
        <v/>
      </c>
      <c r="K284">
        <f>($D$9/12)*J283</f>
        <v/>
      </c>
      <c r="L284">
        <f>IF(G284=0,0,J284/(G284*$D$12))</f>
        <v/>
      </c>
      <c r="M284">
        <f>MIN(0.06,MAX(0.01,IF(G284=0,0,I284/G284)))</f>
        <v/>
      </c>
      <c r="N284">
        <f>INDEX($G$6:$G$30,MIN(INT((A284-1)/12)+1,25))</f>
        <v/>
      </c>
      <c r="O284">
        <f>G284*$D$12</f>
        <v/>
      </c>
      <c r="P284">
        <f>M284*G284</f>
        <v/>
      </c>
      <c r="Q284">
        <f>($D$16/12)*I283</f>
        <v/>
      </c>
    </row>
    <row r="285">
      <c r="A285" t="n">
        <v>253</v>
      </c>
      <c r="B285">
        <f>CEILING(0.0101*G284/$D$5,1)</f>
        <v/>
      </c>
      <c r="C285">
        <f>MAX(0,MIN(MAX(0,FLOOR($D$15*D284*MAX(0,1-D284/(($D$10+SUM($N$33:N284))/$D$5)),1)),IF(A285&gt;=$D$14,IF(AND(D284&gt;0,F284&gt;0),INT(K284*D284/F284),0),1000000000),MIN(IF($D$11&gt;G284,INT(($D$11-G284)/$D$5),0)-D284,MAX(B285,INT(($D$10+SUM($N$33:N284))/$D$5)-D284))))</f>
        <v/>
      </c>
      <c r="D285">
        <f>D284+C285</f>
        <v/>
      </c>
      <c r="E285">
        <f>$D$5</f>
        <v/>
      </c>
      <c r="F285">
        <f>IF(G284&gt;=$D$11,0,MIN(D285*E285,$D$11-G284))</f>
        <v/>
      </c>
      <c r="G285">
        <f>G284+F285</f>
        <v/>
      </c>
      <c r="H285">
        <f>H284+$D$6*F285</f>
        <v/>
      </c>
      <c r="I285">
        <f>MAX(I284+$D$7*F285+Q285-0.01*G285,0.01*G285)</f>
        <v/>
      </c>
      <c r="J285">
        <f>J284+$D$8*F285+K285-MAX(0,0.02*G285-I284-$D$7*F285-Q285)</f>
        <v/>
      </c>
      <c r="K285">
        <f>($D$9/12)*J284</f>
        <v/>
      </c>
      <c r="L285">
        <f>IF(G285=0,0,J285/(G285*$D$12))</f>
        <v/>
      </c>
      <c r="M285">
        <f>MIN(0.06,MAX(0.01,IF(G285=0,0,I285/G285)))</f>
        <v/>
      </c>
      <c r="N285">
        <f>INDEX($G$6:$G$30,MIN(INT((A285-1)/12)+1,25))</f>
        <v/>
      </c>
      <c r="O285">
        <f>G285*$D$12</f>
        <v/>
      </c>
      <c r="P285">
        <f>M285*G285</f>
        <v/>
      </c>
      <c r="Q285">
        <f>($D$16/12)*I284</f>
        <v/>
      </c>
    </row>
    <row r="286">
      <c r="A286" t="n">
        <v>254</v>
      </c>
      <c r="B286">
        <f>CEILING(0.0101*G285/$D$5,1)</f>
        <v/>
      </c>
      <c r="C286">
        <f>MAX(0,MIN(MAX(0,FLOOR($D$15*D285*MAX(0,1-D285/(($D$10+SUM($N$33:N285))/$D$5)),1)),IF(A286&gt;=$D$14,IF(AND(D285&gt;0,F285&gt;0),INT(K285*D285/F285),0),1000000000),MIN(IF($D$11&gt;G285,INT(($D$11-G285)/$D$5),0)-D285,MAX(B286,INT(($D$10+SUM($N$33:N285))/$D$5)-D285))))</f>
        <v/>
      </c>
      <c r="D286">
        <f>D285+C286</f>
        <v/>
      </c>
      <c r="E286">
        <f>$D$5</f>
        <v/>
      </c>
      <c r="F286">
        <f>IF(G285&gt;=$D$11,0,MIN(D286*E286,$D$11-G285))</f>
        <v/>
      </c>
      <c r="G286">
        <f>G285+F286</f>
        <v/>
      </c>
      <c r="H286">
        <f>H285+$D$6*F286</f>
        <v/>
      </c>
      <c r="I286">
        <f>MAX(I285+$D$7*F286+Q286-0.01*G286,0.01*G286)</f>
        <v/>
      </c>
      <c r="J286">
        <f>J285+$D$8*F286+K286-MAX(0,0.02*G286-I285-$D$7*F286-Q286)</f>
        <v/>
      </c>
      <c r="K286">
        <f>($D$9/12)*J285</f>
        <v/>
      </c>
      <c r="L286">
        <f>IF(G286=0,0,J286/(G286*$D$12))</f>
        <v/>
      </c>
      <c r="M286">
        <f>MIN(0.06,MAX(0.01,IF(G286=0,0,I286/G286)))</f>
        <v/>
      </c>
      <c r="N286">
        <f>INDEX($G$6:$G$30,MIN(INT((A286-1)/12)+1,25))</f>
        <v/>
      </c>
      <c r="O286">
        <f>G286*$D$12</f>
        <v/>
      </c>
      <c r="P286">
        <f>M286*G286</f>
        <v/>
      </c>
      <c r="Q286">
        <f>($D$16/12)*I285</f>
        <v/>
      </c>
    </row>
    <row r="287">
      <c r="A287" t="n">
        <v>255</v>
      </c>
      <c r="B287">
        <f>CEILING(0.0101*G286/$D$5,1)</f>
        <v/>
      </c>
      <c r="C287">
        <f>MAX(0,MIN(MAX(0,FLOOR($D$15*D286*MAX(0,1-D286/(($D$10+SUM($N$33:N286))/$D$5)),1)),IF(A287&gt;=$D$14,IF(AND(D286&gt;0,F286&gt;0),INT(K286*D286/F286),0),1000000000),MIN(IF($D$11&gt;G286,INT(($D$11-G286)/$D$5),0)-D286,MAX(B287,INT(($D$10+SUM($N$33:N286))/$D$5)-D286))))</f>
        <v/>
      </c>
      <c r="D287">
        <f>D286+C287</f>
        <v/>
      </c>
      <c r="E287">
        <f>$D$5</f>
        <v/>
      </c>
      <c r="F287">
        <f>IF(G286&gt;=$D$11,0,MIN(D287*E287,$D$11-G286))</f>
        <v/>
      </c>
      <c r="G287">
        <f>G286+F287</f>
        <v/>
      </c>
      <c r="H287">
        <f>H286+$D$6*F287</f>
        <v/>
      </c>
      <c r="I287">
        <f>MAX(I286+$D$7*F287+Q287-0.01*G287,0.01*G287)</f>
        <v/>
      </c>
      <c r="J287">
        <f>J286+$D$8*F287+K287-MAX(0,0.02*G287-I286-$D$7*F287-Q287)</f>
        <v/>
      </c>
      <c r="K287">
        <f>($D$9/12)*J286</f>
        <v/>
      </c>
      <c r="L287">
        <f>IF(G287=0,0,J287/(G287*$D$12))</f>
        <v/>
      </c>
      <c r="M287">
        <f>MIN(0.06,MAX(0.01,IF(G287=0,0,I287/G287)))</f>
        <v/>
      </c>
      <c r="N287">
        <f>INDEX($G$6:$G$30,MIN(INT((A287-1)/12)+1,25))</f>
        <v/>
      </c>
      <c r="O287">
        <f>G287*$D$12</f>
        <v/>
      </c>
      <c r="P287">
        <f>M287*G287</f>
        <v/>
      </c>
      <c r="Q287">
        <f>($D$16/12)*I286</f>
        <v/>
      </c>
    </row>
    <row r="288">
      <c r="A288" t="n">
        <v>256</v>
      </c>
      <c r="B288">
        <f>CEILING(0.0101*G287/$D$5,1)</f>
        <v/>
      </c>
      <c r="C288">
        <f>MAX(0,MIN(MAX(0,FLOOR($D$15*D287*MAX(0,1-D287/(($D$10+SUM($N$33:N287))/$D$5)),1)),IF(A288&gt;=$D$14,IF(AND(D287&gt;0,F287&gt;0),INT(K287*D287/F287),0),1000000000),MIN(IF($D$11&gt;G287,INT(($D$11-G287)/$D$5),0)-D287,MAX(B288,INT(($D$10+SUM($N$33:N287))/$D$5)-D287))))</f>
        <v/>
      </c>
      <c r="D288">
        <f>D287+C288</f>
        <v/>
      </c>
      <c r="E288">
        <f>$D$5</f>
        <v/>
      </c>
      <c r="F288">
        <f>IF(G287&gt;=$D$11,0,MIN(D288*E288,$D$11-G287))</f>
        <v/>
      </c>
      <c r="G288">
        <f>G287+F288</f>
        <v/>
      </c>
      <c r="H288">
        <f>H287+$D$6*F288</f>
        <v/>
      </c>
      <c r="I288">
        <f>MAX(I287+$D$7*F288+Q288-0.01*G288,0.01*G288)</f>
        <v/>
      </c>
      <c r="J288">
        <f>J287+$D$8*F288+K288-MAX(0,0.02*G288-I287-$D$7*F288-Q288)</f>
        <v/>
      </c>
      <c r="K288">
        <f>($D$9/12)*J287</f>
        <v/>
      </c>
      <c r="L288">
        <f>IF(G288=0,0,J288/(G288*$D$12))</f>
        <v/>
      </c>
      <c r="M288">
        <f>MIN(0.06,MAX(0.01,IF(G288=0,0,I288/G288)))</f>
        <v/>
      </c>
      <c r="N288">
        <f>INDEX($G$6:$G$30,MIN(INT((A288-1)/12)+1,25))</f>
        <v/>
      </c>
      <c r="O288">
        <f>G288*$D$12</f>
        <v/>
      </c>
      <c r="P288">
        <f>M288*G288</f>
        <v/>
      </c>
      <c r="Q288">
        <f>($D$16/12)*I287</f>
        <v/>
      </c>
    </row>
    <row r="289">
      <c r="A289" t="n">
        <v>257</v>
      </c>
      <c r="B289">
        <f>CEILING(0.0101*G288/$D$5,1)</f>
        <v/>
      </c>
      <c r="C289">
        <f>MAX(0,MIN(MAX(0,FLOOR($D$15*D288*MAX(0,1-D288/(($D$10+SUM($N$33:N288))/$D$5)),1)),IF(A289&gt;=$D$14,IF(AND(D288&gt;0,F288&gt;0),INT(K288*D288/F288),0),1000000000),MIN(IF($D$11&gt;G288,INT(($D$11-G288)/$D$5),0)-D288,MAX(B289,INT(($D$10+SUM($N$33:N288))/$D$5)-D288))))</f>
        <v/>
      </c>
      <c r="D289">
        <f>D288+C289</f>
        <v/>
      </c>
      <c r="E289">
        <f>$D$5</f>
        <v/>
      </c>
      <c r="F289">
        <f>IF(G288&gt;=$D$11,0,MIN(D289*E289,$D$11-G288))</f>
        <v/>
      </c>
      <c r="G289">
        <f>G288+F289</f>
        <v/>
      </c>
      <c r="H289">
        <f>H288+$D$6*F289</f>
        <v/>
      </c>
      <c r="I289">
        <f>MAX(I288+$D$7*F289+Q289-0.01*G289,0.01*G289)</f>
        <v/>
      </c>
      <c r="J289">
        <f>J288+$D$8*F289+K289-MAX(0,0.02*G289-I288-$D$7*F289-Q289)</f>
        <v/>
      </c>
      <c r="K289">
        <f>($D$9/12)*J288</f>
        <v/>
      </c>
      <c r="L289">
        <f>IF(G289=0,0,J289/(G289*$D$12))</f>
        <v/>
      </c>
      <c r="M289">
        <f>MIN(0.06,MAX(0.01,IF(G289=0,0,I289/G289)))</f>
        <v/>
      </c>
      <c r="N289">
        <f>INDEX($G$6:$G$30,MIN(INT((A289-1)/12)+1,25))</f>
        <v/>
      </c>
      <c r="O289">
        <f>G289*$D$12</f>
        <v/>
      </c>
      <c r="P289">
        <f>M289*G289</f>
        <v/>
      </c>
      <c r="Q289">
        <f>($D$16/12)*I288</f>
        <v/>
      </c>
    </row>
    <row r="290">
      <c r="A290" t="n">
        <v>258</v>
      </c>
      <c r="B290">
        <f>CEILING(0.0101*G289/$D$5,1)</f>
        <v/>
      </c>
      <c r="C290">
        <f>MAX(0,MIN(MAX(0,FLOOR($D$15*D289*MAX(0,1-D289/(($D$10+SUM($N$33:N289))/$D$5)),1)),IF(A290&gt;=$D$14,IF(AND(D289&gt;0,F289&gt;0),INT(K289*D289/F289),0),1000000000),MIN(IF($D$11&gt;G289,INT(($D$11-G289)/$D$5),0)-D289,MAX(B290,INT(($D$10+SUM($N$33:N289))/$D$5)-D289))))</f>
        <v/>
      </c>
      <c r="D290">
        <f>D289+C290</f>
        <v/>
      </c>
      <c r="E290">
        <f>$D$5</f>
        <v/>
      </c>
      <c r="F290">
        <f>IF(G289&gt;=$D$11,0,MIN(D290*E290,$D$11-G289))</f>
        <v/>
      </c>
      <c r="G290">
        <f>G289+F290</f>
        <v/>
      </c>
      <c r="H290">
        <f>H289+$D$6*F290</f>
        <v/>
      </c>
      <c r="I290">
        <f>MAX(I289+$D$7*F290+Q290-0.01*G290,0.01*G290)</f>
        <v/>
      </c>
      <c r="J290">
        <f>J289+$D$8*F290+K290-MAX(0,0.02*G290-I289-$D$7*F290-Q290)</f>
        <v/>
      </c>
      <c r="K290">
        <f>($D$9/12)*J289</f>
        <v/>
      </c>
      <c r="L290">
        <f>IF(G290=0,0,J290/(G290*$D$12))</f>
        <v/>
      </c>
      <c r="M290">
        <f>MIN(0.06,MAX(0.01,IF(G290=0,0,I290/G290)))</f>
        <v/>
      </c>
      <c r="N290">
        <f>INDEX($G$6:$G$30,MIN(INT((A290-1)/12)+1,25))</f>
        <v/>
      </c>
      <c r="O290">
        <f>G290*$D$12</f>
        <v/>
      </c>
      <c r="P290">
        <f>M290*G290</f>
        <v/>
      </c>
      <c r="Q290">
        <f>($D$16/12)*I289</f>
        <v/>
      </c>
    </row>
    <row r="291">
      <c r="A291" t="n">
        <v>259</v>
      </c>
      <c r="B291">
        <f>CEILING(0.0101*G290/$D$5,1)</f>
        <v/>
      </c>
      <c r="C291">
        <f>MAX(0,MIN(MAX(0,FLOOR($D$15*D290*MAX(0,1-D290/(($D$10+SUM($N$33:N290))/$D$5)),1)),IF(A291&gt;=$D$14,IF(AND(D290&gt;0,F290&gt;0),INT(K290*D290/F290),0),1000000000),MIN(IF($D$11&gt;G290,INT(($D$11-G290)/$D$5),0)-D290,MAX(B291,INT(($D$10+SUM($N$33:N290))/$D$5)-D290))))</f>
        <v/>
      </c>
      <c r="D291">
        <f>D290+C291</f>
        <v/>
      </c>
      <c r="E291">
        <f>$D$5</f>
        <v/>
      </c>
      <c r="F291">
        <f>IF(G290&gt;=$D$11,0,MIN(D291*E291,$D$11-G290))</f>
        <v/>
      </c>
      <c r="G291">
        <f>G290+F291</f>
        <v/>
      </c>
      <c r="H291">
        <f>H290+$D$6*F291</f>
        <v/>
      </c>
      <c r="I291">
        <f>MAX(I290+$D$7*F291+Q291-0.01*G291,0.01*G291)</f>
        <v/>
      </c>
      <c r="J291">
        <f>J290+$D$8*F291+K291-MAX(0,0.02*G291-I290-$D$7*F291-Q291)</f>
        <v/>
      </c>
      <c r="K291">
        <f>($D$9/12)*J290</f>
        <v/>
      </c>
      <c r="L291">
        <f>IF(G291=0,0,J291/(G291*$D$12))</f>
        <v/>
      </c>
      <c r="M291">
        <f>MIN(0.06,MAX(0.01,IF(G291=0,0,I291/G291)))</f>
        <v/>
      </c>
      <c r="N291">
        <f>INDEX($G$6:$G$30,MIN(INT((A291-1)/12)+1,25))</f>
        <v/>
      </c>
      <c r="O291">
        <f>G291*$D$12</f>
        <v/>
      </c>
      <c r="P291">
        <f>M291*G291</f>
        <v/>
      </c>
      <c r="Q291">
        <f>($D$16/12)*I290</f>
        <v/>
      </c>
    </row>
    <row r="292">
      <c r="A292" t="n">
        <v>260</v>
      </c>
      <c r="B292">
        <f>CEILING(0.0101*G291/$D$5,1)</f>
        <v/>
      </c>
      <c r="C292">
        <f>MAX(0,MIN(MAX(0,FLOOR($D$15*D291*MAX(0,1-D291/(($D$10+SUM($N$33:N291))/$D$5)),1)),IF(A292&gt;=$D$14,IF(AND(D291&gt;0,F291&gt;0),INT(K291*D291/F291),0),1000000000),MIN(IF($D$11&gt;G291,INT(($D$11-G291)/$D$5),0)-D291,MAX(B292,INT(($D$10+SUM($N$33:N291))/$D$5)-D291))))</f>
        <v/>
      </c>
      <c r="D292">
        <f>D291+C292</f>
        <v/>
      </c>
      <c r="E292">
        <f>$D$5</f>
        <v/>
      </c>
      <c r="F292">
        <f>IF(G291&gt;=$D$11,0,MIN(D292*E292,$D$11-G291))</f>
        <v/>
      </c>
      <c r="G292">
        <f>G291+F292</f>
        <v/>
      </c>
      <c r="H292">
        <f>H291+$D$6*F292</f>
        <v/>
      </c>
      <c r="I292">
        <f>MAX(I291+$D$7*F292+Q292-0.01*G292,0.01*G292)</f>
        <v/>
      </c>
      <c r="J292">
        <f>J291+$D$8*F292+K292-MAX(0,0.02*G292-I291-$D$7*F292-Q292)</f>
        <v/>
      </c>
      <c r="K292">
        <f>($D$9/12)*J291</f>
        <v/>
      </c>
      <c r="L292">
        <f>IF(G292=0,0,J292/(G292*$D$12))</f>
        <v/>
      </c>
      <c r="M292">
        <f>MIN(0.06,MAX(0.01,IF(G292=0,0,I292/G292)))</f>
        <v/>
      </c>
      <c r="N292">
        <f>INDEX($G$6:$G$30,MIN(INT((A292-1)/12)+1,25))</f>
        <v/>
      </c>
      <c r="O292">
        <f>G292*$D$12</f>
        <v/>
      </c>
      <c r="P292">
        <f>M292*G292</f>
        <v/>
      </c>
      <c r="Q292">
        <f>($D$16/12)*I291</f>
        <v/>
      </c>
    </row>
    <row r="293">
      <c r="A293" t="n">
        <v>261</v>
      </c>
      <c r="B293">
        <f>CEILING(0.0101*G292/$D$5,1)</f>
        <v/>
      </c>
      <c r="C293">
        <f>MAX(0,MIN(MAX(0,FLOOR($D$15*D292*MAX(0,1-D292/(($D$10+SUM($N$33:N292))/$D$5)),1)),IF(A293&gt;=$D$14,IF(AND(D292&gt;0,F292&gt;0),INT(K292*D292/F292),0),1000000000),MIN(IF($D$11&gt;G292,INT(($D$11-G292)/$D$5),0)-D292,MAX(B293,INT(($D$10+SUM($N$33:N292))/$D$5)-D292))))</f>
        <v/>
      </c>
      <c r="D293">
        <f>D292+C293</f>
        <v/>
      </c>
      <c r="E293">
        <f>$D$5</f>
        <v/>
      </c>
      <c r="F293">
        <f>IF(G292&gt;=$D$11,0,MIN(D293*E293,$D$11-G292))</f>
        <v/>
      </c>
      <c r="G293">
        <f>G292+F293</f>
        <v/>
      </c>
      <c r="H293">
        <f>H292+$D$6*F293</f>
        <v/>
      </c>
      <c r="I293">
        <f>MAX(I292+$D$7*F293+Q293-0.01*G293,0.01*G293)</f>
        <v/>
      </c>
      <c r="J293">
        <f>J292+$D$8*F293+K293-MAX(0,0.02*G293-I292-$D$7*F293-Q293)</f>
        <v/>
      </c>
      <c r="K293">
        <f>($D$9/12)*J292</f>
        <v/>
      </c>
      <c r="L293">
        <f>IF(G293=0,0,J293/(G293*$D$12))</f>
        <v/>
      </c>
      <c r="M293">
        <f>MIN(0.06,MAX(0.01,IF(G293=0,0,I293/G293)))</f>
        <v/>
      </c>
      <c r="N293">
        <f>INDEX($G$6:$G$30,MIN(INT((A293-1)/12)+1,25))</f>
        <v/>
      </c>
      <c r="O293">
        <f>G293*$D$12</f>
        <v/>
      </c>
      <c r="P293">
        <f>M293*G293</f>
        <v/>
      </c>
      <c r="Q293">
        <f>($D$16/12)*I292</f>
        <v/>
      </c>
    </row>
    <row r="294">
      <c r="A294" t="n">
        <v>262</v>
      </c>
      <c r="B294">
        <f>CEILING(0.0101*G293/$D$5,1)</f>
        <v/>
      </c>
      <c r="C294">
        <f>MAX(0,MIN(MAX(0,FLOOR($D$15*D293*MAX(0,1-D293/(($D$10+SUM($N$33:N293))/$D$5)),1)),IF(A294&gt;=$D$14,IF(AND(D293&gt;0,F293&gt;0),INT(K293*D293/F293),0),1000000000),MIN(IF($D$11&gt;G293,INT(($D$11-G293)/$D$5),0)-D293,MAX(B294,INT(($D$10+SUM($N$33:N293))/$D$5)-D293))))</f>
        <v/>
      </c>
      <c r="D294">
        <f>D293+C294</f>
        <v/>
      </c>
      <c r="E294">
        <f>$D$5</f>
        <v/>
      </c>
      <c r="F294">
        <f>IF(G293&gt;=$D$11,0,MIN(D294*E294,$D$11-G293))</f>
        <v/>
      </c>
      <c r="G294">
        <f>G293+F294</f>
        <v/>
      </c>
      <c r="H294">
        <f>H293+$D$6*F294</f>
        <v/>
      </c>
      <c r="I294">
        <f>MAX(I293+$D$7*F294+Q294-0.01*G294,0.01*G294)</f>
        <v/>
      </c>
      <c r="J294">
        <f>J293+$D$8*F294+K294-MAX(0,0.02*G294-I293-$D$7*F294-Q294)</f>
        <v/>
      </c>
      <c r="K294">
        <f>($D$9/12)*J293</f>
        <v/>
      </c>
      <c r="L294">
        <f>IF(G294=0,0,J294/(G294*$D$12))</f>
        <v/>
      </c>
      <c r="M294">
        <f>MIN(0.06,MAX(0.01,IF(G294=0,0,I294/G294)))</f>
        <v/>
      </c>
      <c r="N294">
        <f>INDEX($G$6:$G$30,MIN(INT((A294-1)/12)+1,25))</f>
        <v/>
      </c>
      <c r="O294">
        <f>G294*$D$12</f>
        <v/>
      </c>
      <c r="P294">
        <f>M294*G294</f>
        <v/>
      </c>
      <c r="Q294">
        <f>($D$16/12)*I293</f>
        <v/>
      </c>
    </row>
    <row r="295">
      <c r="A295" t="n">
        <v>263</v>
      </c>
      <c r="B295">
        <f>CEILING(0.0101*G294/$D$5,1)</f>
        <v/>
      </c>
      <c r="C295">
        <f>MAX(0,MIN(MAX(0,FLOOR($D$15*D294*MAX(0,1-D294/(($D$10+SUM($N$33:N294))/$D$5)),1)),IF(A295&gt;=$D$14,IF(AND(D294&gt;0,F294&gt;0),INT(K294*D294/F294),0),1000000000),MIN(IF($D$11&gt;G294,INT(($D$11-G294)/$D$5),0)-D294,MAX(B295,INT(($D$10+SUM($N$33:N294))/$D$5)-D294))))</f>
        <v/>
      </c>
      <c r="D295">
        <f>D294+C295</f>
        <v/>
      </c>
      <c r="E295">
        <f>$D$5</f>
        <v/>
      </c>
      <c r="F295">
        <f>IF(G294&gt;=$D$11,0,MIN(D295*E295,$D$11-G294))</f>
        <v/>
      </c>
      <c r="G295">
        <f>G294+F295</f>
        <v/>
      </c>
      <c r="H295">
        <f>H294+$D$6*F295</f>
        <v/>
      </c>
      <c r="I295">
        <f>MAX(I294+$D$7*F295+Q295-0.01*G295,0.01*G295)</f>
        <v/>
      </c>
      <c r="J295">
        <f>J294+$D$8*F295+K295-MAX(0,0.02*G295-I294-$D$7*F295-Q295)</f>
        <v/>
      </c>
      <c r="K295">
        <f>($D$9/12)*J294</f>
        <v/>
      </c>
      <c r="L295">
        <f>IF(G295=0,0,J295/(G295*$D$12))</f>
        <v/>
      </c>
      <c r="M295">
        <f>MIN(0.06,MAX(0.01,IF(G295=0,0,I295/G295)))</f>
        <v/>
      </c>
      <c r="N295">
        <f>INDEX($G$6:$G$30,MIN(INT((A295-1)/12)+1,25))</f>
        <v/>
      </c>
      <c r="O295">
        <f>G295*$D$12</f>
        <v/>
      </c>
      <c r="P295">
        <f>M295*G295</f>
        <v/>
      </c>
      <c r="Q295">
        <f>($D$16/12)*I294</f>
        <v/>
      </c>
    </row>
    <row r="296">
      <c r="A296" t="n">
        <v>264</v>
      </c>
      <c r="B296">
        <f>CEILING(0.0101*G295/$D$5,1)</f>
        <v/>
      </c>
      <c r="C296">
        <f>MAX(0,MIN(MAX(0,FLOOR($D$15*D295*MAX(0,1-D295/(($D$10+SUM($N$33:N295))/$D$5)),1)),IF(A296&gt;=$D$14,IF(AND(D295&gt;0,F295&gt;0),INT(K295*D295/F295),0),1000000000),MIN(IF($D$11&gt;G295,INT(($D$11-G295)/$D$5),0)-D295,MAX(B296,INT(($D$10+SUM($N$33:N295))/$D$5)-D295))))</f>
        <v/>
      </c>
      <c r="D296">
        <f>D295+C296</f>
        <v/>
      </c>
      <c r="E296">
        <f>$D$5</f>
        <v/>
      </c>
      <c r="F296">
        <f>IF(G295&gt;=$D$11,0,MIN(D296*E296,$D$11-G295))</f>
        <v/>
      </c>
      <c r="G296">
        <f>G295+F296</f>
        <v/>
      </c>
      <c r="H296">
        <f>H295+$D$6*F296</f>
        <v/>
      </c>
      <c r="I296">
        <f>MAX(I295+$D$7*F296+Q296-0.01*G296,0.01*G296)</f>
        <v/>
      </c>
      <c r="J296">
        <f>J295+$D$8*F296+K296-MAX(0,0.02*G296-I295-$D$7*F296-Q296)</f>
        <v/>
      </c>
      <c r="K296">
        <f>($D$9/12)*J295</f>
        <v/>
      </c>
      <c r="L296">
        <f>IF(G296=0,0,J296/(G296*$D$12))</f>
        <v/>
      </c>
      <c r="M296">
        <f>MIN(0.06,MAX(0.01,IF(G296=0,0,I296/G296)))</f>
        <v/>
      </c>
      <c r="N296">
        <f>INDEX($G$6:$G$30,MIN(INT((A296-1)/12)+1,25))</f>
        <v/>
      </c>
      <c r="O296">
        <f>G296*$D$12</f>
        <v/>
      </c>
      <c r="P296">
        <f>M296*G296</f>
        <v/>
      </c>
      <c r="Q296">
        <f>($D$16/12)*I295</f>
        <v/>
      </c>
    </row>
    <row r="297">
      <c r="A297" t="n">
        <v>265</v>
      </c>
      <c r="B297">
        <f>CEILING(0.0101*G296/$D$5,1)</f>
        <v/>
      </c>
      <c r="C297">
        <f>MAX(0,MIN(MAX(0,FLOOR($D$15*D296*MAX(0,1-D296/(($D$10+SUM($N$33:N296))/$D$5)),1)),IF(A297&gt;=$D$14,IF(AND(D296&gt;0,F296&gt;0),INT(K296*D296/F296),0),1000000000),MIN(IF($D$11&gt;G296,INT(($D$11-G296)/$D$5),0)-D296,MAX(B297,INT(($D$10+SUM($N$33:N296))/$D$5)-D296))))</f>
        <v/>
      </c>
      <c r="D297">
        <f>D296+C297</f>
        <v/>
      </c>
      <c r="E297">
        <f>$D$5</f>
        <v/>
      </c>
      <c r="F297">
        <f>IF(G296&gt;=$D$11,0,MIN(D297*E297,$D$11-G296))</f>
        <v/>
      </c>
      <c r="G297">
        <f>G296+F297</f>
        <v/>
      </c>
      <c r="H297">
        <f>H296+$D$6*F297</f>
        <v/>
      </c>
      <c r="I297">
        <f>MAX(I296+$D$7*F297+Q297-0.01*G297,0.01*G297)</f>
        <v/>
      </c>
      <c r="J297">
        <f>J296+$D$8*F297+K297-MAX(0,0.02*G297-I296-$D$7*F297-Q297)</f>
        <v/>
      </c>
      <c r="K297">
        <f>($D$9/12)*J296</f>
        <v/>
      </c>
      <c r="L297">
        <f>IF(G297=0,0,J297/(G297*$D$12))</f>
        <v/>
      </c>
      <c r="M297">
        <f>MIN(0.06,MAX(0.01,IF(G297=0,0,I297/G297)))</f>
        <v/>
      </c>
      <c r="N297">
        <f>INDEX($G$6:$G$30,MIN(INT((A297-1)/12)+1,25))</f>
        <v/>
      </c>
      <c r="O297">
        <f>G297*$D$12</f>
        <v/>
      </c>
      <c r="P297">
        <f>M297*G297</f>
        <v/>
      </c>
      <c r="Q297">
        <f>($D$16/12)*I296</f>
        <v/>
      </c>
    </row>
    <row r="298">
      <c r="A298" t="n">
        <v>266</v>
      </c>
      <c r="B298">
        <f>CEILING(0.0101*G297/$D$5,1)</f>
        <v/>
      </c>
      <c r="C298">
        <f>MAX(0,MIN(MAX(0,FLOOR($D$15*D297*MAX(0,1-D297/(($D$10+SUM($N$33:N297))/$D$5)),1)),IF(A298&gt;=$D$14,IF(AND(D297&gt;0,F297&gt;0),INT(K297*D297/F297),0),1000000000),MIN(IF($D$11&gt;G297,INT(($D$11-G297)/$D$5),0)-D297,MAX(B298,INT(($D$10+SUM($N$33:N297))/$D$5)-D297))))</f>
        <v/>
      </c>
      <c r="D298">
        <f>D297+C298</f>
        <v/>
      </c>
      <c r="E298">
        <f>$D$5</f>
        <v/>
      </c>
      <c r="F298">
        <f>IF(G297&gt;=$D$11,0,MIN(D298*E298,$D$11-G297))</f>
        <v/>
      </c>
      <c r="G298">
        <f>G297+F298</f>
        <v/>
      </c>
      <c r="H298">
        <f>H297+$D$6*F298</f>
        <v/>
      </c>
      <c r="I298">
        <f>MAX(I297+$D$7*F298+Q298-0.01*G298,0.01*G298)</f>
        <v/>
      </c>
      <c r="J298">
        <f>J297+$D$8*F298+K298-MAX(0,0.02*G298-I297-$D$7*F298-Q298)</f>
        <v/>
      </c>
      <c r="K298">
        <f>($D$9/12)*J297</f>
        <v/>
      </c>
      <c r="L298">
        <f>IF(G298=0,0,J298/(G298*$D$12))</f>
        <v/>
      </c>
      <c r="M298">
        <f>MIN(0.06,MAX(0.01,IF(G298=0,0,I298/G298)))</f>
        <v/>
      </c>
      <c r="N298">
        <f>INDEX($G$6:$G$30,MIN(INT((A298-1)/12)+1,25))</f>
        <v/>
      </c>
      <c r="O298">
        <f>G298*$D$12</f>
        <v/>
      </c>
      <c r="P298">
        <f>M298*G298</f>
        <v/>
      </c>
      <c r="Q298">
        <f>($D$16/12)*I297</f>
        <v/>
      </c>
    </row>
    <row r="299">
      <c r="A299" t="n">
        <v>267</v>
      </c>
      <c r="B299">
        <f>CEILING(0.0101*G298/$D$5,1)</f>
        <v/>
      </c>
      <c r="C299">
        <f>MAX(0,MIN(MAX(0,FLOOR($D$15*D298*MAX(0,1-D298/(($D$10+SUM($N$33:N298))/$D$5)),1)),IF(A299&gt;=$D$14,IF(AND(D298&gt;0,F298&gt;0),INT(K298*D298/F298),0),1000000000),MIN(IF($D$11&gt;G298,INT(($D$11-G298)/$D$5),0)-D298,MAX(B299,INT(($D$10+SUM($N$33:N298))/$D$5)-D298))))</f>
        <v/>
      </c>
      <c r="D299">
        <f>D298+C299</f>
        <v/>
      </c>
      <c r="E299">
        <f>$D$5</f>
        <v/>
      </c>
      <c r="F299">
        <f>IF(G298&gt;=$D$11,0,MIN(D299*E299,$D$11-G298))</f>
        <v/>
      </c>
      <c r="G299">
        <f>G298+F299</f>
        <v/>
      </c>
      <c r="H299">
        <f>H298+$D$6*F299</f>
        <v/>
      </c>
      <c r="I299">
        <f>MAX(I298+$D$7*F299+Q299-0.01*G299,0.01*G299)</f>
        <v/>
      </c>
      <c r="J299">
        <f>J298+$D$8*F299+K299-MAX(0,0.02*G299-I298-$D$7*F299-Q299)</f>
        <v/>
      </c>
      <c r="K299">
        <f>($D$9/12)*J298</f>
        <v/>
      </c>
      <c r="L299">
        <f>IF(G299=0,0,J299/(G299*$D$12))</f>
        <v/>
      </c>
      <c r="M299">
        <f>MIN(0.06,MAX(0.01,IF(G299=0,0,I299/G299)))</f>
        <v/>
      </c>
      <c r="N299">
        <f>INDEX($G$6:$G$30,MIN(INT((A299-1)/12)+1,25))</f>
        <v/>
      </c>
      <c r="O299">
        <f>G299*$D$12</f>
        <v/>
      </c>
      <c r="P299">
        <f>M299*G299</f>
        <v/>
      </c>
      <c r="Q299">
        <f>($D$16/12)*I298</f>
        <v/>
      </c>
    </row>
    <row r="300">
      <c r="A300" t="n">
        <v>268</v>
      </c>
      <c r="B300">
        <f>CEILING(0.0101*G299/$D$5,1)</f>
        <v/>
      </c>
      <c r="C300">
        <f>MAX(0,MIN(MAX(0,FLOOR($D$15*D299*MAX(0,1-D299/(($D$10+SUM($N$33:N299))/$D$5)),1)),IF(A300&gt;=$D$14,IF(AND(D299&gt;0,F299&gt;0),INT(K299*D299/F299),0),1000000000),MIN(IF($D$11&gt;G299,INT(($D$11-G299)/$D$5),0)-D299,MAX(B300,INT(($D$10+SUM($N$33:N299))/$D$5)-D299))))</f>
        <v/>
      </c>
      <c r="D300">
        <f>D299+C300</f>
        <v/>
      </c>
      <c r="E300">
        <f>$D$5</f>
        <v/>
      </c>
      <c r="F300">
        <f>IF(G299&gt;=$D$11,0,MIN(D300*E300,$D$11-G299))</f>
        <v/>
      </c>
      <c r="G300">
        <f>G299+F300</f>
        <v/>
      </c>
      <c r="H300">
        <f>H299+$D$6*F300</f>
        <v/>
      </c>
      <c r="I300">
        <f>MAX(I299+$D$7*F300+Q300-0.01*G300,0.01*G300)</f>
        <v/>
      </c>
      <c r="J300">
        <f>J299+$D$8*F300+K300-MAX(0,0.02*G300-I299-$D$7*F300-Q300)</f>
        <v/>
      </c>
      <c r="K300">
        <f>($D$9/12)*J299</f>
        <v/>
      </c>
      <c r="L300">
        <f>IF(G300=0,0,J300/(G300*$D$12))</f>
        <v/>
      </c>
      <c r="M300">
        <f>MIN(0.06,MAX(0.01,IF(G300=0,0,I300/G300)))</f>
        <v/>
      </c>
      <c r="N300">
        <f>INDEX($G$6:$G$30,MIN(INT((A300-1)/12)+1,25))</f>
        <v/>
      </c>
      <c r="O300">
        <f>G300*$D$12</f>
        <v/>
      </c>
      <c r="P300">
        <f>M300*G300</f>
        <v/>
      </c>
      <c r="Q300">
        <f>($D$16/12)*I299</f>
        <v/>
      </c>
    </row>
    <row r="301">
      <c r="A301" t="n">
        <v>269</v>
      </c>
      <c r="B301">
        <f>CEILING(0.0101*G300/$D$5,1)</f>
        <v/>
      </c>
      <c r="C301">
        <f>MAX(0,MIN(MAX(0,FLOOR($D$15*D300*MAX(0,1-D300/(($D$10+SUM($N$33:N300))/$D$5)),1)),IF(A301&gt;=$D$14,IF(AND(D300&gt;0,F300&gt;0),INT(K300*D300/F300),0),1000000000),MIN(IF($D$11&gt;G300,INT(($D$11-G300)/$D$5),0)-D300,MAX(B301,INT(($D$10+SUM($N$33:N300))/$D$5)-D300))))</f>
        <v/>
      </c>
      <c r="D301">
        <f>D300+C301</f>
        <v/>
      </c>
      <c r="E301">
        <f>$D$5</f>
        <v/>
      </c>
      <c r="F301">
        <f>IF(G300&gt;=$D$11,0,MIN(D301*E301,$D$11-G300))</f>
        <v/>
      </c>
      <c r="G301">
        <f>G300+F301</f>
        <v/>
      </c>
      <c r="H301">
        <f>H300+$D$6*F301</f>
        <v/>
      </c>
      <c r="I301">
        <f>MAX(I300+$D$7*F301+Q301-0.01*G301,0.01*G301)</f>
        <v/>
      </c>
      <c r="J301">
        <f>J300+$D$8*F301+K301-MAX(0,0.02*G301-I300-$D$7*F301-Q301)</f>
        <v/>
      </c>
      <c r="K301">
        <f>($D$9/12)*J300</f>
        <v/>
      </c>
      <c r="L301">
        <f>IF(G301=0,0,J301/(G301*$D$12))</f>
        <v/>
      </c>
      <c r="M301">
        <f>MIN(0.06,MAX(0.01,IF(G301=0,0,I301/G301)))</f>
        <v/>
      </c>
      <c r="N301">
        <f>INDEX($G$6:$G$30,MIN(INT((A301-1)/12)+1,25))</f>
        <v/>
      </c>
      <c r="O301">
        <f>G301*$D$12</f>
        <v/>
      </c>
      <c r="P301">
        <f>M301*G301</f>
        <v/>
      </c>
      <c r="Q301">
        <f>($D$16/12)*I300</f>
        <v/>
      </c>
    </row>
    <row r="302">
      <c r="A302" t="n">
        <v>270</v>
      </c>
      <c r="B302">
        <f>CEILING(0.0101*G301/$D$5,1)</f>
        <v/>
      </c>
      <c r="C302">
        <f>MAX(0,MIN(MAX(0,FLOOR($D$15*D301*MAX(0,1-D301/(($D$10+SUM($N$33:N301))/$D$5)),1)),IF(A302&gt;=$D$14,IF(AND(D301&gt;0,F301&gt;0),INT(K301*D301/F301),0),1000000000),MIN(IF($D$11&gt;G301,INT(($D$11-G301)/$D$5),0)-D301,MAX(B302,INT(($D$10+SUM($N$33:N301))/$D$5)-D301))))</f>
        <v/>
      </c>
      <c r="D302">
        <f>D301+C302</f>
        <v/>
      </c>
      <c r="E302">
        <f>$D$5</f>
        <v/>
      </c>
      <c r="F302">
        <f>IF(G301&gt;=$D$11,0,MIN(D302*E302,$D$11-G301))</f>
        <v/>
      </c>
      <c r="G302">
        <f>G301+F302</f>
        <v/>
      </c>
      <c r="H302">
        <f>H301+$D$6*F302</f>
        <v/>
      </c>
      <c r="I302">
        <f>MAX(I301+$D$7*F302+Q302-0.01*G302,0.01*G302)</f>
        <v/>
      </c>
      <c r="J302">
        <f>J301+$D$8*F302+K302-MAX(0,0.02*G302-I301-$D$7*F302-Q302)</f>
        <v/>
      </c>
      <c r="K302">
        <f>($D$9/12)*J301</f>
        <v/>
      </c>
      <c r="L302">
        <f>IF(G302=0,0,J302/(G302*$D$12))</f>
        <v/>
      </c>
      <c r="M302">
        <f>MIN(0.06,MAX(0.01,IF(G302=0,0,I302/G302)))</f>
        <v/>
      </c>
      <c r="N302">
        <f>INDEX($G$6:$G$30,MIN(INT((A302-1)/12)+1,25))</f>
        <v/>
      </c>
      <c r="O302">
        <f>G302*$D$12</f>
        <v/>
      </c>
      <c r="P302">
        <f>M302*G302</f>
        <v/>
      </c>
      <c r="Q302">
        <f>($D$16/12)*I301</f>
        <v/>
      </c>
    </row>
    <row r="303">
      <c r="A303" t="n">
        <v>271</v>
      </c>
      <c r="B303">
        <f>CEILING(0.0101*G302/$D$5,1)</f>
        <v/>
      </c>
      <c r="C303">
        <f>MAX(0,MIN(MAX(0,FLOOR($D$15*D302*MAX(0,1-D302/(($D$10+SUM($N$33:N302))/$D$5)),1)),IF(A303&gt;=$D$14,IF(AND(D302&gt;0,F302&gt;0),INT(K302*D302/F302),0),1000000000),MIN(IF($D$11&gt;G302,INT(($D$11-G302)/$D$5),0)-D302,MAX(B303,INT(($D$10+SUM($N$33:N302))/$D$5)-D302))))</f>
        <v/>
      </c>
      <c r="D303">
        <f>D302+C303</f>
        <v/>
      </c>
      <c r="E303">
        <f>$D$5</f>
        <v/>
      </c>
      <c r="F303">
        <f>IF(G302&gt;=$D$11,0,MIN(D303*E303,$D$11-G302))</f>
        <v/>
      </c>
      <c r="G303">
        <f>G302+F303</f>
        <v/>
      </c>
      <c r="H303">
        <f>H302+$D$6*F303</f>
        <v/>
      </c>
      <c r="I303">
        <f>MAX(I302+$D$7*F303+Q303-0.01*G303,0.01*G303)</f>
        <v/>
      </c>
      <c r="J303">
        <f>J302+$D$8*F303+K303-MAX(0,0.02*G303-I302-$D$7*F303-Q303)</f>
        <v/>
      </c>
      <c r="K303">
        <f>($D$9/12)*J302</f>
        <v/>
      </c>
      <c r="L303">
        <f>IF(G303=0,0,J303/(G303*$D$12))</f>
        <v/>
      </c>
      <c r="M303">
        <f>MIN(0.06,MAX(0.01,IF(G303=0,0,I303/G303)))</f>
        <v/>
      </c>
      <c r="N303">
        <f>INDEX($G$6:$G$30,MIN(INT((A303-1)/12)+1,25))</f>
        <v/>
      </c>
      <c r="O303">
        <f>G303*$D$12</f>
        <v/>
      </c>
      <c r="P303">
        <f>M303*G303</f>
        <v/>
      </c>
      <c r="Q303">
        <f>($D$16/12)*I302</f>
        <v/>
      </c>
    </row>
    <row r="304">
      <c r="A304" t="n">
        <v>272</v>
      </c>
      <c r="B304">
        <f>CEILING(0.0101*G303/$D$5,1)</f>
        <v/>
      </c>
      <c r="C304">
        <f>MAX(0,MIN(MAX(0,FLOOR($D$15*D303*MAX(0,1-D303/(($D$10+SUM($N$33:N303))/$D$5)),1)),IF(A304&gt;=$D$14,IF(AND(D303&gt;0,F303&gt;0),INT(K303*D303/F303),0),1000000000),MIN(IF($D$11&gt;G303,INT(($D$11-G303)/$D$5),0)-D303,MAX(B304,INT(($D$10+SUM($N$33:N303))/$D$5)-D303))))</f>
        <v/>
      </c>
      <c r="D304">
        <f>D303+C304</f>
        <v/>
      </c>
      <c r="E304">
        <f>$D$5</f>
        <v/>
      </c>
      <c r="F304">
        <f>IF(G303&gt;=$D$11,0,MIN(D304*E304,$D$11-G303))</f>
        <v/>
      </c>
      <c r="G304">
        <f>G303+F304</f>
        <v/>
      </c>
      <c r="H304">
        <f>H303+$D$6*F304</f>
        <v/>
      </c>
      <c r="I304">
        <f>MAX(I303+$D$7*F304+Q304-0.01*G304,0.01*G304)</f>
        <v/>
      </c>
      <c r="J304">
        <f>J303+$D$8*F304+K304-MAX(0,0.02*G304-I303-$D$7*F304-Q304)</f>
        <v/>
      </c>
      <c r="K304">
        <f>($D$9/12)*J303</f>
        <v/>
      </c>
      <c r="L304">
        <f>IF(G304=0,0,J304/(G304*$D$12))</f>
        <v/>
      </c>
      <c r="M304">
        <f>MIN(0.06,MAX(0.01,IF(G304=0,0,I304/G304)))</f>
        <v/>
      </c>
      <c r="N304">
        <f>INDEX($G$6:$G$30,MIN(INT((A304-1)/12)+1,25))</f>
        <v/>
      </c>
      <c r="O304">
        <f>G304*$D$12</f>
        <v/>
      </c>
      <c r="P304">
        <f>M304*G304</f>
        <v/>
      </c>
      <c r="Q304">
        <f>($D$16/12)*I303</f>
        <v/>
      </c>
    </row>
    <row r="305">
      <c r="A305" t="n">
        <v>273</v>
      </c>
      <c r="B305">
        <f>CEILING(0.0101*G304/$D$5,1)</f>
        <v/>
      </c>
      <c r="C305">
        <f>MAX(0,MIN(MAX(0,FLOOR($D$15*D304*MAX(0,1-D304/(($D$10+SUM($N$33:N304))/$D$5)),1)),IF(A305&gt;=$D$14,IF(AND(D304&gt;0,F304&gt;0),INT(K304*D304/F304),0),1000000000),MIN(IF($D$11&gt;G304,INT(($D$11-G304)/$D$5),0)-D304,MAX(B305,INT(($D$10+SUM($N$33:N304))/$D$5)-D304))))</f>
        <v/>
      </c>
      <c r="D305">
        <f>D304+C305</f>
        <v/>
      </c>
      <c r="E305">
        <f>$D$5</f>
        <v/>
      </c>
      <c r="F305">
        <f>IF(G304&gt;=$D$11,0,MIN(D305*E305,$D$11-G304))</f>
        <v/>
      </c>
      <c r="G305">
        <f>G304+F305</f>
        <v/>
      </c>
      <c r="H305">
        <f>H304+$D$6*F305</f>
        <v/>
      </c>
      <c r="I305">
        <f>MAX(I304+$D$7*F305+Q305-0.01*G305,0.01*G305)</f>
        <v/>
      </c>
      <c r="J305">
        <f>J304+$D$8*F305+K305-MAX(0,0.02*G305-I304-$D$7*F305-Q305)</f>
        <v/>
      </c>
      <c r="K305">
        <f>($D$9/12)*J304</f>
        <v/>
      </c>
      <c r="L305">
        <f>IF(G305=0,0,J305/(G305*$D$12))</f>
        <v/>
      </c>
      <c r="M305">
        <f>MIN(0.06,MAX(0.01,IF(G305=0,0,I305/G305)))</f>
        <v/>
      </c>
      <c r="N305">
        <f>INDEX($G$6:$G$30,MIN(INT((A305-1)/12)+1,25))</f>
        <v/>
      </c>
      <c r="O305">
        <f>G305*$D$12</f>
        <v/>
      </c>
      <c r="P305">
        <f>M305*G305</f>
        <v/>
      </c>
      <c r="Q305">
        <f>($D$16/12)*I304</f>
        <v/>
      </c>
    </row>
    <row r="306">
      <c r="A306" t="n">
        <v>274</v>
      </c>
      <c r="B306">
        <f>CEILING(0.0101*G305/$D$5,1)</f>
        <v/>
      </c>
      <c r="C306">
        <f>MAX(0,MIN(MAX(0,FLOOR($D$15*D305*MAX(0,1-D305/(($D$10+SUM($N$33:N305))/$D$5)),1)),IF(A306&gt;=$D$14,IF(AND(D305&gt;0,F305&gt;0),INT(K305*D305/F305),0),1000000000),MIN(IF($D$11&gt;G305,INT(($D$11-G305)/$D$5),0)-D305,MAX(B306,INT(($D$10+SUM($N$33:N305))/$D$5)-D305))))</f>
        <v/>
      </c>
      <c r="D306">
        <f>D305+C306</f>
        <v/>
      </c>
      <c r="E306">
        <f>$D$5</f>
        <v/>
      </c>
      <c r="F306">
        <f>IF(G305&gt;=$D$11,0,MIN(D306*E306,$D$11-G305))</f>
        <v/>
      </c>
      <c r="G306">
        <f>G305+F306</f>
        <v/>
      </c>
      <c r="H306">
        <f>H305+$D$6*F306</f>
        <v/>
      </c>
      <c r="I306">
        <f>MAX(I305+$D$7*F306+Q306-0.01*G306,0.01*G306)</f>
        <v/>
      </c>
      <c r="J306">
        <f>J305+$D$8*F306+K306-MAX(0,0.02*G306-I305-$D$7*F306-Q306)</f>
        <v/>
      </c>
      <c r="K306">
        <f>($D$9/12)*J305</f>
        <v/>
      </c>
      <c r="L306">
        <f>IF(G306=0,0,J306/(G306*$D$12))</f>
        <v/>
      </c>
      <c r="M306">
        <f>MIN(0.06,MAX(0.01,IF(G306=0,0,I306/G306)))</f>
        <v/>
      </c>
      <c r="N306">
        <f>INDEX($G$6:$G$30,MIN(INT((A306-1)/12)+1,25))</f>
        <v/>
      </c>
      <c r="O306">
        <f>G306*$D$12</f>
        <v/>
      </c>
      <c r="P306">
        <f>M306*G306</f>
        <v/>
      </c>
      <c r="Q306">
        <f>($D$16/12)*I305</f>
        <v/>
      </c>
    </row>
    <row r="307">
      <c r="A307" t="n">
        <v>275</v>
      </c>
      <c r="B307">
        <f>CEILING(0.0101*G306/$D$5,1)</f>
        <v/>
      </c>
      <c r="C307">
        <f>MAX(0,MIN(MAX(0,FLOOR($D$15*D306*MAX(0,1-D306/(($D$10+SUM($N$33:N306))/$D$5)),1)),IF(A307&gt;=$D$14,IF(AND(D306&gt;0,F306&gt;0),INT(K306*D306/F306),0),1000000000),MIN(IF($D$11&gt;G306,INT(($D$11-G306)/$D$5),0)-D306,MAX(B307,INT(($D$10+SUM($N$33:N306))/$D$5)-D306))))</f>
        <v/>
      </c>
      <c r="D307">
        <f>D306+C307</f>
        <v/>
      </c>
      <c r="E307">
        <f>$D$5</f>
        <v/>
      </c>
      <c r="F307">
        <f>IF(G306&gt;=$D$11,0,MIN(D307*E307,$D$11-G306))</f>
        <v/>
      </c>
      <c r="G307">
        <f>G306+F307</f>
        <v/>
      </c>
      <c r="H307">
        <f>H306+$D$6*F307</f>
        <v/>
      </c>
      <c r="I307">
        <f>MAX(I306+$D$7*F307+Q307-0.01*G307,0.01*G307)</f>
        <v/>
      </c>
      <c r="J307">
        <f>J306+$D$8*F307+K307-MAX(0,0.02*G307-I306-$D$7*F307-Q307)</f>
        <v/>
      </c>
      <c r="K307">
        <f>($D$9/12)*J306</f>
        <v/>
      </c>
      <c r="L307">
        <f>IF(G307=0,0,J307/(G307*$D$12))</f>
        <v/>
      </c>
      <c r="M307">
        <f>MIN(0.06,MAX(0.01,IF(G307=0,0,I307/G307)))</f>
        <v/>
      </c>
      <c r="N307">
        <f>INDEX($G$6:$G$30,MIN(INT((A307-1)/12)+1,25))</f>
        <v/>
      </c>
      <c r="O307">
        <f>G307*$D$12</f>
        <v/>
      </c>
      <c r="P307">
        <f>M307*G307</f>
        <v/>
      </c>
      <c r="Q307">
        <f>($D$16/12)*I306</f>
        <v/>
      </c>
    </row>
    <row r="308">
      <c r="A308" t="n">
        <v>276</v>
      </c>
      <c r="B308">
        <f>CEILING(0.0101*G307/$D$5,1)</f>
        <v/>
      </c>
      <c r="C308">
        <f>MAX(0,MIN(MAX(0,FLOOR($D$15*D307*MAX(0,1-D307/(($D$10+SUM($N$33:N307))/$D$5)),1)),IF(A308&gt;=$D$14,IF(AND(D307&gt;0,F307&gt;0),INT(K307*D307/F307),0),1000000000),MIN(IF($D$11&gt;G307,INT(($D$11-G307)/$D$5),0)-D307,MAX(B308,INT(($D$10+SUM($N$33:N307))/$D$5)-D307))))</f>
        <v/>
      </c>
      <c r="D308">
        <f>D307+C308</f>
        <v/>
      </c>
      <c r="E308">
        <f>$D$5</f>
        <v/>
      </c>
      <c r="F308">
        <f>IF(G307&gt;=$D$11,0,MIN(D308*E308,$D$11-G307))</f>
        <v/>
      </c>
      <c r="G308">
        <f>G307+F308</f>
        <v/>
      </c>
      <c r="H308">
        <f>H307+$D$6*F308</f>
        <v/>
      </c>
      <c r="I308">
        <f>MAX(I307+$D$7*F308+Q308-0.01*G308,0.01*G308)</f>
        <v/>
      </c>
      <c r="J308">
        <f>J307+$D$8*F308+K308-MAX(0,0.02*G308-I307-$D$7*F308-Q308)</f>
        <v/>
      </c>
      <c r="K308">
        <f>($D$9/12)*J307</f>
        <v/>
      </c>
      <c r="L308">
        <f>IF(G308=0,0,J308/(G308*$D$12))</f>
        <v/>
      </c>
      <c r="M308">
        <f>MIN(0.06,MAX(0.01,IF(G308=0,0,I308/G308)))</f>
        <v/>
      </c>
      <c r="N308">
        <f>INDEX($G$6:$G$30,MIN(INT((A308-1)/12)+1,25))</f>
        <v/>
      </c>
      <c r="O308">
        <f>G308*$D$12</f>
        <v/>
      </c>
      <c r="P308">
        <f>M308*G308</f>
        <v/>
      </c>
      <c r="Q308">
        <f>($D$16/12)*I307</f>
        <v/>
      </c>
    </row>
    <row r="309">
      <c r="A309" t="n">
        <v>277</v>
      </c>
      <c r="B309">
        <f>CEILING(0.0101*G308/$D$5,1)</f>
        <v/>
      </c>
      <c r="C309">
        <f>MAX(0,MIN(MAX(0,FLOOR($D$15*D308*MAX(0,1-D308/(($D$10+SUM($N$33:N308))/$D$5)),1)),IF(A309&gt;=$D$14,IF(AND(D308&gt;0,F308&gt;0),INT(K308*D308/F308),0),1000000000),MIN(IF($D$11&gt;G308,INT(($D$11-G308)/$D$5),0)-D308,MAX(B309,INT(($D$10+SUM($N$33:N308))/$D$5)-D308))))</f>
        <v/>
      </c>
      <c r="D309">
        <f>D308+C309</f>
        <v/>
      </c>
      <c r="E309">
        <f>$D$5</f>
        <v/>
      </c>
      <c r="F309">
        <f>IF(G308&gt;=$D$11,0,MIN(D309*E309,$D$11-G308))</f>
        <v/>
      </c>
      <c r="G309">
        <f>G308+F309</f>
        <v/>
      </c>
      <c r="H309">
        <f>H308+$D$6*F309</f>
        <v/>
      </c>
      <c r="I309">
        <f>MAX(I308+$D$7*F309+Q309-0.01*G309,0.01*G309)</f>
        <v/>
      </c>
      <c r="J309">
        <f>J308+$D$8*F309+K309-MAX(0,0.02*G309-I308-$D$7*F309-Q309)</f>
        <v/>
      </c>
      <c r="K309">
        <f>($D$9/12)*J308</f>
        <v/>
      </c>
      <c r="L309">
        <f>IF(G309=0,0,J309/(G309*$D$12))</f>
        <v/>
      </c>
      <c r="M309">
        <f>MIN(0.06,MAX(0.01,IF(G309=0,0,I309/G309)))</f>
        <v/>
      </c>
      <c r="N309">
        <f>INDEX($G$6:$G$30,MIN(INT((A309-1)/12)+1,25))</f>
        <v/>
      </c>
      <c r="O309">
        <f>G309*$D$12</f>
        <v/>
      </c>
      <c r="P309">
        <f>M309*G309</f>
        <v/>
      </c>
      <c r="Q309">
        <f>($D$16/12)*I308</f>
        <v/>
      </c>
    </row>
    <row r="310">
      <c r="A310" t="n">
        <v>278</v>
      </c>
      <c r="B310">
        <f>CEILING(0.0101*G309/$D$5,1)</f>
        <v/>
      </c>
      <c r="C310">
        <f>MAX(0,MIN(MAX(0,FLOOR($D$15*D309*MAX(0,1-D309/(($D$10+SUM($N$33:N309))/$D$5)),1)),IF(A310&gt;=$D$14,IF(AND(D309&gt;0,F309&gt;0),INT(K309*D309/F309),0),1000000000),MIN(IF($D$11&gt;G309,INT(($D$11-G309)/$D$5),0)-D309,MAX(B310,INT(($D$10+SUM($N$33:N309))/$D$5)-D309))))</f>
        <v/>
      </c>
      <c r="D310">
        <f>D309+C310</f>
        <v/>
      </c>
      <c r="E310">
        <f>$D$5</f>
        <v/>
      </c>
      <c r="F310">
        <f>IF(G309&gt;=$D$11,0,MIN(D310*E310,$D$11-G309))</f>
        <v/>
      </c>
      <c r="G310">
        <f>G309+F310</f>
        <v/>
      </c>
      <c r="H310">
        <f>H309+$D$6*F310</f>
        <v/>
      </c>
      <c r="I310">
        <f>MAX(I309+$D$7*F310+Q310-0.01*G310,0.01*G310)</f>
        <v/>
      </c>
      <c r="J310">
        <f>J309+$D$8*F310+K310-MAX(0,0.02*G310-I309-$D$7*F310-Q310)</f>
        <v/>
      </c>
      <c r="K310">
        <f>($D$9/12)*J309</f>
        <v/>
      </c>
      <c r="L310">
        <f>IF(G310=0,0,J310/(G310*$D$12))</f>
        <v/>
      </c>
      <c r="M310">
        <f>MIN(0.06,MAX(0.01,IF(G310=0,0,I310/G310)))</f>
        <v/>
      </c>
      <c r="N310">
        <f>INDEX($G$6:$G$30,MIN(INT((A310-1)/12)+1,25))</f>
        <v/>
      </c>
      <c r="O310">
        <f>G310*$D$12</f>
        <v/>
      </c>
      <c r="P310">
        <f>M310*G310</f>
        <v/>
      </c>
      <c r="Q310">
        <f>($D$16/12)*I309</f>
        <v/>
      </c>
    </row>
    <row r="311">
      <c r="A311" t="n">
        <v>279</v>
      </c>
      <c r="B311">
        <f>CEILING(0.0101*G310/$D$5,1)</f>
        <v/>
      </c>
      <c r="C311">
        <f>MAX(0,MIN(MAX(0,FLOOR($D$15*D310*MAX(0,1-D310/(($D$10+SUM($N$33:N310))/$D$5)),1)),IF(A311&gt;=$D$14,IF(AND(D310&gt;0,F310&gt;0),INT(K310*D310/F310),0),1000000000),MIN(IF($D$11&gt;G310,INT(($D$11-G310)/$D$5),0)-D310,MAX(B311,INT(($D$10+SUM($N$33:N310))/$D$5)-D310))))</f>
        <v/>
      </c>
      <c r="D311">
        <f>D310+C311</f>
        <v/>
      </c>
      <c r="E311">
        <f>$D$5</f>
        <v/>
      </c>
      <c r="F311">
        <f>IF(G310&gt;=$D$11,0,MIN(D311*E311,$D$11-G310))</f>
        <v/>
      </c>
      <c r="G311">
        <f>G310+F311</f>
        <v/>
      </c>
      <c r="H311">
        <f>H310+$D$6*F311</f>
        <v/>
      </c>
      <c r="I311">
        <f>MAX(I310+$D$7*F311+Q311-0.01*G311,0.01*G311)</f>
        <v/>
      </c>
      <c r="J311">
        <f>J310+$D$8*F311+K311-MAX(0,0.02*G311-I310-$D$7*F311-Q311)</f>
        <v/>
      </c>
      <c r="K311">
        <f>($D$9/12)*J310</f>
        <v/>
      </c>
      <c r="L311">
        <f>IF(G311=0,0,J311/(G311*$D$12))</f>
        <v/>
      </c>
      <c r="M311">
        <f>MIN(0.06,MAX(0.01,IF(G311=0,0,I311/G311)))</f>
        <v/>
      </c>
      <c r="N311">
        <f>INDEX($G$6:$G$30,MIN(INT((A311-1)/12)+1,25))</f>
        <v/>
      </c>
      <c r="O311">
        <f>G311*$D$12</f>
        <v/>
      </c>
      <c r="P311">
        <f>M311*G311</f>
        <v/>
      </c>
      <c r="Q311">
        <f>($D$16/12)*I310</f>
        <v/>
      </c>
    </row>
    <row r="312">
      <c r="A312" t="n">
        <v>280</v>
      </c>
      <c r="B312">
        <f>CEILING(0.0101*G311/$D$5,1)</f>
        <v/>
      </c>
      <c r="C312">
        <f>MAX(0,MIN(MAX(0,FLOOR($D$15*D311*MAX(0,1-D311/(($D$10+SUM($N$33:N311))/$D$5)),1)),IF(A312&gt;=$D$14,IF(AND(D311&gt;0,F311&gt;0),INT(K311*D311/F311),0),1000000000),MIN(IF($D$11&gt;G311,INT(($D$11-G311)/$D$5),0)-D311,MAX(B312,INT(($D$10+SUM($N$33:N311))/$D$5)-D311))))</f>
        <v/>
      </c>
      <c r="D312">
        <f>D311+C312</f>
        <v/>
      </c>
      <c r="E312">
        <f>$D$5</f>
        <v/>
      </c>
      <c r="F312">
        <f>IF(G311&gt;=$D$11,0,MIN(D312*E312,$D$11-G311))</f>
        <v/>
      </c>
      <c r="G312">
        <f>G311+F312</f>
        <v/>
      </c>
      <c r="H312">
        <f>H311+$D$6*F312</f>
        <v/>
      </c>
      <c r="I312">
        <f>MAX(I311+$D$7*F312+Q312-0.01*G312,0.01*G312)</f>
        <v/>
      </c>
      <c r="J312">
        <f>J311+$D$8*F312+K312-MAX(0,0.02*G312-I311-$D$7*F312-Q312)</f>
        <v/>
      </c>
      <c r="K312">
        <f>($D$9/12)*J311</f>
        <v/>
      </c>
      <c r="L312">
        <f>IF(G312=0,0,J312/(G312*$D$12))</f>
        <v/>
      </c>
      <c r="M312">
        <f>MIN(0.06,MAX(0.01,IF(G312=0,0,I312/G312)))</f>
        <v/>
      </c>
      <c r="N312">
        <f>INDEX($G$6:$G$30,MIN(INT((A312-1)/12)+1,25))</f>
        <v/>
      </c>
      <c r="O312">
        <f>G312*$D$12</f>
        <v/>
      </c>
      <c r="P312">
        <f>M312*G312</f>
        <v/>
      </c>
      <c r="Q312">
        <f>($D$16/12)*I311</f>
        <v/>
      </c>
    </row>
    <row r="313">
      <c r="A313" t="n">
        <v>281</v>
      </c>
      <c r="B313">
        <f>CEILING(0.0101*G312/$D$5,1)</f>
        <v/>
      </c>
      <c r="C313">
        <f>MAX(0,MIN(MAX(0,FLOOR($D$15*D312*MAX(0,1-D312/(($D$10+SUM($N$33:N312))/$D$5)),1)),IF(A313&gt;=$D$14,IF(AND(D312&gt;0,F312&gt;0),INT(K312*D312/F312),0),1000000000),MIN(IF($D$11&gt;G312,INT(($D$11-G312)/$D$5),0)-D312,MAX(B313,INT(($D$10+SUM($N$33:N312))/$D$5)-D312))))</f>
        <v/>
      </c>
      <c r="D313">
        <f>D312+C313</f>
        <v/>
      </c>
      <c r="E313">
        <f>$D$5</f>
        <v/>
      </c>
      <c r="F313">
        <f>IF(G312&gt;=$D$11,0,MIN(D313*E313,$D$11-G312))</f>
        <v/>
      </c>
      <c r="G313">
        <f>G312+F313</f>
        <v/>
      </c>
      <c r="H313">
        <f>H312+$D$6*F313</f>
        <v/>
      </c>
      <c r="I313">
        <f>MAX(I312+$D$7*F313+Q313-0.01*G313,0.01*G313)</f>
        <v/>
      </c>
      <c r="J313">
        <f>J312+$D$8*F313+K313-MAX(0,0.02*G313-I312-$D$7*F313-Q313)</f>
        <v/>
      </c>
      <c r="K313">
        <f>($D$9/12)*J312</f>
        <v/>
      </c>
      <c r="L313">
        <f>IF(G313=0,0,J313/(G313*$D$12))</f>
        <v/>
      </c>
      <c r="M313">
        <f>MIN(0.06,MAX(0.01,IF(G313=0,0,I313/G313)))</f>
        <v/>
      </c>
      <c r="N313">
        <f>INDEX($G$6:$G$30,MIN(INT((A313-1)/12)+1,25))</f>
        <v/>
      </c>
      <c r="O313">
        <f>G313*$D$12</f>
        <v/>
      </c>
      <c r="P313">
        <f>M313*G313</f>
        <v/>
      </c>
      <c r="Q313">
        <f>($D$16/12)*I312</f>
        <v/>
      </c>
    </row>
    <row r="314">
      <c r="A314" t="n">
        <v>282</v>
      </c>
      <c r="B314">
        <f>CEILING(0.0101*G313/$D$5,1)</f>
        <v/>
      </c>
      <c r="C314">
        <f>MAX(0,MIN(MAX(0,FLOOR($D$15*D313*MAX(0,1-D313/(($D$10+SUM($N$33:N313))/$D$5)),1)),IF(A314&gt;=$D$14,IF(AND(D313&gt;0,F313&gt;0),INT(K313*D313/F313),0),1000000000),MIN(IF($D$11&gt;G313,INT(($D$11-G313)/$D$5),0)-D313,MAX(B314,INT(($D$10+SUM($N$33:N313))/$D$5)-D313))))</f>
        <v/>
      </c>
      <c r="D314">
        <f>D313+C314</f>
        <v/>
      </c>
      <c r="E314">
        <f>$D$5</f>
        <v/>
      </c>
      <c r="F314">
        <f>IF(G313&gt;=$D$11,0,MIN(D314*E314,$D$11-G313))</f>
        <v/>
      </c>
      <c r="G314">
        <f>G313+F314</f>
        <v/>
      </c>
      <c r="H314">
        <f>H313+$D$6*F314</f>
        <v/>
      </c>
      <c r="I314">
        <f>MAX(I313+$D$7*F314+Q314-0.01*G314,0.01*G314)</f>
        <v/>
      </c>
      <c r="J314">
        <f>J313+$D$8*F314+K314-MAX(0,0.02*G314-I313-$D$7*F314-Q314)</f>
        <v/>
      </c>
      <c r="K314">
        <f>($D$9/12)*J313</f>
        <v/>
      </c>
      <c r="L314">
        <f>IF(G314=0,0,J314/(G314*$D$12))</f>
        <v/>
      </c>
      <c r="M314">
        <f>MIN(0.06,MAX(0.01,IF(G314=0,0,I314/G314)))</f>
        <v/>
      </c>
      <c r="N314">
        <f>INDEX($G$6:$G$30,MIN(INT((A314-1)/12)+1,25))</f>
        <v/>
      </c>
      <c r="O314">
        <f>G314*$D$12</f>
        <v/>
      </c>
      <c r="P314">
        <f>M314*G314</f>
        <v/>
      </c>
      <c r="Q314">
        <f>($D$16/12)*I313</f>
        <v/>
      </c>
    </row>
    <row r="315">
      <c r="A315" t="n">
        <v>283</v>
      </c>
      <c r="B315">
        <f>CEILING(0.0101*G314/$D$5,1)</f>
        <v/>
      </c>
      <c r="C315">
        <f>MAX(0,MIN(MAX(0,FLOOR($D$15*D314*MAX(0,1-D314/(($D$10+SUM($N$33:N314))/$D$5)),1)),IF(A315&gt;=$D$14,IF(AND(D314&gt;0,F314&gt;0),INT(K314*D314/F314),0),1000000000),MIN(IF($D$11&gt;G314,INT(($D$11-G314)/$D$5),0)-D314,MAX(B315,INT(($D$10+SUM($N$33:N314))/$D$5)-D314))))</f>
        <v/>
      </c>
      <c r="D315">
        <f>D314+C315</f>
        <v/>
      </c>
      <c r="E315">
        <f>$D$5</f>
        <v/>
      </c>
      <c r="F315">
        <f>IF(G314&gt;=$D$11,0,MIN(D315*E315,$D$11-G314))</f>
        <v/>
      </c>
      <c r="G315">
        <f>G314+F315</f>
        <v/>
      </c>
      <c r="H315">
        <f>H314+$D$6*F315</f>
        <v/>
      </c>
      <c r="I315">
        <f>MAX(I314+$D$7*F315+Q315-0.01*G315,0.01*G315)</f>
        <v/>
      </c>
      <c r="J315">
        <f>J314+$D$8*F315+K315-MAX(0,0.02*G315-I314-$D$7*F315-Q315)</f>
        <v/>
      </c>
      <c r="K315">
        <f>($D$9/12)*J314</f>
        <v/>
      </c>
      <c r="L315">
        <f>IF(G315=0,0,J315/(G315*$D$12))</f>
        <v/>
      </c>
      <c r="M315">
        <f>MIN(0.06,MAX(0.01,IF(G315=0,0,I315/G315)))</f>
        <v/>
      </c>
      <c r="N315">
        <f>INDEX($G$6:$G$30,MIN(INT((A315-1)/12)+1,25))</f>
        <v/>
      </c>
      <c r="O315">
        <f>G315*$D$12</f>
        <v/>
      </c>
      <c r="P315">
        <f>M315*G315</f>
        <v/>
      </c>
      <c r="Q315">
        <f>($D$16/12)*I314</f>
        <v/>
      </c>
    </row>
    <row r="316">
      <c r="A316" t="n">
        <v>284</v>
      </c>
      <c r="B316">
        <f>CEILING(0.0101*G315/$D$5,1)</f>
        <v/>
      </c>
      <c r="C316">
        <f>MAX(0,MIN(MAX(0,FLOOR($D$15*D315*MAX(0,1-D315/(($D$10+SUM($N$33:N315))/$D$5)),1)),IF(A316&gt;=$D$14,IF(AND(D315&gt;0,F315&gt;0),INT(K315*D315/F315),0),1000000000),MIN(IF($D$11&gt;G315,INT(($D$11-G315)/$D$5),0)-D315,MAX(B316,INT(($D$10+SUM($N$33:N315))/$D$5)-D315))))</f>
        <v/>
      </c>
      <c r="D316">
        <f>D315+C316</f>
        <v/>
      </c>
      <c r="E316">
        <f>$D$5</f>
        <v/>
      </c>
      <c r="F316">
        <f>IF(G315&gt;=$D$11,0,MIN(D316*E316,$D$11-G315))</f>
        <v/>
      </c>
      <c r="G316">
        <f>G315+F316</f>
        <v/>
      </c>
      <c r="H316">
        <f>H315+$D$6*F316</f>
        <v/>
      </c>
      <c r="I316">
        <f>MAX(I315+$D$7*F316+Q316-0.01*G316,0.01*G316)</f>
        <v/>
      </c>
      <c r="J316">
        <f>J315+$D$8*F316+K316-MAX(0,0.02*G316-I315-$D$7*F316-Q316)</f>
        <v/>
      </c>
      <c r="K316">
        <f>($D$9/12)*J315</f>
        <v/>
      </c>
      <c r="L316">
        <f>IF(G316=0,0,J316/(G316*$D$12))</f>
        <v/>
      </c>
      <c r="M316">
        <f>MIN(0.06,MAX(0.01,IF(G316=0,0,I316/G316)))</f>
        <v/>
      </c>
      <c r="N316">
        <f>INDEX($G$6:$G$30,MIN(INT((A316-1)/12)+1,25))</f>
        <v/>
      </c>
      <c r="O316">
        <f>G316*$D$12</f>
        <v/>
      </c>
      <c r="P316">
        <f>M316*G316</f>
        <v/>
      </c>
      <c r="Q316">
        <f>($D$16/12)*I315</f>
        <v/>
      </c>
    </row>
    <row r="317">
      <c r="A317" t="n">
        <v>285</v>
      </c>
      <c r="B317">
        <f>CEILING(0.0101*G316/$D$5,1)</f>
        <v/>
      </c>
      <c r="C317">
        <f>MAX(0,MIN(MAX(0,FLOOR($D$15*D316*MAX(0,1-D316/(($D$10+SUM($N$33:N316))/$D$5)),1)),IF(A317&gt;=$D$14,IF(AND(D316&gt;0,F316&gt;0),INT(K316*D316/F316),0),1000000000),MIN(IF($D$11&gt;G316,INT(($D$11-G316)/$D$5),0)-D316,MAX(B317,INT(($D$10+SUM($N$33:N316))/$D$5)-D316))))</f>
        <v/>
      </c>
      <c r="D317">
        <f>D316+C317</f>
        <v/>
      </c>
      <c r="E317">
        <f>$D$5</f>
        <v/>
      </c>
      <c r="F317">
        <f>IF(G316&gt;=$D$11,0,MIN(D317*E317,$D$11-G316))</f>
        <v/>
      </c>
      <c r="G317">
        <f>G316+F317</f>
        <v/>
      </c>
      <c r="H317">
        <f>H316+$D$6*F317</f>
        <v/>
      </c>
      <c r="I317">
        <f>MAX(I316+$D$7*F317+Q317-0.01*G317,0.01*G317)</f>
        <v/>
      </c>
      <c r="J317">
        <f>J316+$D$8*F317+K317-MAX(0,0.02*G317-I316-$D$7*F317-Q317)</f>
        <v/>
      </c>
      <c r="K317">
        <f>($D$9/12)*J316</f>
        <v/>
      </c>
      <c r="L317">
        <f>IF(G317=0,0,J317/(G317*$D$12))</f>
        <v/>
      </c>
      <c r="M317">
        <f>MIN(0.06,MAX(0.01,IF(G317=0,0,I317/G317)))</f>
        <v/>
      </c>
      <c r="N317">
        <f>INDEX($G$6:$G$30,MIN(INT((A317-1)/12)+1,25))</f>
        <v/>
      </c>
      <c r="O317">
        <f>G317*$D$12</f>
        <v/>
      </c>
      <c r="P317">
        <f>M317*G317</f>
        <v/>
      </c>
      <c r="Q317">
        <f>($D$16/12)*I316</f>
        <v/>
      </c>
    </row>
    <row r="318">
      <c r="A318" t="n">
        <v>286</v>
      </c>
      <c r="B318">
        <f>CEILING(0.0101*G317/$D$5,1)</f>
        <v/>
      </c>
      <c r="C318">
        <f>MAX(0,MIN(MAX(0,FLOOR($D$15*D317*MAX(0,1-D317/(($D$10+SUM($N$33:N317))/$D$5)),1)),IF(A318&gt;=$D$14,IF(AND(D317&gt;0,F317&gt;0),INT(K317*D317/F317),0),1000000000),MIN(IF($D$11&gt;G317,INT(($D$11-G317)/$D$5),0)-D317,MAX(B318,INT(($D$10+SUM($N$33:N317))/$D$5)-D317))))</f>
        <v/>
      </c>
      <c r="D318">
        <f>D317+C318</f>
        <v/>
      </c>
      <c r="E318">
        <f>$D$5</f>
        <v/>
      </c>
      <c r="F318">
        <f>IF(G317&gt;=$D$11,0,MIN(D318*E318,$D$11-G317))</f>
        <v/>
      </c>
      <c r="G318">
        <f>G317+F318</f>
        <v/>
      </c>
      <c r="H318">
        <f>H317+$D$6*F318</f>
        <v/>
      </c>
      <c r="I318">
        <f>MAX(I317+$D$7*F318+Q318-0.01*G318,0.01*G318)</f>
        <v/>
      </c>
      <c r="J318">
        <f>J317+$D$8*F318+K318-MAX(0,0.02*G318-I317-$D$7*F318-Q318)</f>
        <v/>
      </c>
      <c r="K318">
        <f>($D$9/12)*J317</f>
        <v/>
      </c>
      <c r="L318">
        <f>IF(G318=0,0,J318/(G318*$D$12))</f>
        <v/>
      </c>
      <c r="M318">
        <f>MIN(0.06,MAX(0.01,IF(G318=0,0,I318/G318)))</f>
        <v/>
      </c>
      <c r="N318">
        <f>INDEX($G$6:$G$30,MIN(INT((A318-1)/12)+1,25))</f>
        <v/>
      </c>
      <c r="O318">
        <f>G318*$D$12</f>
        <v/>
      </c>
      <c r="P318">
        <f>M318*G318</f>
        <v/>
      </c>
      <c r="Q318">
        <f>($D$16/12)*I317</f>
        <v/>
      </c>
    </row>
    <row r="319">
      <c r="A319" t="n">
        <v>287</v>
      </c>
      <c r="B319">
        <f>CEILING(0.0101*G318/$D$5,1)</f>
        <v/>
      </c>
      <c r="C319">
        <f>MAX(0,MIN(MAX(0,FLOOR($D$15*D318*MAX(0,1-D318/(($D$10+SUM($N$33:N318))/$D$5)),1)),IF(A319&gt;=$D$14,IF(AND(D318&gt;0,F318&gt;0),INT(K318*D318/F318),0),1000000000),MIN(IF($D$11&gt;G318,INT(($D$11-G318)/$D$5),0)-D318,MAX(B319,INT(($D$10+SUM($N$33:N318))/$D$5)-D318))))</f>
        <v/>
      </c>
      <c r="D319">
        <f>D318+C319</f>
        <v/>
      </c>
      <c r="E319">
        <f>$D$5</f>
        <v/>
      </c>
      <c r="F319">
        <f>IF(G318&gt;=$D$11,0,MIN(D319*E319,$D$11-G318))</f>
        <v/>
      </c>
      <c r="G319">
        <f>G318+F319</f>
        <v/>
      </c>
      <c r="H319">
        <f>H318+$D$6*F319</f>
        <v/>
      </c>
      <c r="I319">
        <f>MAX(I318+$D$7*F319+Q319-0.01*G319,0.01*G319)</f>
        <v/>
      </c>
      <c r="J319">
        <f>J318+$D$8*F319+K319-MAX(0,0.02*G319-I318-$D$7*F319-Q319)</f>
        <v/>
      </c>
      <c r="K319">
        <f>($D$9/12)*J318</f>
        <v/>
      </c>
      <c r="L319">
        <f>IF(G319=0,0,J319/(G319*$D$12))</f>
        <v/>
      </c>
      <c r="M319">
        <f>MIN(0.06,MAX(0.01,IF(G319=0,0,I319/G319)))</f>
        <v/>
      </c>
      <c r="N319">
        <f>INDEX($G$6:$G$30,MIN(INT((A319-1)/12)+1,25))</f>
        <v/>
      </c>
      <c r="O319">
        <f>G319*$D$12</f>
        <v/>
      </c>
      <c r="P319">
        <f>M319*G319</f>
        <v/>
      </c>
      <c r="Q319">
        <f>($D$16/12)*I318</f>
        <v/>
      </c>
    </row>
    <row r="320">
      <c r="A320" t="n">
        <v>288</v>
      </c>
      <c r="B320">
        <f>CEILING(0.0101*G319/$D$5,1)</f>
        <v/>
      </c>
      <c r="C320">
        <f>MAX(0,MIN(MAX(0,FLOOR($D$15*D319*MAX(0,1-D319/(($D$10+SUM($N$33:N319))/$D$5)),1)),IF(A320&gt;=$D$14,IF(AND(D319&gt;0,F319&gt;0),INT(K319*D319/F319),0),1000000000),MIN(IF($D$11&gt;G319,INT(($D$11-G319)/$D$5),0)-D319,MAX(B320,INT(($D$10+SUM($N$33:N319))/$D$5)-D319))))</f>
        <v/>
      </c>
      <c r="D320">
        <f>D319+C320</f>
        <v/>
      </c>
      <c r="E320">
        <f>$D$5</f>
        <v/>
      </c>
      <c r="F320">
        <f>IF(G319&gt;=$D$11,0,MIN(D320*E320,$D$11-G319))</f>
        <v/>
      </c>
      <c r="G320">
        <f>G319+F320</f>
        <v/>
      </c>
      <c r="H320">
        <f>H319+$D$6*F320</f>
        <v/>
      </c>
      <c r="I320">
        <f>MAX(I319+$D$7*F320+Q320-0.01*G320,0.01*G320)</f>
        <v/>
      </c>
      <c r="J320">
        <f>J319+$D$8*F320+K320-MAX(0,0.02*G320-I319-$D$7*F320-Q320)</f>
        <v/>
      </c>
      <c r="K320">
        <f>($D$9/12)*J319</f>
        <v/>
      </c>
      <c r="L320">
        <f>IF(G320=0,0,J320/(G320*$D$12))</f>
        <v/>
      </c>
      <c r="M320">
        <f>MIN(0.06,MAX(0.01,IF(G320=0,0,I320/G320)))</f>
        <v/>
      </c>
      <c r="N320">
        <f>INDEX($G$6:$G$30,MIN(INT((A320-1)/12)+1,25))</f>
        <v/>
      </c>
      <c r="O320">
        <f>G320*$D$12</f>
        <v/>
      </c>
      <c r="P320">
        <f>M320*G320</f>
        <v/>
      </c>
      <c r="Q320">
        <f>($D$16/12)*I319</f>
        <v/>
      </c>
    </row>
    <row r="321">
      <c r="A321" t="n">
        <v>289</v>
      </c>
      <c r="B321">
        <f>CEILING(0.0101*G320/$D$5,1)</f>
        <v/>
      </c>
      <c r="C321">
        <f>MAX(0,MIN(MAX(0,FLOOR($D$15*D320*MAX(0,1-D320/(($D$10+SUM($N$33:N320))/$D$5)),1)),IF(A321&gt;=$D$14,IF(AND(D320&gt;0,F320&gt;0),INT(K320*D320/F320),0),1000000000),MIN(IF($D$11&gt;G320,INT(($D$11-G320)/$D$5),0)-D320,MAX(B321,INT(($D$10+SUM($N$33:N320))/$D$5)-D320))))</f>
        <v/>
      </c>
      <c r="D321">
        <f>D320+C321</f>
        <v/>
      </c>
      <c r="E321">
        <f>$D$5</f>
        <v/>
      </c>
      <c r="F321">
        <f>IF(G320&gt;=$D$11,0,MIN(D321*E321,$D$11-G320))</f>
        <v/>
      </c>
      <c r="G321">
        <f>G320+F321</f>
        <v/>
      </c>
      <c r="H321">
        <f>H320+$D$6*F321</f>
        <v/>
      </c>
      <c r="I321">
        <f>MAX(I320+$D$7*F321+Q321-0.01*G321,0.01*G321)</f>
        <v/>
      </c>
      <c r="J321">
        <f>J320+$D$8*F321+K321-MAX(0,0.02*G321-I320-$D$7*F321-Q321)</f>
        <v/>
      </c>
      <c r="K321">
        <f>($D$9/12)*J320</f>
        <v/>
      </c>
      <c r="L321">
        <f>IF(G321=0,0,J321/(G321*$D$12))</f>
        <v/>
      </c>
      <c r="M321">
        <f>MIN(0.06,MAX(0.01,IF(G321=0,0,I321/G321)))</f>
        <v/>
      </c>
      <c r="N321">
        <f>INDEX($G$6:$G$30,MIN(INT((A321-1)/12)+1,25))</f>
        <v/>
      </c>
      <c r="O321">
        <f>G321*$D$12</f>
        <v/>
      </c>
      <c r="P321">
        <f>M321*G321</f>
        <v/>
      </c>
      <c r="Q321">
        <f>($D$16/12)*I320</f>
        <v/>
      </c>
    </row>
    <row r="322">
      <c r="A322" t="n">
        <v>290</v>
      </c>
      <c r="B322">
        <f>CEILING(0.0101*G321/$D$5,1)</f>
        <v/>
      </c>
      <c r="C322">
        <f>MAX(0,MIN(MAX(0,FLOOR($D$15*D321*MAX(0,1-D321/(($D$10+SUM($N$33:N321))/$D$5)),1)),IF(A322&gt;=$D$14,IF(AND(D321&gt;0,F321&gt;0),INT(K321*D321/F321),0),1000000000),MIN(IF($D$11&gt;G321,INT(($D$11-G321)/$D$5),0)-D321,MAX(B322,INT(($D$10+SUM($N$33:N321))/$D$5)-D321))))</f>
        <v/>
      </c>
      <c r="D322">
        <f>D321+C322</f>
        <v/>
      </c>
      <c r="E322">
        <f>$D$5</f>
        <v/>
      </c>
      <c r="F322">
        <f>IF(G321&gt;=$D$11,0,MIN(D322*E322,$D$11-G321))</f>
        <v/>
      </c>
      <c r="G322">
        <f>G321+F322</f>
        <v/>
      </c>
      <c r="H322">
        <f>H321+$D$6*F322</f>
        <v/>
      </c>
      <c r="I322">
        <f>MAX(I321+$D$7*F322+Q322-0.01*G322,0.01*G322)</f>
        <v/>
      </c>
      <c r="J322">
        <f>J321+$D$8*F322+K322-MAX(0,0.02*G322-I321-$D$7*F322-Q322)</f>
        <v/>
      </c>
      <c r="K322">
        <f>($D$9/12)*J321</f>
        <v/>
      </c>
      <c r="L322">
        <f>IF(G322=0,0,J322/(G322*$D$12))</f>
        <v/>
      </c>
      <c r="M322">
        <f>MIN(0.06,MAX(0.01,IF(G322=0,0,I322/G322)))</f>
        <v/>
      </c>
      <c r="N322">
        <f>INDEX($G$6:$G$30,MIN(INT((A322-1)/12)+1,25))</f>
        <v/>
      </c>
      <c r="O322">
        <f>G322*$D$12</f>
        <v/>
      </c>
      <c r="P322">
        <f>M322*G322</f>
        <v/>
      </c>
      <c r="Q322">
        <f>($D$16/12)*I321</f>
        <v/>
      </c>
    </row>
    <row r="323">
      <c r="A323" t="n">
        <v>291</v>
      </c>
      <c r="B323">
        <f>CEILING(0.0101*G322/$D$5,1)</f>
        <v/>
      </c>
      <c r="C323">
        <f>MAX(0,MIN(MAX(0,FLOOR($D$15*D322*MAX(0,1-D322/(($D$10+SUM($N$33:N322))/$D$5)),1)),IF(A323&gt;=$D$14,IF(AND(D322&gt;0,F322&gt;0),INT(K322*D322/F322),0),1000000000),MIN(IF($D$11&gt;G322,INT(($D$11-G322)/$D$5),0)-D322,MAX(B323,INT(($D$10+SUM($N$33:N322))/$D$5)-D322))))</f>
        <v/>
      </c>
      <c r="D323">
        <f>D322+C323</f>
        <v/>
      </c>
      <c r="E323">
        <f>$D$5</f>
        <v/>
      </c>
      <c r="F323">
        <f>IF(G322&gt;=$D$11,0,MIN(D323*E323,$D$11-G322))</f>
        <v/>
      </c>
      <c r="G323">
        <f>G322+F323</f>
        <v/>
      </c>
      <c r="H323">
        <f>H322+$D$6*F323</f>
        <v/>
      </c>
      <c r="I323">
        <f>MAX(I322+$D$7*F323+Q323-0.01*G323,0.01*G323)</f>
        <v/>
      </c>
      <c r="J323">
        <f>J322+$D$8*F323+K323-MAX(0,0.02*G323-I322-$D$7*F323-Q323)</f>
        <v/>
      </c>
      <c r="K323">
        <f>($D$9/12)*J322</f>
        <v/>
      </c>
      <c r="L323">
        <f>IF(G323=0,0,J323/(G323*$D$12))</f>
        <v/>
      </c>
      <c r="M323">
        <f>MIN(0.06,MAX(0.01,IF(G323=0,0,I323/G323)))</f>
        <v/>
      </c>
      <c r="N323">
        <f>INDEX($G$6:$G$30,MIN(INT((A323-1)/12)+1,25))</f>
        <v/>
      </c>
      <c r="O323">
        <f>G323*$D$12</f>
        <v/>
      </c>
      <c r="P323">
        <f>M323*G323</f>
        <v/>
      </c>
      <c r="Q323">
        <f>($D$16/12)*I322</f>
        <v/>
      </c>
    </row>
    <row r="324">
      <c r="A324" t="n">
        <v>292</v>
      </c>
      <c r="B324">
        <f>CEILING(0.0101*G323/$D$5,1)</f>
        <v/>
      </c>
      <c r="C324">
        <f>MAX(0,MIN(MAX(0,FLOOR($D$15*D323*MAX(0,1-D323/(($D$10+SUM($N$33:N323))/$D$5)),1)),IF(A324&gt;=$D$14,IF(AND(D323&gt;0,F323&gt;0),INT(K323*D323/F323),0),1000000000),MIN(IF($D$11&gt;G323,INT(($D$11-G323)/$D$5),0)-D323,MAX(B324,INT(($D$10+SUM($N$33:N323))/$D$5)-D323))))</f>
        <v/>
      </c>
      <c r="D324">
        <f>D323+C324</f>
        <v/>
      </c>
      <c r="E324">
        <f>$D$5</f>
        <v/>
      </c>
      <c r="F324">
        <f>IF(G323&gt;=$D$11,0,MIN(D324*E324,$D$11-G323))</f>
        <v/>
      </c>
      <c r="G324">
        <f>G323+F324</f>
        <v/>
      </c>
      <c r="H324">
        <f>H323+$D$6*F324</f>
        <v/>
      </c>
      <c r="I324">
        <f>MAX(I323+$D$7*F324+Q324-0.01*G324,0.01*G324)</f>
        <v/>
      </c>
      <c r="J324">
        <f>J323+$D$8*F324+K324-MAX(0,0.02*G324-I323-$D$7*F324-Q324)</f>
        <v/>
      </c>
      <c r="K324">
        <f>($D$9/12)*J323</f>
        <v/>
      </c>
      <c r="L324">
        <f>IF(G324=0,0,J324/(G324*$D$12))</f>
        <v/>
      </c>
      <c r="M324">
        <f>MIN(0.06,MAX(0.01,IF(G324=0,0,I324/G324)))</f>
        <v/>
      </c>
      <c r="N324">
        <f>INDEX($G$6:$G$30,MIN(INT((A324-1)/12)+1,25))</f>
        <v/>
      </c>
      <c r="O324">
        <f>G324*$D$12</f>
        <v/>
      </c>
      <c r="P324">
        <f>M324*G324</f>
        <v/>
      </c>
      <c r="Q324">
        <f>($D$16/12)*I323</f>
        <v/>
      </c>
    </row>
    <row r="325">
      <c r="A325" t="n">
        <v>293</v>
      </c>
      <c r="B325">
        <f>CEILING(0.0101*G324/$D$5,1)</f>
        <v/>
      </c>
      <c r="C325">
        <f>MAX(0,MIN(MAX(0,FLOOR($D$15*D324*MAX(0,1-D324/(($D$10+SUM($N$33:N324))/$D$5)),1)),IF(A325&gt;=$D$14,IF(AND(D324&gt;0,F324&gt;0),INT(K324*D324/F324),0),1000000000),MIN(IF($D$11&gt;G324,INT(($D$11-G324)/$D$5),0)-D324,MAX(B325,INT(($D$10+SUM($N$33:N324))/$D$5)-D324))))</f>
        <v/>
      </c>
      <c r="D325">
        <f>D324+C325</f>
        <v/>
      </c>
      <c r="E325">
        <f>$D$5</f>
        <v/>
      </c>
      <c r="F325">
        <f>IF(G324&gt;=$D$11,0,MIN(D325*E325,$D$11-G324))</f>
        <v/>
      </c>
      <c r="G325">
        <f>G324+F325</f>
        <v/>
      </c>
      <c r="H325">
        <f>H324+$D$6*F325</f>
        <v/>
      </c>
      <c r="I325">
        <f>MAX(I324+$D$7*F325+Q325-0.01*G325,0.01*G325)</f>
        <v/>
      </c>
      <c r="J325">
        <f>J324+$D$8*F325+K325-MAX(0,0.02*G325-I324-$D$7*F325-Q325)</f>
        <v/>
      </c>
      <c r="K325">
        <f>($D$9/12)*J324</f>
        <v/>
      </c>
      <c r="L325">
        <f>IF(G325=0,0,J325/(G325*$D$12))</f>
        <v/>
      </c>
      <c r="M325">
        <f>MIN(0.06,MAX(0.01,IF(G325=0,0,I325/G325)))</f>
        <v/>
      </c>
      <c r="N325">
        <f>INDEX($G$6:$G$30,MIN(INT((A325-1)/12)+1,25))</f>
        <v/>
      </c>
      <c r="O325">
        <f>G325*$D$12</f>
        <v/>
      </c>
      <c r="P325">
        <f>M325*G325</f>
        <v/>
      </c>
      <c r="Q325">
        <f>($D$16/12)*I324</f>
        <v/>
      </c>
    </row>
    <row r="326">
      <c r="A326" t="n">
        <v>294</v>
      </c>
      <c r="B326">
        <f>CEILING(0.0101*G325/$D$5,1)</f>
        <v/>
      </c>
      <c r="C326">
        <f>MAX(0,MIN(MAX(0,FLOOR($D$15*D325*MAX(0,1-D325/(($D$10+SUM($N$33:N325))/$D$5)),1)),IF(A326&gt;=$D$14,IF(AND(D325&gt;0,F325&gt;0),INT(K325*D325/F325),0),1000000000),MIN(IF($D$11&gt;G325,INT(($D$11-G325)/$D$5),0)-D325,MAX(B326,INT(($D$10+SUM($N$33:N325))/$D$5)-D325))))</f>
        <v/>
      </c>
      <c r="D326">
        <f>D325+C326</f>
        <v/>
      </c>
      <c r="E326">
        <f>$D$5</f>
        <v/>
      </c>
      <c r="F326">
        <f>IF(G325&gt;=$D$11,0,MIN(D326*E326,$D$11-G325))</f>
        <v/>
      </c>
      <c r="G326">
        <f>G325+F326</f>
        <v/>
      </c>
      <c r="H326">
        <f>H325+$D$6*F326</f>
        <v/>
      </c>
      <c r="I326">
        <f>MAX(I325+$D$7*F326+Q326-0.01*G326,0.01*G326)</f>
        <v/>
      </c>
      <c r="J326">
        <f>J325+$D$8*F326+K326-MAX(0,0.02*G326-I325-$D$7*F326-Q326)</f>
        <v/>
      </c>
      <c r="K326">
        <f>($D$9/12)*J325</f>
        <v/>
      </c>
      <c r="L326">
        <f>IF(G326=0,0,J326/(G326*$D$12))</f>
        <v/>
      </c>
      <c r="M326">
        <f>MIN(0.06,MAX(0.01,IF(G326=0,0,I326/G326)))</f>
        <v/>
      </c>
      <c r="N326">
        <f>INDEX($G$6:$G$30,MIN(INT((A326-1)/12)+1,25))</f>
        <v/>
      </c>
      <c r="O326">
        <f>G326*$D$12</f>
        <v/>
      </c>
      <c r="P326">
        <f>M326*G326</f>
        <v/>
      </c>
      <c r="Q326">
        <f>($D$16/12)*I325</f>
        <v/>
      </c>
    </row>
    <row r="327">
      <c r="A327" t="n">
        <v>295</v>
      </c>
      <c r="B327">
        <f>CEILING(0.0101*G326/$D$5,1)</f>
        <v/>
      </c>
      <c r="C327">
        <f>MAX(0,MIN(MAX(0,FLOOR($D$15*D326*MAX(0,1-D326/(($D$10+SUM($N$33:N326))/$D$5)),1)),IF(A327&gt;=$D$14,IF(AND(D326&gt;0,F326&gt;0),INT(K326*D326/F326),0),1000000000),MIN(IF($D$11&gt;G326,INT(($D$11-G326)/$D$5),0)-D326,MAX(B327,INT(($D$10+SUM($N$33:N326))/$D$5)-D326))))</f>
        <v/>
      </c>
      <c r="D327">
        <f>D326+C327</f>
        <v/>
      </c>
      <c r="E327">
        <f>$D$5</f>
        <v/>
      </c>
      <c r="F327">
        <f>IF(G326&gt;=$D$11,0,MIN(D327*E327,$D$11-G326))</f>
        <v/>
      </c>
      <c r="G327">
        <f>G326+F327</f>
        <v/>
      </c>
      <c r="H327">
        <f>H326+$D$6*F327</f>
        <v/>
      </c>
      <c r="I327">
        <f>MAX(I326+$D$7*F327+Q327-0.01*G327,0.01*G327)</f>
        <v/>
      </c>
      <c r="J327">
        <f>J326+$D$8*F327+K327-MAX(0,0.02*G327-I326-$D$7*F327-Q327)</f>
        <v/>
      </c>
      <c r="K327">
        <f>($D$9/12)*J326</f>
        <v/>
      </c>
      <c r="L327">
        <f>IF(G327=0,0,J327/(G327*$D$12))</f>
        <v/>
      </c>
      <c r="M327">
        <f>MIN(0.06,MAX(0.01,IF(G327=0,0,I327/G327)))</f>
        <v/>
      </c>
      <c r="N327">
        <f>INDEX($G$6:$G$30,MIN(INT((A327-1)/12)+1,25))</f>
        <v/>
      </c>
      <c r="O327">
        <f>G327*$D$12</f>
        <v/>
      </c>
      <c r="P327">
        <f>M327*G327</f>
        <v/>
      </c>
      <c r="Q327">
        <f>($D$16/12)*I326</f>
        <v/>
      </c>
    </row>
    <row r="328">
      <c r="A328" t="n">
        <v>296</v>
      </c>
      <c r="B328">
        <f>CEILING(0.0101*G327/$D$5,1)</f>
        <v/>
      </c>
      <c r="C328">
        <f>MAX(0,MIN(MAX(0,FLOOR($D$15*D327*MAX(0,1-D327/(($D$10+SUM($N$33:N327))/$D$5)),1)),IF(A328&gt;=$D$14,IF(AND(D327&gt;0,F327&gt;0),INT(K327*D327/F327),0),1000000000),MIN(IF($D$11&gt;G327,INT(($D$11-G327)/$D$5),0)-D327,MAX(B328,INT(($D$10+SUM($N$33:N327))/$D$5)-D327))))</f>
        <v/>
      </c>
      <c r="D328">
        <f>D327+C328</f>
        <v/>
      </c>
      <c r="E328">
        <f>$D$5</f>
        <v/>
      </c>
      <c r="F328">
        <f>IF(G327&gt;=$D$11,0,MIN(D328*E328,$D$11-G327))</f>
        <v/>
      </c>
      <c r="G328">
        <f>G327+F328</f>
        <v/>
      </c>
      <c r="H328">
        <f>H327+$D$6*F328</f>
        <v/>
      </c>
      <c r="I328">
        <f>MAX(I327+$D$7*F328+Q328-0.01*G328,0.01*G328)</f>
        <v/>
      </c>
      <c r="J328">
        <f>J327+$D$8*F328+K328-MAX(0,0.02*G328-I327-$D$7*F328-Q328)</f>
        <v/>
      </c>
      <c r="K328">
        <f>($D$9/12)*J327</f>
        <v/>
      </c>
      <c r="L328">
        <f>IF(G328=0,0,J328/(G328*$D$12))</f>
        <v/>
      </c>
      <c r="M328">
        <f>MIN(0.06,MAX(0.01,IF(G328=0,0,I328/G328)))</f>
        <v/>
      </c>
      <c r="N328">
        <f>INDEX($G$6:$G$30,MIN(INT((A328-1)/12)+1,25))</f>
        <v/>
      </c>
      <c r="O328">
        <f>G328*$D$12</f>
        <v/>
      </c>
      <c r="P328">
        <f>M328*G328</f>
        <v/>
      </c>
      <c r="Q328">
        <f>($D$16/12)*I327</f>
        <v/>
      </c>
    </row>
    <row r="329">
      <c r="A329" t="n">
        <v>297</v>
      </c>
      <c r="B329">
        <f>CEILING(0.0101*G328/$D$5,1)</f>
        <v/>
      </c>
      <c r="C329">
        <f>MAX(0,MIN(MAX(0,FLOOR($D$15*D328*MAX(0,1-D328/(($D$10+SUM($N$33:N328))/$D$5)),1)),IF(A329&gt;=$D$14,IF(AND(D328&gt;0,F328&gt;0),INT(K328*D328/F328),0),1000000000),MIN(IF($D$11&gt;G328,INT(($D$11-G328)/$D$5),0)-D328,MAX(B329,INT(($D$10+SUM($N$33:N328))/$D$5)-D328))))</f>
        <v/>
      </c>
      <c r="D329">
        <f>D328+C329</f>
        <v/>
      </c>
      <c r="E329">
        <f>$D$5</f>
        <v/>
      </c>
      <c r="F329">
        <f>IF(G328&gt;=$D$11,0,MIN(D329*E329,$D$11-G328))</f>
        <v/>
      </c>
      <c r="G329">
        <f>G328+F329</f>
        <v/>
      </c>
      <c r="H329">
        <f>H328+$D$6*F329</f>
        <v/>
      </c>
      <c r="I329">
        <f>MAX(I328+$D$7*F329+Q329-0.01*G329,0.01*G329)</f>
        <v/>
      </c>
      <c r="J329">
        <f>J328+$D$8*F329+K329-MAX(0,0.02*G329-I328-$D$7*F329-Q329)</f>
        <v/>
      </c>
      <c r="K329">
        <f>($D$9/12)*J328</f>
        <v/>
      </c>
      <c r="L329">
        <f>IF(G329=0,0,J329/(G329*$D$12))</f>
        <v/>
      </c>
      <c r="M329">
        <f>MIN(0.06,MAX(0.01,IF(G329=0,0,I329/G329)))</f>
        <v/>
      </c>
      <c r="N329">
        <f>INDEX($G$6:$G$30,MIN(INT((A329-1)/12)+1,25))</f>
        <v/>
      </c>
      <c r="O329">
        <f>G329*$D$12</f>
        <v/>
      </c>
      <c r="P329">
        <f>M329*G329</f>
        <v/>
      </c>
      <c r="Q329">
        <f>($D$16/12)*I328</f>
        <v/>
      </c>
    </row>
    <row r="330">
      <c r="A330" t="n">
        <v>298</v>
      </c>
      <c r="B330">
        <f>CEILING(0.0101*G329/$D$5,1)</f>
        <v/>
      </c>
      <c r="C330">
        <f>MAX(0,MIN(MAX(0,FLOOR($D$15*D329*MAX(0,1-D329/(($D$10+SUM($N$33:N329))/$D$5)),1)),IF(A330&gt;=$D$14,IF(AND(D329&gt;0,F329&gt;0),INT(K329*D329/F329),0),1000000000),MIN(IF($D$11&gt;G329,INT(($D$11-G329)/$D$5),0)-D329,MAX(B330,INT(($D$10+SUM($N$33:N329))/$D$5)-D329))))</f>
        <v/>
      </c>
      <c r="D330">
        <f>D329+C330</f>
        <v/>
      </c>
      <c r="E330">
        <f>$D$5</f>
        <v/>
      </c>
      <c r="F330">
        <f>IF(G329&gt;=$D$11,0,MIN(D330*E330,$D$11-G329))</f>
        <v/>
      </c>
      <c r="G330">
        <f>G329+F330</f>
        <v/>
      </c>
      <c r="H330">
        <f>H329+$D$6*F330</f>
        <v/>
      </c>
      <c r="I330">
        <f>MAX(I329+$D$7*F330+Q330-0.01*G330,0.01*G330)</f>
        <v/>
      </c>
      <c r="J330">
        <f>J329+$D$8*F330+K330-MAX(0,0.02*G330-I329-$D$7*F330-Q330)</f>
        <v/>
      </c>
      <c r="K330">
        <f>($D$9/12)*J329</f>
        <v/>
      </c>
      <c r="L330">
        <f>IF(G330=0,0,J330/(G330*$D$12))</f>
        <v/>
      </c>
      <c r="M330">
        <f>MIN(0.06,MAX(0.01,IF(G330=0,0,I330/G330)))</f>
        <v/>
      </c>
      <c r="N330">
        <f>INDEX($G$6:$G$30,MIN(INT((A330-1)/12)+1,25))</f>
        <v/>
      </c>
      <c r="O330">
        <f>G330*$D$12</f>
        <v/>
      </c>
      <c r="P330">
        <f>M330*G330</f>
        <v/>
      </c>
      <c r="Q330">
        <f>($D$16/12)*I329</f>
        <v/>
      </c>
    </row>
    <row r="331">
      <c r="A331" t="n">
        <v>299</v>
      </c>
      <c r="B331">
        <f>CEILING(0.0101*G330/$D$5,1)</f>
        <v/>
      </c>
      <c r="C331">
        <f>MAX(0,MIN(MAX(0,FLOOR($D$15*D330*MAX(0,1-D330/(($D$10+SUM($N$33:N330))/$D$5)),1)),IF(A331&gt;=$D$14,IF(AND(D330&gt;0,F330&gt;0),INT(K330*D330/F330),0),1000000000),MIN(IF($D$11&gt;G330,INT(($D$11-G330)/$D$5),0)-D330,MAX(B331,INT(($D$10+SUM($N$33:N330))/$D$5)-D330))))</f>
        <v/>
      </c>
      <c r="D331">
        <f>D330+C331</f>
        <v/>
      </c>
      <c r="E331">
        <f>$D$5</f>
        <v/>
      </c>
      <c r="F331">
        <f>IF(G330&gt;=$D$11,0,MIN(D331*E331,$D$11-G330))</f>
        <v/>
      </c>
      <c r="G331">
        <f>G330+F331</f>
        <v/>
      </c>
      <c r="H331">
        <f>H330+$D$6*F331</f>
        <v/>
      </c>
      <c r="I331">
        <f>MAX(I330+$D$7*F331+Q331-0.01*G331,0.01*G331)</f>
        <v/>
      </c>
      <c r="J331">
        <f>J330+$D$8*F331+K331-MAX(0,0.02*G331-I330-$D$7*F331-Q331)</f>
        <v/>
      </c>
      <c r="K331">
        <f>($D$9/12)*J330</f>
        <v/>
      </c>
      <c r="L331">
        <f>IF(G331=0,0,J331/(G331*$D$12))</f>
        <v/>
      </c>
      <c r="M331">
        <f>MIN(0.06,MAX(0.01,IF(G331=0,0,I331/G331)))</f>
        <v/>
      </c>
      <c r="N331">
        <f>INDEX($G$6:$G$30,MIN(INT((A331-1)/12)+1,25))</f>
        <v/>
      </c>
      <c r="O331">
        <f>G331*$D$12</f>
        <v/>
      </c>
      <c r="P331">
        <f>M331*G331</f>
        <v/>
      </c>
      <c r="Q331">
        <f>($D$16/12)*I330</f>
        <v/>
      </c>
    </row>
    <row r="332">
      <c r="A332" t="n">
        <v>300</v>
      </c>
      <c r="B332">
        <f>CEILING(0.0101*G331/$D$5,1)</f>
        <v/>
      </c>
      <c r="C332">
        <f>MAX(0,MIN(MAX(0,FLOOR($D$15*D331*MAX(0,1-D331/(($D$10+SUM($N$33:N331))/$D$5)),1)),IF(A332&gt;=$D$14,IF(AND(D331&gt;0,F331&gt;0),INT(K331*D331/F331),0),1000000000),MIN(IF($D$11&gt;G331,INT(($D$11-G331)/$D$5),0)-D331,MAX(B332,INT(($D$10+SUM($N$33:N331))/$D$5)-D331))))</f>
        <v/>
      </c>
      <c r="D332">
        <f>D331+C332</f>
        <v/>
      </c>
      <c r="E332">
        <f>$D$5</f>
        <v/>
      </c>
      <c r="F332">
        <f>IF(G331&gt;=$D$11,0,MIN(D332*E332,$D$11-G331))</f>
        <v/>
      </c>
      <c r="G332">
        <f>G331+F332</f>
        <v/>
      </c>
      <c r="H332">
        <f>H331+$D$6*F332</f>
        <v/>
      </c>
      <c r="I332">
        <f>MAX(I331+$D$7*F332+Q332-0.01*G332,0.01*G332)</f>
        <v/>
      </c>
      <c r="J332">
        <f>J331+$D$8*F332+K332-MAX(0,0.02*G332-I331-$D$7*F332-Q332)</f>
        <v/>
      </c>
      <c r="K332">
        <f>($D$9/12)*J331</f>
        <v/>
      </c>
      <c r="L332">
        <f>IF(G332=0,0,J332/(G332*$D$12))</f>
        <v/>
      </c>
      <c r="M332">
        <f>MIN(0.06,MAX(0.01,IF(G332=0,0,I332/G332)))</f>
        <v/>
      </c>
      <c r="N332">
        <f>INDEX($G$6:$G$30,MIN(INT((A332-1)/12)+1,25))</f>
        <v/>
      </c>
      <c r="O332">
        <f>G332*$D$12</f>
        <v/>
      </c>
      <c r="P332">
        <f>M332*G332</f>
        <v/>
      </c>
      <c r="Q332">
        <f>($D$16/12)*I331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2026-04-07T18:28:45Z</dcterms:created>
  <dcterms:modified xsi:type="dcterms:W3CDTF">2026-04-07T19:19:37Z</dcterms:modified>
</cp:coreProperties>
</file>