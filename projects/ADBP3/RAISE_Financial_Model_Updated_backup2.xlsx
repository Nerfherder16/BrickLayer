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aise Financial Model" sheetId="1" state="visible" r:id="rId1"/>
    <sheet name="Wind-Down Summary" sheetId="2" state="visible" r:id="rId2"/>
    <sheet name="Phase 2 - Accumulation" sheetId="3" state="visible" r:id="rId3"/>
    <sheet name="Phase 3 - Wind-Down" sheetId="4" state="visible" r:id="rId4"/>
    <sheet name="L35 Gate — Year Summary" sheetId="5" state="visible" r:id="rId5"/>
    <sheet name="L35 Gate — Monthly Detail" sheetId="6" state="visible" r:id="rId6"/>
    <sheet name="L Strategy Comparison" sheetId="7" state="visible" r:id="rId7"/>
    <sheet name="Interest Rate Scenarios" sheetId="8" state="visible" r:id="rId8"/>
    <sheet name="9% Scenario — Monthly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\$#,##0"/>
    <numFmt numFmtId="165" formatCode="_(&quot;$&quot;* #,##0.0000_);_(&quot;$&quot;* \(#,##0.0000\);_(&quot;$&quot;* &quot;-&quot;??_);_(@_)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  <numFmt numFmtId="168" formatCode="\$#,##0.00,,&quot;B&quot;"/>
    <numFmt numFmtId="169" formatCode="\$#,##0.0,&quot;M&quot;"/>
    <numFmt numFmtId="170" formatCode="\+0.0%;\-0.0%;0.0%"/>
    <numFmt numFmtId="171" formatCode="0.0%"/>
    <numFmt numFmtId="172" formatCode="\$#,##0.0"/>
    <numFmt numFmtId="173" formatCode="_(* #,##0_);_(* \(#,##0\);_(* &quot;-&quot;??_);_(@_)"/>
    <numFmt numFmtId="174" formatCode="\$#,##0.00"/>
  </numFmts>
  <fonts count="2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  <u val="single"/>
    </font>
    <font>
      <name val="Calibri"/>
      <b val="1"/>
      <sz val="10"/>
    </font>
    <font>
      <name val="Calibri"/>
      <b val="1"/>
      <sz val="11"/>
    </font>
    <font>
      <name val="Calibri"/>
      <b val="1"/>
      <color rgb="FFFFFFFF"/>
      <sz val="10"/>
    </font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1F3864"/>
      <sz val="14"/>
    </font>
    <font>
      <name val="Calibri"/>
      <i val="1"/>
      <color rgb="FF595959"/>
      <sz val="10"/>
    </font>
    <font>
      <name val="Calibri"/>
      <b val="1"/>
      <color rgb="FF1F3864"/>
      <sz val="11"/>
    </font>
    <font>
      <name val="Calibri"/>
      <b val="1"/>
      <color rgb="FFFFFFFF"/>
      <sz val="10"/>
    </font>
    <font>
      <name val="Calibri"/>
      <i val="1"/>
      <sz val="9"/>
    </font>
    <font>
      <name val="Calibri"/>
      <b val="1"/>
      <color rgb="FF1F3864"/>
      <sz val="13"/>
    </font>
    <font>
      <name val="Calibri"/>
      <i val="1"/>
      <color rgb="FF595959"/>
      <sz val="9"/>
    </font>
    <font>
      <name val="Calibri"/>
      <b val="1"/>
      <color rgb="FF375623"/>
      <sz val="11"/>
    </font>
    <font>
      <name val="Calibri"/>
      <b val="1"/>
      <sz val="9"/>
    </font>
    <font>
      <name val="Calibri"/>
      <b val="1"/>
      <color rgb="FFC00000"/>
      <sz val="11"/>
    </font>
    <font>
      <name val="Calibri"/>
      <b val="1"/>
      <color rgb="FF1F3864"/>
      <sz val="12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i val="1"/>
      <sz val="11"/>
    </font>
    <font>
      <name val="Calibri"/>
      <i val="1"/>
      <color rgb="FF808080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</fonts>
  <fills count="26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548235"/>
        <bgColor rgb="FF548235"/>
      </patternFill>
    </fill>
    <fill>
      <patternFill patternType="solid">
        <fgColor rgb="FF4472C4"/>
        <bgColor rgb="FF4472C4"/>
      </patternFill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4E1F4"/>
      </patternFill>
    </fill>
    <fill>
      <patternFill patternType="solid">
        <fgColor rgb="FF2E75B6"/>
      </patternFill>
    </fill>
    <fill>
      <patternFill patternType="solid">
        <fgColor rgb="FFF2F7FF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92D050"/>
      </patternFill>
    </fill>
    <fill>
      <patternFill patternType="solid">
        <fgColor rgb="FFFFE0E0"/>
      </patternFill>
    </fill>
    <fill>
      <patternFill patternType="solid">
        <fgColor rgb="FFC00000"/>
      </patternFill>
    </fill>
    <fill>
      <patternFill patternType="solid">
        <fgColor rgb="FF375623"/>
      </patternFill>
    </fill>
    <fill>
      <patternFill patternType="solid">
        <fgColor rgb="FFDEEAF1"/>
      </patternFill>
    </fill>
    <fill>
      <patternFill patternType="solid">
        <fgColor rgb="FF1F4E79"/>
      </patternFill>
    </fill>
    <fill>
      <patternFill patternType="solid">
        <fgColor rgb="FF595959"/>
      </patternFill>
    </fill>
    <fill>
      <patternFill patternType="solid">
        <fgColor rgb="FF404040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0B0B0"/>
      </bottom>
      <diagonal/>
    </border>
  </borders>
  <cellStyleXfs count="3">
    <xf numFmtId="0" fontId="6" fillId="0" borderId="0"/>
    <xf numFmtId="44" fontId="6" fillId="0" borderId="0"/>
    <xf numFmtId="43" fontId="6" fillId="0" borderId="0"/>
  </cellStyleXfs>
  <cellXfs count="156">
    <xf numFmtId="0" fontId="0" fillId="0" borderId="0" pivotButton="0" quotePrefix="0" xfId="0"/>
    <xf numFmtId="0" fontId="2" fillId="0" borderId="0" pivotButton="0" quotePrefix="0" xfId="0"/>
    <xf numFmtId="3" fontId="4" fillId="2" borderId="1" pivotButton="0" quotePrefix="0" xfId="0"/>
    <xf numFmtId="0" fontId="5" fillId="3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0" fontId="4" fillId="2" borderId="1" pivotButton="0" quotePrefix="0" xfId="0"/>
    <xf numFmtId="0" fontId="5" fillId="4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5" fillId="4" borderId="0" applyAlignment="1" pivotButton="0" quotePrefix="0" xfId="0">
      <alignment horizontal="center" wrapText="1"/>
    </xf>
    <xf numFmtId="165" fontId="0" fillId="0" borderId="0" pivotButton="0" quotePrefix="0" xfId="1"/>
    <xf numFmtId="166" fontId="0" fillId="0" borderId="0" pivotButton="0" quotePrefix="0" xfId="0"/>
    <xf numFmtId="167" fontId="0" fillId="0" borderId="0" pivotButton="0" quotePrefix="0" xfId="1"/>
    <xf numFmtId="0" fontId="7" fillId="0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5" borderId="0" applyAlignment="1" pivotButton="0" quotePrefix="0" xfId="0">
      <alignment horizontal="center" wrapText="1"/>
    </xf>
    <xf numFmtId="0" fontId="7" fillId="0" borderId="0" pivotButton="0" quotePrefix="0" xfId="0"/>
    <xf numFmtId="168" fontId="0" fillId="0" borderId="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  <xf numFmtId="0" fontId="0" fillId="6" borderId="0" applyAlignment="1" pivotButton="0" quotePrefix="0" xfId="0">
      <alignment horizontal="center"/>
    </xf>
    <xf numFmtId="10" fontId="0" fillId="6" borderId="0" applyAlignment="1" pivotButton="0" quotePrefix="0" xfId="0">
      <alignment horizontal="right"/>
    </xf>
    <xf numFmtId="168" fontId="0" fillId="6" borderId="0" applyAlignment="1" pivotButton="0" quotePrefix="0" xfId="0">
      <alignment horizontal="right"/>
    </xf>
    <xf numFmtId="169" fontId="0" fillId="6" borderId="0" applyAlignment="1" pivotButton="0" quotePrefix="0" xfId="0">
      <alignment horizontal="right"/>
    </xf>
    <xf numFmtId="0" fontId="0" fillId="7" borderId="0" applyAlignment="1" pivotButton="0" quotePrefix="0" xfId="0">
      <alignment horizontal="center"/>
    </xf>
    <xf numFmtId="10" fontId="0" fillId="7" borderId="0" applyAlignment="1" pivotButton="0" quotePrefix="0" xfId="0">
      <alignment horizontal="right"/>
    </xf>
    <xf numFmtId="168" fontId="0" fillId="7" borderId="0" applyAlignment="1" pivotButton="0" quotePrefix="0" xfId="0">
      <alignment horizontal="right"/>
    </xf>
    <xf numFmtId="169" fontId="0" fillId="7" borderId="0" applyAlignment="1" pivotButton="0" quotePrefix="0" xfId="0">
      <alignment horizontal="right"/>
    </xf>
    <xf numFmtId="0" fontId="0" fillId="8" borderId="0" applyAlignment="1" pivotButton="0" quotePrefix="0" xfId="0">
      <alignment horizontal="center"/>
    </xf>
    <xf numFmtId="10" fontId="0" fillId="8" borderId="0" applyAlignment="1" pivotButton="0" quotePrefix="0" xfId="0">
      <alignment horizontal="right"/>
    </xf>
    <xf numFmtId="168" fontId="0" fillId="8" borderId="0" applyAlignment="1" pivotButton="0" quotePrefix="0" xfId="0">
      <alignment horizontal="right"/>
    </xf>
    <xf numFmtId="169" fontId="0" fillId="8" borderId="0" applyAlignment="1" pivotButton="0" quotePrefix="0" xfId="0">
      <alignment horizontal="right"/>
    </xf>
    <xf numFmtId="0" fontId="0" fillId="9" borderId="0" applyAlignment="1" pivotButton="0" quotePrefix="0" xfId="0">
      <alignment horizontal="center"/>
    </xf>
    <xf numFmtId="10" fontId="0" fillId="9" borderId="0" applyAlignment="1" pivotButton="0" quotePrefix="0" xfId="0">
      <alignment horizontal="right"/>
    </xf>
    <xf numFmtId="168" fontId="0" fillId="9" borderId="0" applyAlignment="1" pivotButton="0" quotePrefix="0" xfId="0">
      <alignment horizontal="right"/>
    </xf>
    <xf numFmtId="169" fontId="0" fillId="9" borderId="0" applyAlignment="1" pivotButton="0" quotePrefix="0" xfId="0">
      <alignment horizontal="right"/>
    </xf>
    <xf numFmtId="0" fontId="0" fillId="10" borderId="0" applyAlignment="1" pivotButton="0" quotePrefix="0" xfId="0">
      <alignment horizontal="center"/>
    </xf>
    <xf numFmtId="10" fontId="0" fillId="10" borderId="0" applyAlignment="1" pivotButton="0" quotePrefix="0" xfId="0">
      <alignment horizontal="right"/>
    </xf>
    <xf numFmtId="168" fontId="0" fillId="10" borderId="0" applyAlignment="1" pivotButton="0" quotePrefix="0" xfId="0">
      <alignment horizontal="right"/>
    </xf>
    <xf numFmtId="169" fontId="0" fillId="10" borderId="0" applyAlignment="1" pivotButton="0" quotePrefix="0" xfId="0">
      <alignment horizontal="right"/>
    </xf>
    <xf numFmtId="0" fontId="12" fillId="0" borderId="0" pivotButton="0" quotePrefix="0" xfId="0"/>
    <xf numFmtId="0" fontId="11" fillId="11" borderId="0" applyAlignment="1" pivotButton="0" quotePrefix="0" xfId="0">
      <alignment horizontal="center" wrapText="1"/>
    </xf>
    <xf numFmtId="0" fontId="0" fillId="12" borderId="0" applyAlignment="1" pivotButton="0" quotePrefix="0" xfId="0">
      <alignment horizontal="center"/>
    </xf>
    <xf numFmtId="168" fontId="0" fillId="12" borderId="0" applyAlignment="1" pivotButton="0" quotePrefix="0" xfId="0">
      <alignment horizontal="right"/>
    </xf>
    <xf numFmtId="10" fontId="0" fillId="12" borderId="0" applyAlignment="1" pivotButton="0" quotePrefix="0" xfId="0">
      <alignment horizontal="right"/>
    </xf>
    <xf numFmtId="0" fontId="0" fillId="12" borderId="0" pivotButton="0" quotePrefix="0" xfId="0"/>
    <xf numFmtId="10" fontId="15" fillId="8" borderId="0" applyAlignment="1" pivotButton="0" quotePrefix="0" xfId="0">
      <alignment horizontal="right"/>
    </xf>
    <xf numFmtId="0" fontId="15" fillId="8" borderId="0" pivotButton="0" quotePrefix="0" xfId="0"/>
    <xf numFmtId="0" fontId="16" fillId="13" borderId="0" applyAlignment="1" pivotButton="0" quotePrefix="0" xfId="0">
      <alignment horizontal="center"/>
    </xf>
    <xf numFmtId="0" fontId="16" fillId="13" borderId="0" applyAlignment="1" pivotButton="0" quotePrefix="0" xfId="0">
      <alignment horizontal="center" wrapText="1"/>
    </xf>
    <xf numFmtId="168" fontId="7" fillId="9" borderId="0" applyAlignment="1" pivotButton="0" quotePrefix="0" xfId="0">
      <alignment horizontal="right"/>
    </xf>
    <xf numFmtId="10" fontId="7" fillId="9" borderId="0" applyAlignment="1" pivotButton="0" quotePrefix="0" xfId="0">
      <alignment horizontal="right"/>
    </xf>
    <xf numFmtId="169" fontId="7" fillId="9" borderId="0" applyAlignment="1" pivotButton="0" quotePrefix="0" xfId="0">
      <alignment horizontal="right"/>
    </xf>
    <xf numFmtId="0" fontId="7" fillId="9" borderId="0" applyAlignment="1" pivotButton="0" quotePrefix="0" xfId="0">
      <alignment horizontal="center"/>
    </xf>
    <xf numFmtId="169" fontId="0" fillId="0" borderId="0" applyAlignment="1" pivotButton="0" quotePrefix="0" xfId="0">
      <alignment horizontal="right"/>
    </xf>
    <xf numFmtId="169" fontId="0" fillId="12" borderId="0" applyAlignment="1" pivotButton="0" quotePrefix="0" xfId="0">
      <alignment horizontal="right"/>
    </xf>
    <xf numFmtId="168" fontId="0" fillId="14" borderId="0" applyAlignment="1" pivotButton="0" quotePrefix="0" xfId="0">
      <alignment horizontal="right"/>
    </xf>
    <xf numFmtId="10" fontId="0" fillId="14" borderId="0" applyAlignment="1" pivotButton="0" quotePrefix="0" xfId="0">
      <alignment horizontal="right"/>
    </xf>
    <xf numFmtId="169" fontId="0" fillId="14" borderId="0" applyAlignment="1" pivotButton="0" quotePrefix="0" xfId="0">
      <alignment horizontal="right"/>
    </xf>
    <xf numFmtId="0" fontId="0" fillId="14" borderId="0" applyAlignment="1" pivotButton="0" quotePrefix="0" xfId="0">
      <alignment horizontal="center"/>
    </xf>
    <xf numFmtId="168" fontId="15" fillId="15" borderId="0" applyAlignment="1" pivotButton="0" quotePrefix="0" xfId="0">
      <alignment horizontal="right"/>
    </xf>
    <xf numFmtId="10" fontId="15" fillId="15" borderId="0" applyAlignment="1" pivotButton="0" quotePrefix="0" xfId="0">
      <alignment horizontal="right"/>
    </xf>
    <xf numFmtId="169" fontId="15" fillId="15" borderId="0" applyAlignment="1" pivotButton="0" quotePrefix="0" xfId="0">
      <alignment horizontal="right"/>
    </xf>
    <xf numFmtId="0" fontId="15" fillId="15" borderId="0" applyAlignment="1" pivotButton="0" quotePrefix="0" xfId="0">
      <alignment horizontal="center"/>
    </xf>
    <xf numFmtId="10" fontId="15" fillId="12" borderId="0" applyAlignment="1" pivotButton="0" quotePrefix="0" xfId="0">
      <alignment horizontal="right"/>
    </xf>
    <xf numFmtId="3" fontId="0" fillId="12" borderId="0" applyAlignment="1" pivotButton="0" quotePrefix="0" xfId="0">
      <alignment horizontal="right"/>
    </xf>
    <xf numFmtId="3" fontId="0" fillId="9" borderId="0" applyAlignment="1" pivotButton="0" quotePrefix="0" xfId="0">
      <alignment horizontal="right"/>
    </xf>
    <xf numFmtId="3" fontId="17" fillId="16" borderId="0" applyAlignment="1" pivotButton="0" quotePrefix="0" xfId="0">
      <alignment horizontal="right"/>
    </xf>
    <xf numFmtId="10" fontId="15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10" fontId="17" fillId="12" borderId="0" applyAlignment="1" pivotButton="0" quotePrefix="0" xfId="0">
      <alignment horizontal="right"/>
    </xf>
    <xf numFmtId="10" fontId="17" fillId="0" borderId="0" applyAlignment="1" pivotButton="0" quotePrefix="0" xfId="0">
      <alignment horizontal="right"/>
    </xf>
    <xf numFmtId="10" fontId="17" fillId="16" borderId="0" applyAlignment="1" pivotButton="0" quotePrefix="0" xfId="0">
      <alignment horizontal="right"/>
    </xf>
    <xf numFmtId="0" fontId="0" fillId="5" borderId="0" pivotButton="0" quotePrefix="0" xfId="0"/>
    <xf numFmtId="10" fontId="7" fillId="12" borderId="0" applyAlignment="1" pivotButton="0" quotePrefix="0" xfId="0">
      <alignment horizontal="right"/>
    </xf>
    <xf numFmtId="3" fontId="0" fillId="16" borderId="0" applyAlignment="1" pivotButton="0" quotePrefix="0" xfId="0">
      <alignment horizontal="right"/>
    </xf>
    <xf numFmtId="3" fontId="0" fillId="19" borderId="0" applyAlignment="1" pivotButton="0" quotePrefix="0" xfId="0">
      <alignment horizontal="right"/>
    </xf>
    <xf numFmtId="170" fontId="0" fillId="8" borderId="0" applyAlignment="1" pivotButton="0" quotePrefix="0" xfId="0">
      <alignment horizontal="right"/>
    </xf>
    <xf numFmtId="10" fontId="7" fillId="0" borderId="0" applyAlignment="1" pivotButton="0" quotePrefix="0" xfId="0">
      <alignment horizontal="right"/>
    </xf>
    <xf numFmtId="10" fontId="0" fillId="16" borderId="0" applyAlignment="1" pivotButton="0" quotePrefix="0" xfId="0">
      <alignment horizontal="right"/>
    </xf>
    <xf numFmtId="170" fontId="0" fillId="9" borderId="0" applyAlignment="1" pivotButton="0" quotePrefix="0" xfId="0">
      <alignment horizontal="right"/>
    </xf>
    <xf numFmtId="170" fontId="0" fillId="16" borderId="0" applyAlignment="1" pivotButton="0" quotePrefix="0" xfId="0">
      <alignment horizontal="right"/>
    </xf>
    <xf numFmtId="0" fontId="11" fillId="22" borderId="0" applyAlignment="1" pivotButton="0" quotePrefix="0" xfId="0">
      <alignment horizontal="center" vertical="center" wrapText="1"/>
    </xf>
    <xf numFmtId="0" fontId="11" fillId="21" borderId="0" applyAlignment="1" pivotButton="0" quotePrefix="0" xfId="0">
      <alignment horizontal="center" vertical="center" wrapText="1"/>
    </xf>
    <xf numFmtId="0" fontId="11" fillId="11" borderId="0" applyAlignment="1" pivotButton="0" quotePrefix="0" xfId="0">
      <alignment horizontal="center" vertical="center" wrapText="1"/>
    </xf>
    <xf numFmtId="0" fontId="11" fillId="18" borderId="0" applyAlignment="1" pivotButton="0" quotePrefix="0" xfId="0">
      <alignment horizontal="center" vertical="center" wrapText="1"/>
    </xf>
    <xf numFmtId="0" fontId="21" fillId="0" borderId="0" pivotButton="0" quotePrefix="0" xfId="0"/>
    <xf numFmtId="171" fontId="0" fillId="14" borderId="0" applyAlignment="1" pivotButton="0" quotePrefix="0" xfId="0">
      <alignment horizontal="center"/>
    </xf>
    <xf numFmtId="172" fontId="0" fillId="0" borderId="0" applyAlignment="1" pivotButton="0" quotePrefix="0" xfId="0">
      <alignment horizontal="right"/>
    </xf>
    <xf numFmtId="171" fontId="0" fillId="23" borderId="0" applyAlignment="1" pivotButton="0" quotePrefix="0" xfId="0">
      <alignment horizontal="center"/>
    </xf>
    <xf numFmtId="171" fontId="0" fillId="24" borderId="0" applyAlignment="1" pivotButton="0" quotePrefix="0" xfId="0">
      <alignment horizontal="center"/>
    </xf>
    <xf numFmtId="0" fontId="22" fillId="0" borderId="0" pivotButton="0" quotePrefix="0" xfId="0"/>
    <xf numFmtId="0" fontId="11" fillId="2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right"/>
    </xf>
    <xf numFmtId="173" fontId="6" fillId="0" borderId="0" pivotButton="0" quotePrefix="0" xfId="2"/>
    <xf numFmtId="1" fontId="0" fillId="2" borderId="0" applyAlignment="1" pivotButton="0" quotePrefix="0" xfId="0">
      <alignment horizontal="center"/>
    </xf>
    <xf numFmtId="174" fontId="0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4" fillId="0" borderId="0" pivotButton="0" quotePrefix="0" xfId="0"/>
    <xf numFmtId="0" fontId="13" fillId="0" borderId="0" pivotButton="0" quotePrefix="0" xfId="0"/>
    <xf numFmtId="0" fontId="11" fillId="11" borderId="0" applyAlignment="1" pivotButton="0" quotePrefix="0" xfId="0">
      <alignment horizontal="center" wrapText="1"/>
    </xf>
    <xf numFmtId="0" fontId="12" fillId="0" borderId="0" pivotButton="0" quotePrefix="0" xfId="0"/>
    <xf numFmtId="0" fontId="10" fillId="0" borderId="0" pivotButton="0" quotePrefix="0" xfId="0"/>
    <xf numFmtId="0" fontId="18" fillId="0" borderId="0" pivotButton="0" quotePrefix="0" xfId="0"/>
    <xf numFmtId="0" fontId="7" fillId="0" borderId="0" pivotButton="0" quotePrefix="0" xfId="0"/>
    <xf numFmtId="0" fontId="11" fillId="17" borderId="0" applyAlignment="1" pivotButton="0" quotePrefix="0" xfId="0">
      <alignment horizontal="center" wrapText="1"/>
    </xf>
    <xf numFmtId="0" fontId="11" fillId="18" borderId="0" applyAlignment="1" pivotButton="0" quotePrefix="0" xfId="0">
      <alignment horizontal="center" wrapText="1"/>
    </xf>
    <xf numFmtId="0" fontId="20" fillId="21" borderId="0" applyAlignment="1" pivotButton="0" quotePrefix="0" xfId="0">
      <alignment horizontal="center"/>
    </xf>
    <xf numFmtId="0" fontId="23" fillId="20" borderId="0" applyAlignment="1" pivotButton="0" quotePrefix="0" xfId="0">
      <alignment horizontal="center"/>
    </xf>
    <xf numFmtId="0" fontId="21" fillId="25" borderId="0" pivotButton="0" quotePrefix="0" xfId="0"/>
    <xf numFmtId="0" fontId="12" fillId="0" borderId="0" applyAlignment="1" pivotButton="0" quotePrefix="0" xfId="0">
      <alignment horizontal="center"/>
    </xf>
    <xf numFmtId="0" fontId="20" fillId="11" borderId="0" applyAlignment="1" pivotButton="0" quotePrefix="0" xfId="0">
      <alignment horizontal="center"/>
    </xf>
    <xf numFmtId="0" fontId="20" fillId="18" borderId="0" applyAlignment="1" pivotButton="0" quotePrefix="0" xfId="0">
      <alignment horizontal="center"/>
    </xf>
    <xf numFmtId="0" fontId="19" fillId="20" borderId="0" applyAlignment="1" pivotButton="0" quotePrefix="0" xfId="0">
      <alignment horizontal="center" vertical="center"/>
    </xf>
    <xf numFmtId="0" fontId="24" fillId="11" borderId="0" applyAlignment="1" pivotButton="0" quotePrefix="0" xfId="0">
      <alignment horizontal="center" vertical="center"/>
    </xf>
    <xf numFmtId="174" fontId="0" fillId="0" borderId="0" pivotButton="0" quotePrefix="0" xfId="0"/>
    <xf numFmtId="167" fontId="0" fillId="0" borderId="0" pivotButton="0" quotePrefix="0" xfId="1"/>
    <xf numFmtId="166" fontId="0" fillId="0" borderId="0" pivotButton="0" quotePrefix="0" xfId="0"/>
    <xf numFmtId="168" fontId="0" fillId="0" borderId="0" applyAlignment="1" pivotButton="0" quotePrefix="0" xfId="0">
      <alignment horizontal="right"/>
    </xf>
    <xf numFmtId="168" fontId="0" fillId="6" borderId="0" applyAlignment="1" pivotButton="0" quotePrefix="0" xfId="0">
      <alignment horizontal="right"/>
    </xf>
    <xf numFmtId="169" fontId="0" fillId="6" borderId="0" applyAlignment="1" pivotButton="0" quotePrefix="0" xfId="0">
      <alignment horizontal="right"/>
    </xf>
    <xf numFmtId="168" fontId="0" fillId="7" borderId="0" applyAlignment="1" pivotButton="0" quotePrefix="0" xfId="0">
      <alignment horizontal="right"/>
    </xf>
    <xf numFmtId="169" fontId="0" fillId="7" borderId="0" applyAlignment="1" pivotButton="0" quotePrefix="0" xfId="0">
      <alignment horizontal="right"/>
    </xf>
    <xf numFmtId="168" fontId="0" fillId="8" borderId="0" applyAlignment="1" pivotButton="0" quotePrefix="0" xfId="0">
      <alignment horizontal="right"/>
    </xf>
    <xf numFmtId="169" fontId="0" fillId="8" borderId="0" applyAlignment="1" pivotButton="0" quotePrefix="0" xfId="0">
      <alignment horizontal="right"/>
    </xf>
    <xf numFmtId="168" fontId="0" fillId="9" borderId="0" applyAlignment="1" pivotButton="0" quotePrefix="0" xfId="0">
      <alignment horizontal="right"/>
    </xf>
    <xf numFmtId="169" fontId="0" fillId="9" borderId="0" applyAlignment="1" pivotButton="0" quotePrefix="0" xfId="0">
      <alignment horizontal="right"/>
    </xf>
    <xf numFmtId="168" fontId="0" fillId="10" borderId="0" applyAlignment="1" pivotButton="0" quotePrefix="0" xfId="0">
      <alignment horizontal="right"/>
    </xf>
    <xf numFmtId="169" fontId="0" fillId="10" borderId="0" applyAlignment="1" pivotButton="0" quotePrefix="0" xfId="0">
      <alignment horizontal="right"/>
    </xf>
    <xf numFmtId="168" fontId="0" fillId="12" borderId="0" applyAlignment="1" pivotButton="0" quotePrefix="0" xfId="0">
      <alignment horizontal="right"/>
    </xf>
    <xf numFmtId="168" fontId="7" fillId="9" borderId="0" applyAlignment="1" pivotButton="0" quotePrefix="0" xfId="0">
      <alignment horizontal="right"/>
    </xf>
    <xf numFmtId="169" fontId="7" fillId="9" borderId="0" applyAlignment="1" pivotButton="0" quotePrefix="0" xfId="0">
      <alignment horizontal="right"/>
    </xf>
    <xf numFmtId="169" fontId="0" fillId="0" borderId="0" applyAlignment="1" pivotButton="0" quotePrefix="0" xfId="0">
      <alignment horizontal="right"/>
    </xf>
    <xf numFmtId="169" fontId="0" fillId="12" borderId="0" applyAlignment="1" pivotButton="0" quotePrefix="0" xfId="0">
      <alignment horizontal="right"/>
    </xf>
    <xf numFmtId="168" fontId="0" fillId="14" borderId="0" applyAlignment="1" pivotButton="0" quotePrefix="0" xfId="0">
      <alignment horizontal="right"/>
    </xf>
    <xf numFmtId="169" fontId="0" fillId="14" borderId="0" applyAlignment="1" pivotButton="0" quotePrefix="0" xfId="0">
      <alignment horizontal="right"/>
    </xf>
    <xf numFmtId="168" fontId="15" fillId="15" borderId="0" applyAlignment="1" pivotButton="0" quotePrefix="0" xfId="0">
      <alignment horizontal="right"/>
    </xf>
    <xf numFmtId="169" fontId="15" fillId="15" borderId="0" applyAlignment="1" pivotButton="0" quotePrefix="0" xfId="0">
      <alignment horizontal="right"/>
    </xf>
    <xf numFmtId="170" fontId="0" fillId="8" borderId="0" applyAlignment="1" pivotButton="0" quotePrefix="0" xfId="0">
      <alignment horizontal="right"/>
    </xf>
    <xf numFmtId="170" fontId="0" fillId="9" borderId="0" applyAlignment="1" pivotButton="0" quotePrefix="0" xfId="0">
      <alignment horizontal="right"/>
    </xf>
    <xf numFmtId="170" fontId="0" fillId="16" borderId="0" applyAlignment="1" pivotButton="0" quotePrefix="0" xfId="0">
      <alignment horizontal="right"/>
    </xf>
    <xf numFmtId="171" fontId="0" fillId="14" borderId="0" applyAlignment="1" pivotButton="0" quotePrefix="0" xfId="0">
      <alignment horizontal="center"/>
    </xf>
    <xf numFmtId="172" fontId="0" fillId="0" borderId="0" applyAlignment="1" pivotButton="0" quotePrefix="0" xfId="0">
      <alignment horizontal="right"/>
    </xf>
    <xf numFmtId="171" fontId="0" fillId="23" borderId="0" applyAlignment="1" pivotButton="0" quotePrefix="0" xfId="0">
      <alignment horizontal="center"/>
    </xf>
    <xf numFmtId="171" fontId="0" fillId="24" borderId="0" applyAlignment="1" pivotButton="0" quotePrefix="0" xfId="0">
      <alignment horizontal="center"/>
    </xf>
    <xf numFmtId="173" fontId="6" fillId="0" borderId="0" pivotButton="0" quotePrefix="0" xfId="2"/>
  </cellXfs>
  <cellStyles count="3">
    <cellStyle name="Normal" xfId="0" builtinId="0"/>
    <cellStyle name="Currency" xfId="1" builtinId="4"/>
    <cellStyle name="Comma" xfId="2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2"/>
  <sheetViews>
    <sheetView tabSelected="1" zoomScale="90" zoomScaleNormal="90" workbookViewId="0">
      <pane ySplit="1" topLeftCell="A107" activePane="bottomLeft" state="frozen"/>
      <selection pane="bottomLeft" activeCell="D123" sqref="D123"/>
    </sheetView>
  </sheetViews>
  <sheetFormatPr baseColWidth="8" defaultRowHeight="15"/>
  <cols>
    <col width="8" customWidth="1" style="103" min="1" max="1"/>
    <col width="14" customWidth="1" style="103" min="2" max="2"/>
    <col width="15" customWidth="1" style="103" min="3" max="3"/>
    <col width="16.28515625" customWidth="1" style="103" min="4" max="4"/>
    <col width="14" customWidth="1" style="103" min="5" max="5"/>
    <col width="17" customWidth="1" style="103" min="6" max="6"/>
    <col width="22.7109375" customWidth="1" style="103" min="7" max="7"/>
    <col width="18.7109375" bestFit="1" customWidth="1" style="103" min="8" max="8"/>
    <col width="17" customWidth="1" style="103" min="9" max="9"/>
    <col width="20" bestFit="1" customWidth="1" style="103" min="10" max="10"/>
    <col width="17.5703125" bestFit="1" customWidth="1" style="103" min="11" max="11"/>
    <col width="15" customWidth="1" style="103" min="12" max="12"/>
    <col width="15" customWidth="1" style="105" min="13" max="13"/>
    <col hidden="1" width="13" customWidth="1" style="103" min="14" max="14"/>
    <col width="21.28515625" bestFit="1" customWidth="1" style="103" min="15" max="15"/>
    <col width="15" bestFit="1" customWidth="1" style="103" min="17" max="17"/>
    <col width="20.140625" bestFit="1" customWidth="1" style="103" min="18" max="19"/>
  </cols>
  <sheetData>
    <row r="1" ht="26.25" customHeight="1" s="103">
      <c r="A1" s="6" t="inlineStr">
        <is>
          <t>Month</t>
        </is>
      </c>
      <c r="B1" s="6" t="inlineStr">
        <is>
          <t>L-Growth Floor
(employees/mo)</t>
        </is>
      </c>
      <c r="C1" s="6" t="inlineStr">
        <is>
          <t>New Employees
Added</t>
        </is>
      </c>
      <c r="D1" s="6" t="inlineStr">
        <is>
          <t>Cumulative
Employees</t>
        </is>
      </c>
      <c r="E1" s="6" t="inlineStr">
        <is>
          <t>Credits per
Employee</t>
        </is>
      </c>
      <c r="F1" s="6" t="inlineStr">
        <is>
          <t>Credits Minted
(Month)</t>
        </is>
      </c>
      <c r="G1" s="6" t="inlineStr">
        <is>
          <t>Total System
Credits</t>
        </is>
      </c>
      <c r="H1" s="6" t="inlineStr">
        <is>
          <t>Treasury
Wallet ($)</t>
        </is>
      </c>
      <c r="I1" s="6" t="inlineStr">
        <is>
          <t>Admin Wallet
($)</t>
        </is>
      </c>
      <c r="J1" s="6" t="inlineStr">
        <is>
          <t>Escrow
Wallet ($)</t>
        </is>
      </c>
      <c r="K1" s="6" t="inlineStr">
        <is>
          <t>Interest
Earned ($)</t>
        </is>
      </c>
      <c r="L1" s="6" t="inlineStr">
        <is>
          <t>Cash / Credit
Reserve</t>
        </is>
      </c>
      <c r="M1" s="12" t="inlineStr">
        <is>
          <t>Admin Profit per credit accepted</t>
        </is>
      </c>
      <c r="N1" s="17" t="inlineStr">
        <is>
          <t>Capacity
Growth</t>
        </is>
      </c>
      <c r="O1" s="6" t="inlineStr">
        <is>
          <t>Total Liability ($)</t>
        </is>
      </c>
      <c r="P1" s="16" t="inlineStr">
        <is>
          <t>Escrow→Admin
Transfer ($)</t>
        </is>
      </c>
    </row>
    <row r="2" ht="18.75" customHeight="1" s="103">
      <c r="A2" s="104" t="inlineStr">
        <is>
          <t>Raise | Financial Model</t>
        </is>
      </c>
    </row>
    <row r="4">
      <c r="A4" s="102" t="inlineStr">
        <is>
          <t>EDITABLE ASSUMPTIONS</t>
        </is>
      </c>
      <c r="F4" s="102" t="inlineStr">
        <is>
          <t>CAPACITY GROWTH PER MONTH (by year)</t>
        </is>
      </c>
    </row>
    <row r="5">
      <c r="A5" s="100" t="inlineStr">
        <is>
          <t>Credits per Employee / Month (max 3,000)</t>
        </is>
      </c>
      <c r="B5" s="101" t="n"/>
      <c r="C5" s="101" t="n"/>
      <c r="D5" s="2" t="n">
        <v>3000</v>
      </c>
      <c r="F5" s="3" t="inlineStr">
        <is>
          <t>Year</t>
        </is>
      </c>
      <c r="G5" s="3" t="inlineStr">
        <is>
          <t>Monthly Growth</t>
        </is>
      </c>
    </row>
    <row r="6">
      <c r="A6" s="100" t="inlineStr">
        <is>
          <t>Treasury Allocation ($ per credit)</t>
        </is>
      </c>
      <c r="B6" s="101" t="n"/>
      <c r="C6" s="101" t="n"/>
      <c r="D6" s="125" t="n">
        <v>0</v>
      </c>
      <c r="F6" s="4" t="inlineStr">
        <is>
          <t>Year 1</t>
        </is>
      </c>
      <c r="G6" s="2" t="n">
        <v>1000000</v>
      </c>
    </row>
    <row r="7">
      <c r="A7" s="100" t="inlineStr">
        <is>
          <t>Admin Allocation ($ per credit)</t>
        </is>
      </c>
      <c r="B7" s="101" t="n"/>
      <c r="C7" s="101" t="n"/>
      <c r="D7" s="125" t="n">
        <v>0</v>
      </c>
      <c r="F7" s="4" t="inlineStr">
        <is>
          <t>Year 2</t>
        </is>
      </c>
      <c r="G7" s="2" t="n">
        <v>5000000</v>
      </c>
    </row>
    <row r="8">
      <c r="A8" s="100" t="inlineStr">
        <is>
          <t>Escrow Allocation ($ per credit)</t>
        </is>
      </c>
      <c r="B8" s="101" t="n"/>
      <c r="C8" s="101" t="n"/>
      <c r="D8" s="125" t="n">
        <v>1</v>
      </c>
      <c r="F8" s="4" t="inlineStr">
        <is>
          <t>Year 3</t>
        </is>
      </c>
      <c r="G8" s="2" t="n">
        <v>5000000</v>
      </c>
    </row>
    <row r="9">
      <c r="A9" s="100" t="inlineStr">
        <is>
          <t>Annual Interest Rate (Escrow)</t>
        </is>
      </c>
      <c r="B9" s="101" t="n"/>
      <c r="C9" s="101" t="n"/>
      <c r="D9" s="5" t="n">
        <v>0.04</v>
      </c>
      <c r="F9" s="4" t="inlineStr">
        <is>
          <t>Year 4</t>
        </is>
      </c>
      <c r="G9" s="2" t="n">
        <v>5000000</v>
      </c>
    </row>
    <row r="10">
      <c r="A10" s="100" t="inlineStr">
        <is>
          <t>System Credit Capacity (Month 1)</t>
        </is>
      </c>
      <c r="B10" s="101" t="n"/>
      <c r="C10" s="101" t="n"/>
      <c r="D10" s="2" t="n">
        <v>5000000</v>
      </c>
      <c r="F10" s="4" t="inlineStr">
        <is>
          <t>Year 5</t>
        </is>
      </c>
      <c r="G10" s="2" t="n">
        <v>6000000</v>
      </c>
    </row>
    <row r="11">
      <c r="A11" s="100" t="inlineStr">
        <is>
          <t>System Credit Ceiling (max total credits)</t>
        </is>
      </c>
      <c r="B11" s="101" t="n"/>
      <c r="C11" s="101" t="n"/>
      <c r="D11" s="2" t="n">
        <v>500000000000</v>
      </c>
      <c r="F11" s="4" t="inlineStr">
        <is>
          <t>Year 6</t>
        </is>
      </c>
      <c r="G11" s="2" t="n">
        <v>7000000</v>
      </c>
    </row>
    <row r="12">
      <c r="A12" t="inlineStr">
        <is>
          <t>Value per Credit ($) — Employee Buying Power</t>
        </is>
      </c>
      <c r="B12" t="inlineStr">
        <is>
          <t>Value per Credit ($) — Employee Buying Power</t>
        </is>
      </c>
      <c r="C12" t="inlineStr">
        <is>
          <t>Value per Credit ($) — Employee Buying Power</t>
        </is>
      </c>
      <c r="D12" t="n">
        <v>1.5</v>
      </c>
      <c r="F12" s="4" t="inlineStr">
        <is>
          <t>Year 7</t>
        </is>
      </c>
      <c r="G12" s="2" t="n">
        <v>8000000</v>
      </c>
    </row>
    <row r="13">
      <c r="A13" t="inlineStr">
        <is>
          <t>Price per Credit ($) — Employee Purchase Price</t>
        </is>
      </c>
      <c r="B13" t="inlineStr">
        <is>
          <t>Price per Credit ($) — Employee Purchase Price</t>
        </is>
      </c>
      <c r="C13" t="inlineStr">
        <is>
          <t>Price per Credit ($) — Employee Purchase Price</t>
        </is>
      </c>
      <c r="D13" t="n">
        <v>1</v>
      </c>
      <c r="F13" s="4" t="inlineStr">
        <is>
          <t>Year 8</t>
        </is>
      </c>
      <c r="G13" s="2" t="n">
        <v>10000000</v>
      </c>
    </row>
    <row r="14">
      <c r="A14" t="inlineStr">
        <is>
          <t>Interest Gate Start Month</t>
        </is>
      </c>
      <c r="B14" t="inlineStr">
        <is>
          <t>Interest Gate Start Month</t>
        </is>
      </c>
      <c r="C14" t="inlineStr">
        <is>
          <t>Interest Gate Start Month</t>
        </is>
      </c>
      <c r="D14" t="n">
        <v>25</v>
      </c>
      <c r="F14" s="4" t="inlineStr">
        <is>
          <t>Year 9</t>
        </is>
      </c>
      <c r="G14" s="2" t="n">
        <v>10000000</v>
      </c>
    </row>
    <row r="15">
      <c r="A15" t="inlineStr">
        <is>
          <t>Monthly Logistic Growth Rate</t>
        </is>
      </c>
      <c r="B15" t="inlineStr">
        <is>
          <t>Monthly Logistic Growth Rate</t>
        </is>
      </c>
      <c r="C15" t="inlineStr">
        <is>
          <t>Monthly Logistic Growth Rate</t>
        </is>
      </c>
      <c r="D15" t="n">
        <v>0.05</v>
      </c>
      <c r="F15" s="4" t="inlineStr">
        <is>
          <t>Year 10</t>
        </is>
      </c>
      <c r="G15" s="2" t="n">
        <v>10000000</v>
      </c>
    </row>
    <row r="16">
      <c r="F16" s="4" t="inlineStr">
        <is>
          <t>Year 11</t>
        </is>
      </c>
      <c r="G16" s="2" t="n">
        <v>10000000</v>
      </c>
    </row>
    <row r="17">
      <c r="F17" s="4" t="inlineStr">
        <is>
          <t>Year 12</t>
        </is>
      </c>
      <c r="G17" s="2" t="n">
        <v>10000000</v>
      </c>
    </row>
    <row r="18">
      <c r="F18" s="4" t="inlineStr">
        <is>
          <t>Year 13</t>
        </is>
      </c>
      <c r="G18" s="2" t="n">
        <v>10000000</v>
      </c>
    </row>
    <row r="19">
      <c r="F19" s="4" t="inlineStr">
        <is>
          <t>Year 14</t>
        </is>
      </c>
      <c r="G19" s="2" t="n">
        <v>20000000</v>
      </c>
    </row>
    <row r="20">
      <c r="F20" s="4" t="inlineStr">
        <is>
          <t>Year 15</t>
        </is>
      </c>
      <c r="G20" s="2" t="n">
        <v>20000000</v>
      </c>
    </row>
    <row r="21">
      <c r="F21" s="4" t="inlineStr">
        <is>
          <t>Year 16</t>
        </is>
      </c>
      <c r="G21" s="2" t="n">
        <v>20000000</v>
      </c>
    </row>
    <row r="22">
      <c r="F22" s="4" t="inlineStr">
        <is>
          <t>Year 17</t>
        </is>
      </c>
      <c r="G22" s="2" t="n">
        <v>20000000</v>
      </c>
    </row>
    <row r="23">
      <c r="F23" s="4" t="inlineStr">
        <is>
          <t>Year 18</t>
        </is>
      </c>
      <c r="G23" s="2" t="n">
        <v>20000000</v>
      </c>
    </row>
    <row r="24">
      <c r="F24" s="4" t="inlineStr">
        <is>
          <t>Year 19</t>
        </is>
      </c>
      <c r="G24" s="2" t="n">
        <v>20000000</v>
      </c>
    </row>
    <row r="25">
      <c r="F25" s="4" t="inlineStr">
        <is>
          <t>Year 20</t>
        </is>
      </c>
      <c r="G25" s="2" t="n">
        <v>20000000</v>
      </c>
    </row>
    <row r="26">
      <c r="F26" s="4" t="inlineStr">
        <is>
          <t>Year 21</t>
        </is>
      </c>
      <c r="G26" s="2" t="n">
        <v>20000000</v>
      </c>
    </row>
    <row r="27">
      <c r="F27" s="4" t="inlineStr">
        <is>
          <t>Year 22</t>
        </is>
      </c>
      <c r="G27" s="2" t="n">
        <v>20000000</v>
      </c>
    </row>
    <row r="28">
      <c r="F28" s="4" t="inlineStr">
        <is>
          <t>Year 23</t>
        </is>
      </c>
      <c r="G28" s="2" t="n">
        <v>20000000</v>
      </c>
    </row>
    <row r="29">
      <c r="F29" s="4" t="inlineStr">
        <is>
          <t>Year 24</t>
        </is>
      </c>
      <c r="G29" s="2" t="n">
        <v>20000000</v>
      </c>
    </row>
    <row r="30">
      <c r="F30" s="4" t="inlineStr">
        <is>
          <t>Year 25</t>
        </is>
      </c>
      <c r="G30" s="2" t="n">
        <v>20000000</v>
      </c>
    </row>
    <row r="31" ht="35.1" customHeight="1" s="103"/>
    <row r="32" ht="26.25" customHeight="1" s="103">
      <c r="A32" s="6" t="inlineStr">
        <is>
          <t>Month</t>
        </is>
      </c>
      <c r="B32" s="6" t="inlineStr">
        <is>
          <t>L-Growth Floor
(employees/mo)</t>
        </is>
      </c>
      <c r="C32" s="6" t="inlineStr">
        <is>
          <t>New Employees
Added</t>
        </is>
      </c>
      <c r="D32" s="6" t="inlineStr">
        <is>
          <t>Cumulative
Employees</t>
        </is>
      </c>
      <c r="E32" s="6" t="inlineStr">
        <is>
          <t>Credits per
Employee</t>
        </is>
      </c>
      <c r="F32" s="6" t="inlineStr">
        <is>
          <t>Credits Minted
(Month)</t>
        </is>
      </c>
      <c r="G32" s="6" t="inlineStr">
        <is>
          <t>Total System
Credits</t>
        </is>
      </c>
      <c r="H32" s="6" t="inlineStr">
        <is>
          <t>Treasury
Wallet ($)</t>
        </is>
      </c>
      <c r="I32" s="6" t="inlineStr">
        <is>
          <t>Admin Wallet
($)</t>
        </is>
      </c>
      <c r="J32" s="6" t="inlineStr">
        <is>
          <t>Escrow
Wallet ($)</t>
        </is>
      </c>
      <c r="K32" s="6" t="inlineStr">
        <is>
          <t>Interest
Earned ($)</t>
        </is>
      </c>
      <c r="L32" s="6" t="inlineStr">
        <is>
          <t>Cash / Credit
Reserve</t>
        </is>
      </c>
      <c r="M32" s="12" t="inlineStr">
        <is>
          <t>Admin Profit per credit accepted</t>
        </is>
      </c>
      <c r="N32" s="17" t="inlineStr">
        <is>
          <t>Capacity
Growth</t>
        </is>
      </c>
      <c r="O32" s="6" t="inlineStr">
        <is>
          <t>Total Liability ($)</t>
        </is>
      </c>
      <c r="P32" s="17" t="inlineStr">
        <is>
          <t>Escrow→Admin
Transfer ($)</t>
        </is>
      </c>
    </row>
    <row r="33">
      <c r="A33" s="7" t="n">
        <v>1</v>
      </c>
      <c r="B33" s="98" t="n">
        <v>0</v>
      </c>
      <c r="C33" s="8">
        <f>MAX(0,MIN(INT($D$10/$D$5),INT($D$11/$D$5)))</f>
        <v/>
      </c>
      <c r="D33" s="8">
        <f>C33</f>
        <v/>
      </c>
      <c r="E33" s="8">
        <f>$D$5</f>
        <v/>
      </c>
      <c r="F33" s="8">
        <f>MIN(D33*E33,$D$11)</f>
        <v/>
      </c>
      <c r="G33" s="8">
        <f>F33</f>
        <v/>
      </c>
      <c r="H33" s="10">
        <f>$D$6*F33</f>
        <v/>
      </c>
      <c r="I33" s="10">
        <f>$D$7*F33+Q33</f>
        <v/>
      </c>
      <c r="J33" s="10">
        <f>$D$8*F33-P33</f>
        <v/>
      </c>
      <c r="K33" s="10" t="n">
        <v>0</v>
      </c>
      <c r="L33" s="9">
        <f>IF(G33=0,0,J33/(G33*$D$12))</f>
        <v/>
      </c>
      <c r="M33" s="13">
        <f>I33/G33</f>
        <v/>
      </c>
      <c r="N33" s="8">
        <f>INDEX($G$6:$G$30,MIN(INT((A33-1)/12)+1,25))</f>
        <v/>
      </c>
      <c r="O33" s="126">
        <f>G33*$D$12</f>
        <v/>
      </c>
      <c r="P33">
        <f>IF(F33=0,0,MAX(0,0.01*G33-$D$7*F33))</f>
        <v/>
      </c>
    </row>
    <row r="34">
      <c r="A34" s="7" t="n">
        <v>2</v>
      </c>
      <c r="B34" s="98">
        <f>CEILING(0.0101*G33/$D$5,1)</f>
        <v/>
      </c>
      <c r="C34" s="8">
        <f>MAX(0,MIN(MAX(0,FLOOR($D$15*D33*MAX(0,1-D33/(($D$10+SUM($N$33:N33))/$D$5)),1)),IF(A34&gt;=$D$14,IF(AND(D33&gt;0,F33&gt;0),INT(K33*D33/F33),0),1000000000),MIN(IF($D$11&gt;G33,INT(($D$11-G33)/$D$5),0)-D33,MAX(B34,INT(($D$10+SUM($N$33:N33))/$D$5)-D33))))</f>
        <v/>
      </c>
      <c r="D34" s="8">
        <f>D33+C34</f>
        <v/>
      </c>
      <c r="E34" s="8">
        <f>$D$5</f>
        <v/>
      </c>
      <c r="F34" s="8">
        <f>IF(G33&gt;=$D$11,0,MIN(D34*E34,$D$11-G33))</f>
        <v/>
      </c>
      <c r="G34" s="8">
        <f>G33+F34</f>
        <v/>
      </c>
      <c r="H34" s="10">
        <f>H33+$D$6*F34</f>
        <v/>
      </c>
      <c r="I34" s="10">
        <f>$D$7*F34+Q34</f>
        <v/>
      </c>
      <c r="J34" s="10">
        <f>J33+$D$8*F34+K34-P34</f>
        <v/>
      </c>
      <c r="K34" s="10">
        <f>($D$9/12)*J33</f>
        <v/>
      </c>
      <c r="L34" s="9">
        <f>IF(G34=0,0,J34/(G34*$D$12))</f>
        <v/>
      </c>
      <c r="M34" s="13">
        <f>I34/G34</f>
        <v/>
      </c>
      <c r="N34" s="8">
        <f>INDEX($G$6:$G$30,MIN(INT((A34-1)/12)+1,25))</f>
        <v/>
      </c>
      <c r="O34" s="126">
        <f>G34*$D$12</f>
        <v/>
      </c>
      <c r="P34">
        <f>IF(F34=0,0,MAX(0,0.01*G34-$D$7*F34))</f>
        <v/>
      </c>
    </row>
    <row r="35">
      <c r="A35" s="7" t="n">
        <v>3</v>
      </c>
      <c r="B35" s="98">
        <f>CEILING(0.0101*G34/$D$5,1)</f>
        <v/>
      </c>
      <c r="C35" s="8">
        <f>MAX(0,MIN(MAX(0,FLOOR($D$15*D34*MAX(0,1-D34/(($D$10+SUM($N$33:N34))/$D$5)),1)),IF(A35&gt;=$D$14,IF(AND(D34&gt;0,F34&gt;0),INT(K34*D34/F34),0),1000000000),MIN(IF($D$11&gt;G34,INT(($D$11-G34)/$D$5),0)-D34,MAX(B35,INT(($D$10+SUM($N$33:N34))/$D$5)-D34))))</f>
        <v/>
      </c>
      <c r="D35" s="8">
        <f>D34+C35</f>
        <v/>
      </c>
      <c r="E35" s="8">
        <f>$D$5</f>
        <v/>
      </c>
      <c r="F35" s="8">
        <f>IF(G34&gt;=$D$11,0,MIN(D35*E35,$D$11-G34))</f>
        <v/>
      </c>
      <c r="G35" s="8">
        <f>G34+F35</f>
        <v/>
      </c>
      <c r="H35" s="10">
        <f>H34+$D$6*F35</f>
        <v/>
      </c>
      <c r="I35" s="10">
        <f>$D$7*F35+Q35</f>
        <v/>
      </c>
      <c r="J35" s="10">
        <f>J34+$D$8*F35+K35-P35</f>
        <v/>
      </c>
      <c r="K35" s="10">
        <f>($D$9/12)*J34</f>
        <v/>
      </c>
      <c r="L35" s="9">
        <f>IF(G35=0,0,J35/(G35*$D$12))</f>
        <v/>
      </c>
      <c r="M35" s="13">
        <f>I35/G35</f>
        <v/>
      </c>
      <c r="N35" s="8">
        <f>INDEX($G$6:$G$30,MIN(INT((A35-1)/12)+1,25))</f>
        <v/>
      </c>
      <c r="O35" s="126">
        <f>G35*$D$12</f>
        <v/>
      </c>
      <c r="P35">
        <f>IF(F35=0,0,MAX(0,0.01*G35-$D$7*F35))</f>
        <v/>
      </c>
    </row>
    <row r="36">
      <c r="A36" s="7" t="n">
        <v>4</v>
      </c>
      <c r="B36" s="98">
        <f>CEILING(0.0101*G35/$D$5,1)</f>
        <v/>
      </c>
      <c r="C36" s="8">
        <f>MAX(0,MIN(MAX(0,FLOOR($D$15*D35*MAX(0,1-D35/(($D$10+SUM($N$33:N35))/$D$5)),1)),IF(A36&gt;=$D$14,IF(AND(D35&gt;0,F35&gt;0),INT(K35*D35/F35),0),1000000000),MIN(IF($D$11&gt;G35,INT(($D$11-G35)/$D$5),0)-D35,MAX(B36,INT(($D$10+SUM($N$33:N35))/$D$5)-D35))))</f>
        <v/>
      </c>
      <c r="D36" s="8">
        <f>D35+C36</f>
        <v/>
      </c>
      <c r="E36" s="8">
        <f>$D$5</f>
        <v/>
      </c>
      <c r="F36" s="8">
        <f>IF(G35&gt;=$D$11,0,MIN(D36*E36,$D$11-G35))</f>
        <v/>
      </c>
      <c r="G36" s="8">
        <f>G35+F36</f>
        <v/>
      </c>
      <c r="H36" s="10">
        <f>H35+$D$6*F36</f>
        <v/>
      </c>
      <c r="I36" s="10">
        <f>$D$7*F36+Q36</f>
        <v/>
      </c>
      <c r="J36" s="10">
        <f>J35+$D$8*F36+K36-P36</f>
        <v/>
      </c>
      <c r="K36" s="10">
        <f>($D$9/12)*J35</f>
        <v/>
      </c>
      <c r="L36" s="9">
        <f>IF(G36=0,0,J36/(G36*$D$12))</f>
        <v/>
      </c>
      <c r="M36" s="13">
        <f>I36/G36</f>
        <v/>
      </c>
      <c r="N36" s="8">
        <f>INDEX($G$6:$G$30,MIN(INT((A36-1)/12)+1,25))</f>
        <v/>
      </c>
      <c r="O36" s="126">
        <f>G36*$D$12</f>
        <v/>
      </c>
      <c r="P36">
        <f>IF(F36=0,0,MAX(0,0.01*G36-$D$7*F36))</f>
        <v/>
      </c>
    </row>
    <row r="37">
      <c r="A37" s="7" t="n">
        <v>5</v>
      </c>
      <c r="B37" s="98">
        <f>CEILING(0.0101*G36/$D$5,1)</f>
        <v/>
      </c>
      <c r="C37" s="8">
        <f>MAX(0,MIN(MAX(0,FLOOR($D$15*D36*MAX(0,1-D36/(($D$10+SUM($N$33:N36))/$D$5)),1)),IF(A37&gt;=$D$14,IF(AND(D36&gt;0,F36&gt;0),INT(K36*D36/F36),0),1000000000),MIN(IF($D$11&gt;G36,INT(($D$11-G36)/$D$5),0)-D36,MAX(B37,INT(($D$10+SUM($N$33:N36))/$D$5)-D36))))</f>
        <v/>
      </c>
      <c r="D37" s="8">
        <f>D36+C37</f>
        <v/>
      </c>
      <c r="E37" s="8">
        <f>$D$5</f>
        <v/>
      </c>
      <c r="F37" s="8">
        <f>IF(G36&gt;=$D$11,0,MIN(D37*E37,$D$11-G36))</f>
        <v/>
      </c>
      <c r="G37" s="8">
        <f>G36+F37</f>
        <v/>
      </c>
      <c r="H37" s="10">
        <f>H36+$D$6*F37</f>
        <v/>
      </c>
      <c r="I37" s="10">
        <f>$D$7*F37+Q37</f>
        <v/>
      </c>
      <c r="J37" s="10">
        <f>J36+$D$8*F37+K37-P37</f>
        <v/>
      </c>
      <c r="K37" s="10">
        <f>($D$9/12)*J36</f>
        <v/>
      </c>
      <c r="L37" s="9">
        <f>IF(G37=0,0,J37/(G37*$D$12))</f>
        <v/>
      </c>
      <c r="M37" s="13">
        <f>I37/G37</f>
        <v/>
      </c>
      <c r="N37" s="8">
        <f>INDEX($G$6:$G$30,MIN(INT((A37-1)/12)+1,25))</f>
        <v/>
      </c>
      <c r="O37" s="126">
        <f>G37*$D$12</f>
        <v/>
      </c>
      <c r="P37">
        <f>IF(F37=0,0,MAX(0,0.01*G37-$D$7*F37))</f>
        <v/>
      </c>
    </row>
    <row r="38">
      <c r="A38" s="7" t="n">
        <v>6</v>
      </c>
      <c r="B38" s="98">
        <f>CEILING(0.0101*G37/$D$5,1)</f>
        <v/>
      </c>
      <c r="C38" s="8">
        <f>MAX(0,MIN(MAX(0,FLOOR($D$15*D37*MAX(0,1-D37/(($D$10+SUM($N$33:N37))/$D$5)),1)),IF(A38&gt;=$D$14,IF(AND(D37&gt;0,F37&gt;0),INT(K37*D37/F37),0),1000000000),MIN(IF($D$11&gt;G37,INT(($D$11-G37)/$D$5),0)-D37,MAX(B38,INT(($D$10+SUM($N$33:N37))/$D$5)-D37))))</f>
        <v/>
      </c>
      <c r="D38" s="8">
        <f>D37+C38</f>
        <v/>
      </c>
      <c r="E38" s="8">
        <f>$D$5</f>
        <v/>
      </c>
      <c r="F38" s="8">
        <f>IF(G37&gt;=$D$11,0,MIN(D38*E38,$D$11-G37))</f>
        <v/>
      </c>
      <c r="G38" s="8">
        <f>G37+F38</f>
        <v/>
      </c>
      <c r="H38" s="10">
        <f>H37+$D$6*F38</f>
        <v/>
      </c>
      <c r="I38" s="10">
        <f>$D$7*F38+Q38</f>
        <v/>
      </c>
      <c r="J38" s="10">
        <f>J37+$D$8*F38+K38-P38</f>
        <v/>
      </c>
      <c r="K38" s="10">
        <f>($D$9/12)*J37</f>
        <v/>
      </c>
      <c r="L38" s="9">
        <f>IF(G38=0,0,J38/(G38*$D$12))</f>
        <v/>
      </c>
      <c r="M38" s="13">
        <f>I38/G38</f>
        <v/>
      </c>
      <c r="N38" s="8">
        <f>INDEX($G$6:$G$30,MIN(INT((A38-1)/12)+1,25))</f>
        <v/>
      </c>
      <c r="O38" s="126">
        <f>G38*$D$12</f>
        <v/>
      </c>
      <c r="P38">
        <f>IF(F38=0,0,MAX(0,0.01*G38-$D$7*F38))</f>
        <v/>
      </c>
    </row>
    <row r="39">
      <c r="A39" s="7" t="n">
        <v>7</v>
      </c>
      <c r="B39" s="98">
        <f>CEILING(0.0101*G38/$D$5,1)</f>
        <v/>
      </c>
      <c r="C39" s="8">
        <f>MAX(0,MIN(MAX(0,FLOOR($D$15*D38*MAX(0,1-D38/(($D$10+SUM($N$33:N38))/$D$5)),1)),IF(A39&gt;=$D$14,IF(AND(D38&gt;0,F38&gt;0),INT(K38*D38/F38),0),1000000000),MIN(IF($D$11&gt;G38,INT(($D$11-G38)/$D$5),0)-D38,MAX(B39,INT(($D$10+SUM($N$33:N38))/$D$5)-D38))))</f>
        <v/>
      </c>
      <c r="D39" s="8">
        <f>D38+C39</f>
        <v/>
      </c>
      <c r="E39" s="8">
        <f>$D$5</f>
        <v/>
      </c>
      <c r="F39" s="8">
        <f>IF(G38&gt;=$D$11,0,MIN(D39*E39,$D$11-G38))</f>
        <v/>
      </c>
      <c r="G39" s="8">
        <f>G38+F39</f>
        <v/>
      </c>
      <c r="H39" s="10">
        <f>H38+$D$6*F39</f>
        <v/>
      </c>
      <c r="I39" s="10">
        <f>$D$7*F39+Q39</f>
        <v/>
      </c>
      <c r="J39" s="10">
        <f>J38+$D$8*F39+K39-P39</f>
        <v/>
      </c>
      <c r="K39" s="10">
        <f>($D$9/12)*J38</f>
        <v/>
      </c>
      <c r="L39" s="9">
        <f>IF(G39=0,0,J39/(G39*$D$12))</f>
        <v/>
      </c>
      <c r="M39" s="13">
        <f>I39/G39</f>
        <v/>
      </c>
      <c r="N39" s="8">
        <f>INDEX($G$6:$G$30,MIN(INT((A39-1)/12)+1,25))</f>
        <v/>
      </c>
      <c r="O39" s="126">
        <f>G39*$D$12</f>
        <v/>
      </c>
      <c r="P39">
        <f>IF(F39=0,0,MAX(0,0.01*G39-$D$7*F39))</f>
        <v/>
      </c>
    </row>
    <row r="40">
      <c r="A40" s="7" t="n">
        <v>8</v>
      </c>
      <c r="B40" s="98">
        <f>CEILING(0.0101*G39/$D$5,1)</f>
        <v/>
      </c>
      <c r="C40" s="8">
        <f>MAX(0,MIN(MAX(0,FLOOR($D$15*D39*MAX(0,1-D39/(($D$10+SUM($N$33:N39))/$D$5)),1)),IF(A40&gt;=$D$14,IF(AND(D39&gt;0,F39&gt;0),INT(K39*D39/F39),0),1000000000),MIN(IF($D$11&gt;G39,INT(($D$11-G39)/$D$5),0)-D39,MAX(B40,INT(($D$10+SUM($N$33:N39))/$D$5)-D39))))</f>
        <v/>
      </c>
      <c r="D40" s="8">
        <f>D39+C40</f>
        <v/>
      </c>
      <c r="E40" s="8">
        <f>$D$5</f>
        <v/>
      </c>
      <c r="F40" s="8">
        <f>IF(G39&gt;=$D$11,0,MIN(D40*E40,$D$11-G39))</f>
        <v/>
      </c>
      <c r="G40" s="8">
        <f>G39+F40</f>
        <v/>
      </c>
      <c r="H40" s="10">
        <f>H39+$D$6*F40</f>
        <v/>
      </c>
      <c r="I40" s="10">
        <f>$D$7*F40+Q40</f>
        <v/>
      </c>
      <c r="J40" s="10">
        <f>J39+$D$8*F40+K40-P40</f>
        <v/>
      </c>
      <c r="K40" s="10">
        <f>($D$9/12)*J39</f>
        <v/>
      </c>
      <c r="L40" s="9">
        <f>IF(G40=0,0,J40/(G40*$D$12))</f>
        <v/>
      </c>
      <c r="M40" s="13">
        <f>I40/G40</f>
        <v/>
      </c>
      <c r="N40" s="8">
        <f>INDEX($G$6:$G$30,MIN(INT((A40-1)/12)+1,25))</f>
        <v/>
      </c>
      <c r="O40" s="126">
        <f>G40*$D$12</f>
        <v/>
      </c>
      <c r="P40">
        <f>IF(F40=0,0,MAX(0,0.01*G40-$D$7*F40))</f>
        <v/>
      </c>
    </row>
    <row r="41">
      <c r="A41" s="7" t="n">
        <v>9</v>
      </c>
      <c r="B41" s="98">
        <f>CEILING(0.0101*G40/$D$5,1)</f>
        <v/>
      </c>
      <c r="C41" s="8">
        <f>MAX(0,MIN(MAX(0,FLOOR($D$15*D40*MAX(0,1-D40/(($D$10+SUM($N$33:N40))/$D$5)),1)),IF(A41&gt;=$D$14,IF(AND(D40&gt;0,F40&gt;0),INT(K40*D40/F40),0),1000000000),MIN(IF($D$11&gt;G40,INT(($D$11-G40)/$D$5),0)-D40,MAX(B41,INT(($D$10+SUM($N$33:N40))/$D$5)-D40))))</f>
        <v/>
      </c>
      <c r="D41" s="8">
        <f>D40+C41</f>
        <v/>
      </c>
      <c r="E41" s="8">
        <f>$D$5</f>
        <v/>
      </c>
      <c r="F41" s="8">
        <f>IF(G40&gt;=$D$11,0,MIN(D41*E41,$D$11-G40))</f>
        <v/>
      </c>
      <c r="G41" s="8">
        <f>G40+F41</f>
        <v/>
      </c>
      <c r="H41" s="10">
        <f>H40+$D$6*F41</f>
        <v/>
      </c>
      <c r="I41" s="10">
        <f>$D$7*F41+Q41</f>
        <v/>
      </c>
      <c r="J41" s="10">
        <f>J40+$D$8*F41+K41-P41</f>
        <v/>
      </c>
      <c r="K41" s="10">
        <f>($D$9/12)*J40</f>
        <v/>
      </c>
      <c r="L41" s="9">
        <f>IF(G41=0,0,J41/(G41*$D$12))</f>
        <v/>
      </c>
      <c r="M41" s="13">
        <f>I41/G41</f>
        <v/>
      </c>
      <c r="N41" s="8">
        <f>INDEX($G$6:$G$30,MIN(INT((A41-1)/12)+1,25))</f>
        <v/>
      </c>
      <c r="O41" s="126">
        <f>G41*$D$12</f>
        <v/>
      </c>
      <c r="P41">
        <f>IF(F41=0,0,MAX(0,0.01*G41-$D$7*F41))</f>
        <v/>
      </c>
    </row>
    <row r="42">
      <c r="A42" s="7" t="n">
        <v>10</v>
      </c>
      <c r="B42" s="98">
        <f>CEILING(0.0101*G41/$D$5,1)</f>
        <v/>
      </c>
      <c r="C42" s="8">
        <f>MAX(0,MIN(MAX(0,FLOOR($D$15*D41*MAX(0,1-D41/(($D$10+SUM($N$33:N41))/$D$5)),1)),IF(A42&gt;=$D$14,IF(AND(D41&gt;0,F41&gt;0),INT(K41*D41/F41),0),1000000000),MIN(IF($D$11&gt;G41,INT(($D$11-G41)/$D$5),0)-D41,MAX(B42,INT(($D$10+SUM($N$33:N41))/$D$5)-D41))))</f>
        <v/>
      </c>
      <c r="D42" s="8">
        <f>D41+C42</f>
        <v/>
      </c>
      <c r="E42" s="8">
        <f>$D$5</f>
        <v/>
      </c>
      <c r="F42" s="8">
        <f>IF(G41&gt;=$D$11,0,MIN(D42*E42,$D$11-G41))</f>
        <v/>
      </c>
      <c r="G42" s="8">
        <f>G41+F42</f>
        <v/>
      </c>
      <c r="H42" s="10">
        <f>H41+$D$6*F42</f>
        <v/>
      </c>
      <c r="I42" s="10">
        <f>$D$7*F42+Q42</f>
        <v/>
      </c>
      <c r="J42" s="10">
        <f>J41+$D$8*F42+K42-P42</f>
        <v/>
      </c>
      <c r="K42" s="10">
        <f>($D$9/12)*J41</f>
        <v/>
      </c>
      <c r="L42" s="9">
        <f>IF(G42=0,0,J42/(G42*$D$12))</f>
        <v/>
      </c>
      <c r="M42" s="13">
        <f>I42/G42</f>
        <v/>
      </c>
      <c r="N42" s="8">
        <f>INDEX($G$6:$G$30,MIN(INT((A42-1)/12)+1,25))</f>
        <v/>
      </c>
      <c r="O42" s="126">
        <f>G42*$D$12</f>
        <v/>
      </c>
      <c r="P42">
        <f>IF(F42=0,0,MAX(0,0.01*G42-$D$7*F42))</f>
        <v/>
      </c>
    </row>
    <row r="43">
      <c r="A43" s="7" t="n">
        <v>11</v>
      </c>
      <c r="B43" s="98">
        <f>CEILING(0.0101*G42/$D$5,1)</f>
        <v/>
      </c>
      <c r="C43" s="8">
        <f>MAX(0,MIN(MAX(0,FLOOR($D$15*D42*MAX(0,1-D42/(($D$10+SUM($N$33:N42))/$D$5)),1)),IF(A43&gt;=$D$14,IF(AND(D42&gt;0,F42&gt;0),INT(K42*D42/F42),0),1000000000),MIN(IF($D$11&gt;G42,INT(($D$11-G42)/$D$5),0)-D42,MAX(B43,INT(($D$10+SUM($N$33:N42))/$D$5)-D42))))</f>
        <v/>
      </c>
      <c r="D43" s="8">
        <f>D42+C43</f>
        <v/>
      </c>
      <c r="E43" s="8">
        <f>$D$5</f>
        <v/>
      </c>
      <c r="F43" s="8">
        <f>IF(G42&gt;=$D$11,0,MIN(D43*E43,$D$11-G42))</f>
        <v/>
      </c>
      <c r="G43" s="8">
        <f>G42+F43</f>
        <v/>
      </c>
      <c r="H43" s="10">
        <f>H42+$D$6*F43</f>
        <v/>
      </c>
      <c r="I43" s="10">
        <f>$D$7*F43+Q43</f>
        <v/>
      </c>
      <c r="J43" s="10">
        <f>J42+$D$8*F43+K43-P43</f>
        <v/>
      </c>
      <c r="K43" s="10">
        <f>($D$9/12)*J42</f>
        <v/>
      </c>
      <c r="L43" s="9">
        <f>IF(G43=0,0,J43/(G43*$D$12))</f>
        <v/>
      </c>
      <c r="M43" s="13">
        <f>I43/G43</f>
        <v/>
      </c>
      <c r="N43" s="8">
        <f>INDEX($G$6:$G$30,MIN(INT((A43-1)/12)+1,25))</f>
        <v/>
      </c>
      <c r="O43" s="126">
        <f>G43*$D$12</f>
        <v/>
      </c>
      <c r="P43">
        <f>IF(F43=0,0,MAX(0,0.01*G43-$D$7*F43))</f>
        <v/>
      </c>
    </row>
    <row r="44">
      <c r="A44" s="7" t="n">
        <v>12</v>
      </c>
      <c r="B44" s="98">
        <f>CEILING(0.0101*G43/$D$5,1)</f>
        <v/>
      </c>
      <c r="C44" s="8">
        <f>MAX(0,MIN(MAX(0,FLOOR($D$15*D43*MAX(0,1-D43/(($D$10+SUM($N$33:N43))/$D$5)),1)),IF(A44&gt;=$D$14,IF(AND(D43&gt;0,F43&gt;0),INT(K43*D43/F43),0),1000000000),MIN(IF($D$11&gt;G43,INT(($D$11-G43)/$D$5),0)-D43,MAX(B44,INT(($D$10+SUM($N$33:N43))/$D$5)-D43))))</f>
        <v/>
      </c>
      <c r="D44" s="8">
        <f>D43+C44</f>
        <v/>
      </c>
      <c r="E44" s="8">
        <f>$D$5</f>
        <v/>
      </c>
      <c r="F44" s="8">
        <f>IF(G43&gt;=$D$11,0,MIN(D44*E44,$D$11-G43))</f>
        <v/>
      </c>
      <c r="G44" s="8">
        <f>G43+F44</f>
        <v/>
      </c>
      <c r="H44" s="10">
        <f>H43+$D$6*F44</f>
        <v/>
      </c>
      <c r="I44" s="10">
        <f>$D$7*F44+Q44</f>
        <v/>
      </c>
      <c r="J44" s="10">
        <f>J43+$D$8*F44+K44-P44</f>
        <v/>
      </c>
      <c r="K44" s="10">
        <f>($D$9/12)*J43</f>
        <v/>
      </c>
      <c r="L44" s="9">
        <f>IF(G44=0,0,J44/(G44*$D$12))</f>
        <v/>
      </c>
      <c r="M44" s="13">
        <f>I44/G44</f>
        <v/>
      </c>
      <c r="N44" s="8">
        <f>INDEX($G$6:$G$30,MIN(INT((A44-1)/12)+1,25))</f>
        <v/>
      </c>
      <c r="O44" s="126">
        <f>G44*$D$12</f>
        <v/>
      </c>
      <c r="P44">
        <f>IF(F44=0,0,MAX(0,0.01*G44-$D$7*F44))</f>
        <v/>
      </c>
    </row>
    <row r="45">
      <c r="A45" s="7" t="n">
        <v>13</v>
      </c>
      <c r="B45" s="98">
        <f>CEILING(0.0101*G44/$D$5,1)</f>
        <v/>
      </c>
      <c r="C45" s="8">
        <f>MAX(0,MIN(MAX(0,FLOOR($D$15*D44*MAX(0,1-D44/(($D$10+SUM($N$33:N44))/$D$5)),1)),IF(A45&gt;=$D$14,IF(AND(D44&gt;0,F44&gt;0),INT(K44*D44/F44),0),1000000000),MIN(IF($D$11&gt;G44,INT(($D$11-G44)/$D$5),0)-D44,MAX(B45,INT(($D$10+SUM($N$33:N44))/$D$5)-D44))))</f>
        <v/>
      </c>
      <c r="D45" s="8">
        <f>D44+C45</f>
        <v/>
      </c>
      <c r="E45" s="8">
        <f>$D$5</f>
        <v/>
      </c>
      <c r="F45" s="8">
        <f>IF(G44&gt;=$D$11,0,MIN(D45*E45,$D$11-G44))</f>
        <v/>
      </c>
      <c r="G45" s="8">
        <f>G44+F45</f>
        <v/>
      </c>
      <c r="H45" s="10">
        <f>H44+$D$6*F45</f>
        <v/>
      </c>
      <c r="I45" s="10">
        <f>$D$7*F45+Q45</f>
        <v/>
      </c>
      <c r="J45" s="10">
        <f>J44+$D$8*F45+K45-P45</f>
        <v/>
      </c>
      <c r="K45" s="10">
        <f>($D$9/12)*J44</f>
        <v/>
      </c>
      <c r="L45" s="9">
        <f>IF(G45=0,0,J45/(G45*$D$12))</f>
        <v/>
      </c>
      <c r="M45" s="13">
        <f>I45/G45</f>
        <v/>
      </c>
      <c r="N45" s="8">
        <f>INDEX($G$6:$G$30,MIN(INT((A45-1)/12)+1,25))</f>
        <v/>
      </c>
      <c r="O45" s="126">
        <f>G45*$D$12</f>
        <v/>
      </c>
      <c r="P45">
        <f>IF(F45=0,0,MAX(0,0.01*G45-$D$7*F45))</f>
        <v/>
      </c>
    </row>
    <row r="46">
      <c r="A46" s="7" t="n">
        <v>14</v>
      </c>
      <c r="B46" s="98">
        <f>CEILING(0.0101*G45/$D$5,1)</f>
        <v/>
      </c>
      <c r="C46" s="8">
        <f>MAX(0,MIN(MAX(0,FLOOR($D$15*D45*MAX(0,1-D45/(($D$10+SUM($N$33:N45))/$D$5)),1)),IF(A46&gt;=$D$14,IF(AND(D45&gt;0,F45&gt;0),INT(K45*D45/F45),0),1000000000),MIN(IF($D$11&gt;G45,INT(($D$11-G45)/$D$5),0)-D45,MAX(B46,INT(($D$10+SUM($N$33:N45))/$D$5)-D45))))</f>
        <v/>
      </c>
      <c r="D46" s="8">
        <f>D45+C46</f>
        <v/>
      </c>
      <c r="E46" s="8">
        <f>$D$5</f>
        <v/>
      </c>
      <c r="F46" s="8">
        <f>IF(G45&gt;=$D$11,0,MIN(D46*E46,$D$11-G45))</f>
        <v/>
      </c>
      <c r="G46" s="8">
        <f>G45+F46</f>
        <v/>
      </c>
      <c r="H46" s="10">
        <f>H45+$D$6*F46</f>
        <v/>
      </c>
      <c r="I46" s="10">
        <f>$D$7*F46+Q46</f>
        <v/>
      </c>
      <c r="J46" s="10">
        <f>J45+$D$8*F46+K46-P46</f>
        <v/>
      </c>
      <c r="K46" s="10">
        <f>($D$9/12)*J45</f>
        <v/>
      </c>
      <c r="L46" s="9">
        <f>IF(G46=0,0,J46/(G46*$D$12))</f>
        <v/>
      </c>
      <c r="M46" s="13">
        <f>I46/G46</f>
        <v/>
      </c>
      <c r="N46" s="8">
        <f>INDEX($G$6:$G$30,MIN(INT((A46-1)/12)+1,25))</f>
        <v/>
      </c>
      <c r="O46" s="126">
        <f>G46*$D$12</f>
        <v/>
      </c>
      <c r="P46">
        <f>IF(F46=0,0,MAX(0,0.01*G46-$D$7*F46))</f>
        <v/>
      </c>
    </row>
    <row r="47">
      <c r="A47" s="7" t="n">
        <v>15</v>
      </c>
      <c r="B47" s="98">
        <f>CEILING(0.0101*G46/$D$5,1)</f>
        <v/>
      </c>
      <c r="C47" s="8">
        <f>MAX(0,MIN(MAX(0,FLOOR($D$15*D46*MAX(0,1-D46/(($D$10+SUM($N$33:N46))/$D$5)),1)),IF(A47&gt;=$D$14,IF(AND(D46&gt;0,F46&gt;0),INT(K46*D46/F46),0),1000000000),MIN(IF($D$11&gt;G46,INT(($D$11-G46)/$D$5),0)-D46,MAX(B47,INT(($D$10+SUM($N$33:N46))/$D$5)-D46))))</f>
        <v/>
      </c>
      <c r="D47" s="8">
        <f>D46+C47</f>
        <v/>
      </c>
      <c r="E47" s="8">
        <f>$D$5</f>
        <v/>
      </c>
      <c r="F47" s="8">
        <f>IF(G46&gt;=$D$11,0,MIN(D47*E47,$D$11-G46))</f>
        <v/>
      </c>
      <c r="G47" s="8">
        <f>G46+F47</f>
        <v/>
      </c>
      <c r="H47" s="10">
        <f>H46+$D$6*F47</f>
        <v/>
      </c>
      <c r="I47" s="10">
        <f>$D$7*F47+Q47</f>
        <v/>
      </c>
      <c r="J47" s="10">
        <f>J46+$D$8*F47+K47-P47</f>
        <v/>
      </c>
      <c r="K47" s="10">
        <f>($D$9/12)*J46</f>
        <v/>
      </c>
      <c r="L47" s="9">
        <f>IF(G47=0,0,J47/(G47*$D$12))</f>
        <v/>
      </c>
      <c r="M47" s="13">
        <f>I47/G47</f>
        <v/>
      </c>
      <c r="N47" s="8">
        <f>INDEX($G$6:$G$30,MIN(INT((A47-1)/12)+1,25))</f>
        <v/>
      </c>
      <c r="O47" s="126">
        <f>G47*$D$12</f>
        <v/>
      </c>
      <c r="P47">
        <f>IF(F47=0,0,MAX(0,0.01*G47-$D$7*F47))</f>
        <v/>
      </c>
    </row>
    <row r="48">
      <c r="A48" s="7" t="n">
        <v>16</v>
      </c>
      <c r="B48" s="98">
        <f>CEILING(0.0101*G47/$D$5,1)</f>
        <v/>
      </c>
      <c r="C48" s="8">
        <f>MAX(0,MIN(MAX(0,FLOOR($D$15*D47*MAX(0,1-D47/(($D$10+SUM($N$33:N47))/$D$5)),1)),IF(A48&gt;=$D$14,IF(AND(D47&gt;0,F47&gt;0),INT(K47*D47/F47),0),1000000000),MIN(IF($D$11&gt;G47,INT(($D$11-G47)/$D$5),0)-D47,MAX(B48,INT(($D$10+SUM($N$33:N47))/$D$5)-D47))))</f>
        <v/>
      </c>
      <c r="D48" s="8">
        <f>D47+C48</f>
        <v/>
      </c>
      <c r="E48" s="8">
        <f>$D$5</f>
        <v/>
      </c>
      <c r="F48" s="8">
        <f>IF(G47&gt;=$D$11,0,MIN(D48*E48,$D$11-G47))</f>
        <v/>
      </c>
      <c r="G48" s="8">
        <f>G47+F48</f>
        <v/>
      </c>
      <c r="H48" s="10">
        <f>H47+$D$6*F48</f>
        <v/>
      </c>
      <c r="I48" s="10">
        <f>$D$7*F48+Q48</f>
        <v/>
      </c>
      <c r="J48" s="10">
        <f>J47+$D$8*F48+K48-P48</f>
        <v/>
      </c>
      <c r="K48" s="10">
        <f>($D$9/12)*J47</f>
        <v/>
      </c>
      <c r="L48" s="9">
        <f>IF(G48=0,0,J48/(G48*$D$12))</f>
        <v/>
      </c>
      <c r="M48" s="13">
        <f>I48/G48</f>
        <v/>
      </c>
      <c r="N48" s="8">
        <f>INDEX($G$6:$G$30,MIN(INT((A48-1)/12)+1,25))</f>
        <v/>
      </c>
      <c r="O48" s="126">
        <f>G48*$D$12</f>
        <v/>
      </c>
      <c r="P48">
        <f>IF(F48=0,0,MAX(0,0.01*G48-$D$7*F48))</f>
        <v/>
      </c>
    </row>
    <row r="49">
      <c r="A49" s="7" t="n">
        <v>17</v>
      </c>
      <c r="B49" s="98">
        <f>CEILING(0.0101*G48/$D$5,1)</f>
        <v/>
      </c>
      <c r="C49" s="8">
        <f>MAX(0,MIN(MAX(0,FLOOR($D$15*D48*MAX(0,1-D48/(($D$10+SUM($N$33:N48))/$D$5)),1)),IF(A49&gt;=$D$14,IF(AND(D48&gt;0,F48&gt;0),INT(K48*D48/F48),0),1000000000),MIN(IF($D$11&gt;G48,INT(($D$11-G48)/$D$5),0)-D48,MAX(B49,INT(($D$10+SUM($N$33:N48))/$D$5)-D48))))</f>
        <v/>
      </c>
      <c r="D49" s="8">
        <f>D48+C49</f>
        <v/>
      </c>
      <c r="E49" s="8">
        <f>$D$5</f>
        <v/>
      </c>
      <c r="F49" s="8">
        <f>IF(G48&gt;=$D$11,0,MIN(D49*E49,$D$11-G48))</f>
        <v/>
      </c>
      <c r="G49" s="8">
        <f>G48+F49</f>
        <v/>
      </c>
      <c r="H49" s="10">
        <f>H48+$D$6*F49</f>
        <v/>
      </c>
      <c r="I49" s="10">
        <f>$D$7*F49+Q49</f>
        <v/>
      </c>
      <c r="J49" s="10">
        <f>J48+$D$8*F49+K49-P49</f>
        <v/>
      </c>
      <c r="K49" s="10">
        <f>($D$9/12)*J48</f>
        <v/>
      </c>
      <c r="L49" s="9">
        <f>IF(G49=0,0,J49/(G49*$D$12))</f>
        <v/>
      </c>
      <c r="M49" s="13">
        <f>I49/G49</f>
        <v/>
      </c>
      <c r="N49" s="8">
        <f>INDEX($G$6:$G$30,MIN(INT((A49-1)/12)+1,25))</f>
        <v/>
      </c>
      <c r="O49" s="126">
        <f>G49*$D$12</f>
        <v/>
      </c>
      <c r="P49">
        <f>IF(F49=0,0,MAX(0,0.01*G49-$D$7*F49))</f>
        <v/>
      </c>
    </row>
    <row r="50">
      <c r="A50" s="7" t="n">
        <v>18</v>
      </c>
      <c r="B50" s="98">
        <f>CEILING(0.0101*G49/$D$5,1)</f>
        <v/>
      </c>
      <c r="C50" s="8">
        <f>MAX(0,MIN(MAX(0,FLOOR($D$15*D49*MAX(0,1-D49/(($D$10+SUM($N$33:N49))/$D$5)),1)),IF(A50&gt;=$D$14,IF(AND(D49&gt;0,F49&gt;0),INT(K49*D49/F49),0),1000000000),MIN(IF($D$11&gt;G49,INT(($D$11-G49)/$D$5),0)-D49,MAX(B50,INT(($D$10+SUM($N$33:N49))/$D$5)-D49))))</f>
        <v/>
      </c>
      <c r="D50" s="8">
        <f>D49+C50</f>
        <v/>
      </c>
      <c r="E50" s="8">
        <f>$D$5</f>
        <v/>
      </c>
      <c r="F50" s="8">
        <f>IF(G49&gt;=$D$11,0,MIN(D50*E50,$D$11-G49))</f>
        <v/>
      </c>
      <c r="G50" s="8">
        <f>G49+F50</f>
        <v/>
      </c>
      <c r="H50" s="10">
        <f>H49+$D$6*F50</f>
        <v/>
      </c>
      <c r="I50" s="10">
        <f>$D$7*F50+Q50</f>
        <v/>
      </c>
      <c r="J50" s="10">
        <f>J49+$D$8*F50+K50-P50</f>
        <v/>
      </c>
      <c r="K50" s="10">
        <f>($D$9/12)*J49</f>
        <v/>
      </c>
      <c r="L50" s="9">
        <f>IF(G50=0,0,J50/(G50*$D$12))</f>
        <v/>
      </c>
      <c r="M50" s="13">
        <f>I50/G50</f>
        <v/>
      </c>
      <c r="N50" s="8">
        <f>INDEX($G$6:$G$30,MIN(INT((A50-1)/12)+1,25))</f>
        <v/>
      </c>
      <c r="O50" s="126">
        <f>G50*$D$12</f>
        <v/>
      </c>
      <c r="P50">
        <f>IF(F50=0,0,MAX(0,0.01*G50-$D$7*F50))</f>
        <v/>
      </c>
    </row>
    <row r="51">
      <c r="A51" s="7" t="n">
        <v>19</v>
      </c>
      <c r="B51" s="98">
        <f>CEILING(0.0101*G50/$D$5,1)</f>
        <v/>
      </c>
      <c r="C51" s="8">
        <f>MAX(0,MIN(MAX(0,FLOOR($D$15*D50*MAX(0,1-D50/(($D$10+SUM($N$33:N50))/$D$5)),1)),IF(A51&gt;=$D$14,IF(AND(D50&gt;0,F50&gt;0),INT(K50*D50/F50),0),1000000000),MIN(IF($D$11&gt;G50,INT(($D$11-G50)/$D$5),0)-D50,MAX(B51,INT(($D$10+SUM($N$33:N50))/$D$5)-D50))))</f>
        <v/>
      </c>
      <c r="D51" s="8">
        <f>D50+C51</f>
        <v/>
      </c>
      <c r="E51" s="8">
        <f>$D$5</f>
        <v/>
      </c>
      <c r="F51" s="8">
        <f>IF(G50&gt;=$D$11,0,MIN(D51*E51,$D$11-G50))</f>
        <v/>
      </c>
      <c r="G51" s="8">
        <f>G50+F51</f>
        <v/>
      </c>
      <c r="H51" s="10">
        <f>H50+$D$6*F51</f>
        <v/>
      </c>
      <c r="I51" s="10">
        <f>$D$7*F51+Q51</f>
        <v/>
      </c>
      <c r="J51" s="10">
        <f>J50+$D$8*F51+K51-P51</f>
        <v/>
      </c>
      <c r="K51" s="10">
        <f>($D$9/12)*J50</f>
        <v/>
      </c>
      <c r="L51" s="9">
        <f>IF(G51=0,0,J51/(G51*$D$12))</f>
        <v/>
      </c>
      <c r="M51" s="13">
        <f>I51/G51</f>
        <v/>
      </c>
      <c r="N51" s="8">
        <f>INDEX($G$6:$G$30,MIN(INT((A51-1)/12)+1,25))</f>
        <v/>
      </c>
      <c r="O51" s="126">
        <f>G51*$D$12</f>
        <v/>
      </c>
      <c r="P51">
        <f>IF(F51=0,0,MAX(0,0.01*G51-$D$7*F51))</f>
        <v/>
      </c>
    </row>
    <row r="52">
      <c r="A52" s="7" t="n">
        <v>20</v>
      </c>
      <c r="B52" s="98">
        <f>CEILING(0.0101*G51/$D$5,1)</f>
        <v/>
      </c>
      <c r="C52" s="8">
        <f>MAX(0,MIN(MAX(0,FLOOR($D$15*D51*MAX(0,1-D51/(($D$10+SUM($N$33:N51))/$D$5)),1)),IF(A52&gt;=$D$14,IF(AND(D51&gt;0,F51&gt;0),INT(K51*D51/F51),0),1000000000),MIN(IF($D$11&gt;G51,INT(($D$11-G51)/$D$5),0)-D51,MAX(B52,INT(($D$10+SUM($N$33:N51))/$D$5)-D51))))</f>
        <v/>
      </c>
      <c r="D52" s="8">
        <f>D51+C52</f>
        <v/>
      </c>
      <c r="E52" s="8">
        <f>$D$5</f>
        <v/>
      </c>
      <c r="F52" s="8">
        <f>IF(G51&gt;=$D$11,0,MIN(D52*E52,$D$11-G51))</f>
        <v/>
      </c>
      <c r="G52" s="8">
        <f>G51+F52</f>
        <v/>
      </c>
      <c r="H52" s="10">
        <f>H51+$D$6*F52</f>
        <v/>
      </c>
      <c r="I52" s="10">
        <f>$D$7*F52+Q52</f>
        <v/>
      </c>
      <c r="J52" s="10">
        <f>J51+$D$8*F52+K52-P52</f>
        <v/>
      </c>
      <c r="K52" s="10">
        <f>($D$9/12)*J51</f>
        <v/>
      </c>
      <c r="L52" s="9">
        <f>IF(G52=0,0,J52/(G52*$D$12))</f>
        <v/>
      </c>
      <c r="M52" s="13">
        <f>I52/G52</f>
        <v/>
      </c>
      <c r="N52" s="8">
        <f>INDEX($G$6:$G$30,MIN(INT((A52-1)/12)+1,25))</f>
        <v/>
      </c>
      <c r="O52" s="126">
        <f>G52*$D$12</f>
        <v/>
      </c>
      <c r="P52">
        <f>IF(F52=0,0,MAX(0,0.01*G52-$D$7*F52))</f>
        <v/>
      </c>
    </row>
    <row r="53">
      <c r="A53" s="7" t="n">
        <v>21</v>
      </c>
      <c r="B53" s="98">
        <f>CEILING(0.0101*G52/$D$5,1)</f>
        <v/>
      </c>
      <c r="C53" s="8">
        <f>MAX(0,MIN(MAX(0,FLOOR($D$15*D52*MAX(0,1-D52/(($D$10+SUM($N$33:N52))/$D$5)),1)),IF(A53&gt;=$D$14,IF(AND(D52&gt;0,F52&gt;0),INT(K52*D52/F52),0),1000000000),MIN(IF($D$11&gt;G52,INT(($D$11-G52)/$D$5),0)-D52,MAX(B53,INT(($D$10+SUM($N$33:N52))/$D$5)-D52))))</f>
        <v/>
      </c>
      <c r="D53" s="8">
        <f>D52+C53</f>
        <v/>
      </c>
      <c r="E53" s="8">
        <f>$D$5</f>
        <v/>
      </c>
      <c r="F53" s="8">
        <f>IF(G52&gt;=$D$11,0,MIN(D53*E53,$D$11-G52))</f>
        <v/>
      </c>
      <c r="G53" s="8">
        <f>G52+F53</f>
        <v/>
      </c>
      <c r="H53" s="10">
        <f>H52+$D$6*F53</f>
        <v/>
      </c>
      <c r="I53" s="10">
        <f>$D$7*F53+Q53</f>
        <v/>
      </c>
      <c r="J53" s="10">
        <f>J52+$D$8*F53+K53-P53</f>
        <v/>
      </c>
      <c r="K53" s="10">
        <f>($D$9/12)*J52</f>
        <v/>
      </c>
      <c r="L53" s="9">
        <f>IF(G53=0,0,J53/(G53*$D$12))</f>
        <v/>
      </c>
      <c r="M53" s="13">
        <f>I53/G53</f>
        <v/>
      </c>
      <c r="N53" s="8">
        <f>INDEX($G$6:$G$30,MIN(INT((A53-1)/12)+1,25))</f>
        <v/>
      </c>
      <c r="O53" s="126">
        <f>G53*$D$12</f>
        <v/>
      </c>
      <c r="P53">
        <f>IF(F53=0,0,MAX(0,0.01*G53-$D$7*F53))</f>
        <v/>
      </c>
    </row>
    <row r="54">
      <c r="A54" s="7" t="n">
        <v>22</v>
      </c>
      <c r="B54" s="98">
        <f>CEILING(0.0101*G53/$D$5,1)</f>
        <v/>
      </c>
      <c r="C54" s="8">
        <f>MAX(0,MIN(MAX(0,FLOOR($D$15*D53*MAX(0,1-D53/(($D$10+SUM($N$33:N53))/$D$5)),1)),IF(A54&gt;=$D$14,IF(AND(D53&gt;0,F53&gt;0),INT(K53*D53/F53),0),1000000000),MIN(IF($D$11&gt;G53,INT(($D$11-G53)/$D$5),0)-D53,MAX(B54,INT(($D$10+SUM($N$33:N53))/$D$5)-D53))))</f>
        <v/>
      </c>
      <c r="D54" s="8">
        <f>D53+C54</f>
        <v/>
      </c>
      <c r="E54" s="8">
        <f>$D$5</f>
        <v/>
      </c>
      <c r="F54" s="8">
        <f>IF(G53&gt;=$D$11,0,MIN(D54*E54,$D$11-G53))</f>
        <v/>
      </c>
      <c r="G54" s="8">
        <f>G53+F54</f>
        <v/>
      </c>
      <c r="H54" s="10">
        <f>H53+$D$6*F54</f>
        <v/>
      </c>
      <c r="I54" s="10">
        <f>$D$7*F54+Q54</f>
        <v/>
      </c>
      <c r="J54" s="10">
        <f>J53+$D$8*F54+K54-P54</f>
        <v/>
      </c>
      <c r="K54" s="10">
        <f>($D$9/12)*J53</f>
        <v/>
      </c>
      <c r="L54" s="9">
        <f>IF(G54=0,0,J54/(G54*$D$12))</f>
        <v/>
      </c>
      <c r="M54" s="13">
        <f>I54/G54</f>
        <v/>
      </c>
      <c r="N54" s="8">
        <f>INDEX($G$6:$G$30,MIN(INT((A54-1)/12)+1,25))</f>
        <v/>
      </c>
      <c r="O54" s="126">
        <f>G54*$D$12</f>
        <v/>
      </c>
      <c r="P54">
        <f>IF(F54=0,0,MAX(0,0.01*G54-$D$7*F54))</f>
        <v/>
      </c>
    </row>
    <row r="55">
      <c r="A55" s="7" t="n">
        <v>23</v>
      </c>
      <c r="B55" s="98">
        <f>CEILING(0.0101*G54/$D$5,1)</f>
        <v/>
      </c>
      <c r="C55" s="8">
        <f>MAX(0,MIN(MAX(0,FLOOR($D$15*D54*MAX(0,1-D54/(($D$10+SUM($N$33:N54))/$D$5)),1)),IF(A55&gt;=$D$14,IF(AND(D54&gt;0,F54&gt;0),INT(K54*D54/F54),0),1000000000),MIN(IF($D$11&gt;G54,INT(($D$11-G54)/$D$5),0)-D54,MAX(B55,INT(($D$10+SUM($N$33:N54))/$D$5)-D54))))</f>
        <v/>
      </c>
      <c r="D55" s="8">
        <f>D54+C55</f>
        <v/>
      </c>
      <c r="E55" s="8">
        <f>$D$5</f>
        <v/>
      </c>
      <c r="F55" s="8">
        <f>IF(G54&gt;=$D$11,0,MIN(D55*E55,$D$11-G54))</f>
        <v/>
      </c>
      <c r="G55" s="8">
        <f>G54+F55</f>
        <v/>
      </c>
      <c r="H55" s="10">
        <f>H54+$D$6*F55</f>
        <v/>
      </c>
      <c r="I55" s="10">
        <f>$D$7*F55+Q55</f>
        <v/>
      </c>
      <c r="J55" s="10">
        <f>J54+$D$8*F55+K55-P55</f>
        <v/>
      </c>
      <c r="K55" s="10">
        <f>($D$9/12)*J54</f>
        <v/>
      </c>
      <c r="L55" s="9">
        <f>IF(G55=0,0,J55/(G55*$D$12))</f>
        <v/>
      </c>
      <c r="M55" s="13">
        <f>I55/G55</f>
        <v/>
      </c>
      <c r="N55" s="8">
        <f>INDEX($G$6:$G$30,MIN(INT((A55-1)/12)+1,25))</f>
        <v/>
      </c>
      <c r="O55" s="126">
        <f>G55*$D$12</f>
        <v/>
      </c>
      <c r="P55">
        <f>IF(F55=0,0,MAX(0,0.01*G55-$D$7*F55))</f>
        <v/>
      </c>
    </row>
    <row r="56">
      <c r="A56" s="7" t="n">
        <v>24</v>
      </c>
      <c r="B56" s="98">
        <f>CEILING(0.0101*G55/$D$5,1)</f>
        <v/>
      </c>
      <c r="C56" s="8">
        <f>MAX(0,MIN(MAX(0,FLOOR($D$15*D55*MAX(0,1-D55/(($D$10+SUM($N$33:N55))/$D$5)),1)),IF(A56&gt;=$D$14,IF(AND(D55&gt;0,F55&gt;0),INT(K55*D55/F55),0),1000000000),MIN(IF($D$11&gt;G55,INT(($D$11-G55)/$D$5),0)-D55,MAX(B56,INT(($D$10+SUM($N$33:N55))/$D$5)-D55))))</f>
        <v/>
      </c>
      <c r="D56" s="8">
        <f>D55+C56</f>
        <v/>
      </c>
      <c r="E56" s="8">
        <f>$D$5</f>
        <v/>
      </c>
      <c r="F56" s="8">
        <f>IF(G55&gt;=$D$11,0,MIN(D56*E56,$D$11-G55))</f>
        <v/>
      </c>
      <c r="G56" s="8">
        <f>G55+F56</f>
        <v/>
      </c>
      <c r="H56" s="10">
        <f>H55+$D$6*F56</f>
        <v/>
      </c>
      <c r="I56" s="10">
        <f>$D$7*F56+Q56</f>
        <v/>
      </c>
      <c r="J56" s="10">
        <f>J55+$D$8*F56+K56-P56</f>
        <v/>
      </c>
      <c r="K56" s="10">
        <f>($D$9/12)*J55</f>
        <v/>
      </c>
      <c r="L56" s="9">
        <f>IF(G56=0,0,J56/(G56*$D$12))</f>
        <v/>
      </c>
      <c r="M56" s="13">
        <f>I56/G56</f>
        <v/>
      </c>
      <c r="N56" s="8">
        <f>INDEX($G$6:$G$30,MIN(INT((A56-1)/12)+1,25))</f>
        <v/>
      </c>
      <c r="O56" s="126">
        <f>G56*$D$12</f>
        <v/>
      </c>
      <c r="P56">
        <f>IF(F56=0,0,MAX(0,0.01*G56-$D$7*F56))</f>
        <v/>
      </c>
    </row>
    <row r="57">
      <c r="A57" s="7" t="n">
        <v>25</v>
      </c>
      <c r="B57" s="98">
        <f>CEILING(0.0101*G56/$D$5,1)</f>
        <v/>
      </c>
      <c r="C57" s="8">
        <f>MAX(0,MIN(MAX(0,FLOOR($D$15*D56*MAX(0,1-D56/(($D$10+SUM($N$33:N56))/$D$5)),1)),IF(A57&gt;=$D$14,IF(AND(D56&gt;0,F56&gt;0),INT(K56*D56/F56),0),1000000000),MIN(IF($D$11&gt;G56,INT(($D$11-G56)/$D$5),0)-D56,MAX(B57,INT(($D$10+SUM($N$33:N56))/$D$5)-D56))))</f>
        <v/>
      </c>
      <c r="D57" s="8">
        <f>D56+C57</f>
        <v/>
      </c>
      <c r="E57" s="8">
        <f>$D$5</f>
        <v/>
      </c>
      <c r="F57" s="8">
        <f>IF(G56&gt;=$D$11,0,MIN(D57*E57,$D$11-G56))</f>
        <v/>
      </c>
      <c r="G57" s="8">
        <f>G56+F57</f>
        <v/>
      </c>
      <c r="H57" s="10">
        <f>H56+$D$6*F57</f>
        <v/>
      </c>
      <c r="I57" s="10">
        <f>$D$7*F57+Q57</f>
        <v/>
      </c>
      <c r="J57" s="10">
        <f>J56+$D$8*F57+K57-P57</f>
        <v/>
      </c>
      <c r="K57" s="10">
        <f>($D$9/12)*J56</f>
        <v/>
      </c>
      <c r="L57" s="9">
        <f>IF(G57=0,0,J57/(G57*$D$12))</f>
        <v/>
      </c>
      <c r="M57" s="13">
        <f>I57/G57</f>
        <v/>
      </c>
      <c r="N57" s="8">
        <f>INDEX($G$6:$G$30,MIN(INT((A57-1)/12)+1,25))</f>
        <v/>
      </c>
      <c r="O57" s="126">
        <f>G57*$D$12</f>
        <v/>
      </c>
      <c r="P57">
        <f>IF(F57=0,0,MAX(0,0.01*G57-$D$7*F57))</f>
        <v/>
      </c>
    </row>
    <row r="58">
      <c r="A58" s="7" t="n">
        <v>26</v>
      </c>
      <c r="B58" s="98">
        <f>CEILING(0.0101*G57/$D$5,1)</f>
        <v/>
      </c>
      <c r="C58" s="8">
        <f>MAX(0,MIN(MAX(0,FLOOR($D$15*D57*MAX(0,1-D57/(($D$10+SUM($N$33:N57))/$D$5)),1)),IF(A58&gt;=$D$14,IF(AND(D57&gt;0,F57&gt;0),INT(K57*D57/F57),0),1000000000),MIN(IF($D$11&gt;G57,INT(($D$11-G57)/$D$5),0)-D57,MAX(B58,INT(($D$10+SUM($N$33:N57))/$D$5)-D57))))</f>
        <v/>
      </c>
      <c r="D58" s="8">
        <f>D57+C58</f>
        <v/>
      </c>
      <c r="E58" s="8">
        <f>$D$5</f>
        <v/>
      </c>
      <c r="F58" s="8">
        <f>IF(G57&gt;=$D$11,0,MIN(D58*E58,$D$11-G57))</f>
        <v/>
      </c>
      <c r="G58" s="8">
        <f>G57+F58</f>
        <v/>
      </c>
      <c r="H58" s="10">
        <f>H57+$D$6*F58</f>
        <v/>
      </c>
      <c r="I58" s="10">
        <f>$D$7*F58+Q58</f>
        <v/>
      </c>
      <c r="J58" s="10">
        <f>J57+$D$8*F58+K58-P58</f>
        <v/>
      </c>
      <c r="K58" s="10">
        <f>($D$9/12)*J57</f>
        <v/>
      </c>
      <c r="L58" s="9">
        <f>IF(G58=0,0,J58/(G58*$D$12))</f>
        <v/>
      </c>
      <c r="M58" s="13">
        <f>I58/G58</f>
        <v/>
      </c>
      <c r="N58" s="8">
        <f>INDEX($G$6:$G$30,MIN(INT((A58-1)/12)+1,25))</f>
        <v/>
      </c>
      <c r="O58" s="126">
        <f>G58*$D$12</f>
        <v/>
      </c>
      <c r="P58">
        <f>IF(F58=0,0,MAX(0,0.01*G58-$D$7*F58))</f>
        <v/>
      </c>
    </row>
    <row r="59">
      <c r="A59" s="7" t="n">
        <v>27</v>
      </c>
      <c r="B59" s="98">
        <f>CEILING(0.0101*G58/$D$5,1)</f>
        <v/>
      </c>
      <c r="C59" s="8">
        <f>MAX(0,MIN(MAX(0,FLOOR($D$15*D58*MAX(0,1-D58/(($D$10+SUM($N$33:N58))/$D$5)),1)),IF(A59&gt;=$D$14,IF(AND(D58&gt;0,F58&gt;0),INT(K58*D58/F58),0),1000000000),MIN(IF($D$11&gt;G58,INT(($D$11-G58)/$D$5),0)-D58,MAX(B59,INT(($D$10+SUM($N$33:N58))/$D$5)-D58))))</f>
        <v/>
      </c>
      <c r="D59" s="8">
        <f>D58+C59</f>
        <v/>
      </c>
      <c r="E59" s="8">
        <f>$D$5</f>
        <v/>
      </c>
      <c r="F59" s="8">
        <f>IF(G58&gt;=$D$11,0,MIN(D59*E59,$D$11-G58))</f>
        <v/>
      </c>
      <c r="G59" s="8">
        <f>G58+F59</f>
        <v/>
      </c>
      <c r="H59" s="10">
        <f>H58+$D$6*F59</f>
        <v/>
      </c>
      <c r="I59" s="10">
        <f>$D$7*F59+Q59</f>
        <v/>
      </c>
      <c r="J59" s="10">
        <f>J58+$D$8*F59+K59-P59</f>
        <v/>
      </c>
      <c r="K59" s="10">
        <f>($D$9/12)*J58</f>
        <v/>
      </c>
      <c r="L59" s="9">
        <f>IF(G59=0,0,J59/(G59*$D$12))</f>
        <v/>
      </c>
      <c r="M59" s="13">
        <f>I59/G59</f>
        <v/>
      </c>
      <c r="N59" s="8">
        <f>INDEX($G$6:$G$30,MIN(INT((A59-1)/12)+1,25))</f>
        <v/>
      </c>
      <c r="O59" s="126">
        <f>G59*$D$12</f>
        <v/>
      </c>
      <c r="P59">
        <f>IF(F59=0,0,MAX(0,0.01*G59-$D$7*F59))</f>
        <v/>
      </c>
    </row>
    <row r="60">
      <c r="A60" s="7" t="n">
        <v>28</v>
      </c>
      <c r="B60" s="98">
        <f>CEILING(0.0101*G59/$D$5,1)</f>
        <v/>
      </c>
      <c r="C60" s="8">
        <f>MAX(0,MIN(MAX(0,FLOOR($D$15*D59*MAX(0,1-D59/(($D$10+SUM($N$33:N59))/$D$5)),1)),IF(A60&gt;=$D$14,IF(AND(D59&gt;0,F59&gt;0),INT(K59*D59/F59),0),1000000000),MIN(IF($D$11&gt;G59,INT(($D$11-G59)/$D$5),0)-D59,MAX(B60,INT(($D$10+SUM($N$33:N59))/$D$5)-D59))))</f>
        <v/>
      </c>
      <c r="D60" s="8">
        <f>D59+C60</f>
        <v/>
      </c>
      <c r="E60" s="8">
        <f>$D$5</f>
        <v/>
      </c>
      <c r="F60" s="8">
        <f>IF(G59&gt;=$D$11,0,MIN(D60*E60,$D$11-G59))</f>
        <v/>
      </c>
      <c r="G60" s="8">
        <f>G59+F60</f>
        <v/>
      </c>
      <c r="H60" s="10">
        <f>H59+$D$6*F60</f>
        <v/>
      </c>
      <c r="I60" s="10">
        <f>$D$7*F60+Q60</f>
        <v/>
      </c>
      <c r="J60" s="10">
        <f>J59+$D$8*F60+K60-P60</f>
        <v/>
      </c>
      <c r="K60" s="10">
        <f>($D$9/12)*J59</f>
        <v/>
      </c>
      <c r="L60" s="9">
        <f>IF(G60=0,0,J60/(G60*$D$12))</f>
        <v/>
      </c>
      <c r="M60" s="13">
        <f>I60/G60</f>
        <v/>
      </c>
      <c r="N60" s="8">
        <f>INDEX($G$6:$G$30,MIN(INT((A60-1)/12)+1,25))</f>
        <v/>
      </c>
      <c r="O60" s="126">
        <f>G60*$D$12</f>
        <v/>
      </c>
      <c r="P60">
        <f>IF(F60=0,0,MAX(0,0.01*G60-$D$7*F60))</f>
        <v/>
      </c>
    </row>
    <row r="61">
      <c r="A61" s="7" t="n">
        <v>29</v>
      </c>
      <c r="B61" s="98">
        <f>CEILING(0.0101*G60/$D$5,1)</f>
        <v/>
      </c>
      <c r="C61" s="8">
        <f>MAX(0,MIN(MAX(0,FLOOR($D$15*D60*MAX(0,1-D60/(($D$10+SUM($N$33:N60))/$D$5)),1)),IF(A61&gt;=$D$14,IF(AND(D60&gt;0,F60&gt;0),INT(K60*D60/F60),0),1000000000),MIN(IF($D$11&gt;G60,INT(($D$11-G60)/$D$5),0)-D60,MAX(B61,INT(($D$10+SUM($N$33:N60))/$D$5)-D60))))</f>
        <v/>
      </c>
      <c r="D61" s="8">
        <f>D60+C61</f>
        <v/>
      </c>
      <c r="E61" s="8">
        <f>$D$5</f>
        <v/>
      </c>
      <c r="F61" s="8">
        <f>IF(G60&gt;=$D$11,0,MIN(D61*E61,$D$11-G60))</f>
        <v/>
      </c>
      <c r="G61" s="8">
        <f>G60+F61</f>
        <v/>
      </c>
      <c r="H61" s="10">
        <f>H60+$D$6*F61</f>
        <v/>
      </c>
      <c r="I61" s="10">
        <f>$D$7*F61+Q61</f>
        <v/>
      </c>
      <c r="J61" s="10">
        <f>J60+$D$8*F61+K61-P61</f>
        <v/>
      </c>
      <c r="K61" s="10">
        <f>($D$9/12)*J60</f>
        <v/>
      </c>
      <c r="L61" s="9">
        <f>IF(G61=0,0,J61/(G61*$D$12))</f>
        <v/>
      </c>
      <c r="M61" s="13">
        <f>I61/G61</f>
        <v/>
      </c>
      <c r="N61" s="8">
        <f>INDEX($G$6:$G$30,MIN(INT((A61-1)/12)+1,25))</f>
        <v/>
      </c>
      <c r="O61" s="126">
        <f>G61*$D$12</f>
        <v/>
      </c>
      <c r="P61">
        <f>IF(F61=0,0,MAX(0,0.01*G61-$D$7*F61))</f>
        <v/>
      </c>
    </row>
    <row r="62">
      <c r="A62" s="7" t="n">
        <v>30</v>
      </c>
      <c r="B62" s="98">
        <f>CEILING(0.0101*G61/$D$5,1)</f>
        <v/>
      </c>
      <c r="C62" s="8">
        <f>MAX(0,MIN(MAX(0,FLOOR($D$15*D61*MAX(0,1-D61/(($D$10+SUM($N$33:N61))/$D$5)),1)),IF(A62&gt;=$D$14,IF(AND(D61&gt;0,F61&gt;0),INT(K61*D61/F61),0),1000000000),MIN(IF($D$11&gt;G61,INT(($D$11-G61)/$D$5),0)-D61,MAX(B62,INT(($D$10+SUM($N$33:N61))/$D$5)-D61))))</f>
        <v/>
      </c>
      <c r="D62" s="8">
        <f>D61+C62</f>
        <v/>
      </c>
      <c r="E62" s="8">
        <f>$D$5</f>
        <v/>
      </c>
      <c r="F62" s="8">
        <f>IF(G61&gt;=$D$11,0,MIN(D62*E62,$D$11-G61))</f>
        <v/>
      </c>
      <c r="G62" s="8">
        <f>G61+F62</f>
        <v/>
      </c>
      <c r="H62" s="10">
        <f>H61+$D$6*F62</f>
        <v/>
      </c>
      <c r="I62" s="10">
        <f>$D$7*F62+Q62</f>
        <v/>
      </c>
      <c r="J62" s="10">
        <f>J61+$D$8*F62+K62-P62</f>
        <v/>
      </c>
      <c r="K62" s="10">
        <f>($D$9/12)*J61</f>
        <v/>
      </c>
      <c r="L62" s="9">
        <f>IF(G62=0,0,J62/(G62*$D$12))</f>
        <v/>
      </c>
      <c r="M62" s="13">
        <f>I62/G62</f>
        <v/>
      </c>
      <c r="N62" s="8">
        <f>INDEX($G$6:$G$30,MIN(INT((A62-1)/12)+1,25))</f>
        <v/>
      </c>
      <c r="O62" s="126">
        <f>G62*$D$12</f>
        <v/>
      </c>
      <c r="P62">
        <f>IF(F62=0,0,MAX(0,0.01*G62-$D$7*F62))</f>
        <v/>
      </c>
    </row>
    <row r="63">
      <c r="A63" s="7" t="n">
        <v>31</v>
      </c>
      <c r="B63" s="98">
        <f>CEILING(0.0101*G62/$D$5,1)</f>
        <v/>
      </c>
      <c r="C63" s="8">
        <f>MAX(0,MIN(MAX(0,FLOOR($D$15*D62*MAX(0,1-D62/(($D$10+SUM($N$33:N62))/$D$5)),1)),IF(A63&gt;=$D$14,IF(AND(D62&gt;0,F62&gt;0),INT(K62*D62/F62),0),1000000000),MIN(IF($D$11&gt;G62,INT(($D$11-G62)/$D$5),0)-D62,MAX(B63,INT(($D$10+SUM($N$33:N62))/$D$5)-D62))))</f>
        <v/>
      </c>
      <c r="D63" s="8">
        <f>D62+C63</f>
        <v/>
      </c>
      <c r="E63" s="8">
        <f>$D$5</f>
        <v/>
      </c>
      <c r="F63" s="8">
        <f>IF(G62&gt;=$D$11,0,MIN(D63*E63,$D$11-G62))</f>
        <v/>
      </c>
      <c r="G63" s="8">
        <f>G62+F63</f>
        <v/>
      </c>
      <c r="H63" s="10">
        <f>H62+$D$6*F63</f>
        <v/>
      </c>
      <c r="I63" s="10">
        <f>$D$7*F63+Q63</f>
        <v/>
      </c>
      <c r="J63" s="10">
        <f>J62+$D$8*F63+K63-P63</f>
        <v/>
      </c>
      <c r="K63" s="10">
        <f>($D$9/12)*J62</f>
        <v/>
      </c>
      <c r="L63" s="9">
        <f>IF(G63=0,0,J63/(G63*$D$12))</f>
        <v/>
      </c>
      <c r="M63" s="13">
        <f>I63/G63</f>
        <v/>
      </c>
      <c r="N63" s="8">
        <f>INDEX($G$6:$G$30,MIN(INT((A63-1)/12)+1,25))</f>
        <v/>
      </c>
      <c r="O63" s="126">
        <f>G63*$D$12</f>
        <v/>
      </c>
      <c r="P63">
        <f>IF(F63=0,0,MAX(0,0.01*G63-$D$7*F63))</f>
        <v/>
      </c>
    </row>
    <row r="64">
      <c r="A64" s="7" t="n">
        <v>32</v>
      </c>
      <c r="B64" s="98">
        <f>CEILING(0.0101*G63/$D$5,1)</f>
        <v/>
      </c>
      <c r="C64" s="8">
        <f>MAX(0,MIN(MAX(0,FLOOR($D$15*D63*MAX(0,1-D63/(($D$10+SUM($N$33:N63))/$D$5)),1)),IF(A64&gt;=$D$14,IF(AND(D63&gt;0,F63&gt;0),INT(K63*D63/F63),0),1000000000),MIN(IF($D$11&gt;G63,INT(($D$11-G63)/$D$5),0)-D63,MAX(B64,INT(($D$10+SUM($N$33:N63))/$D$5)-D63))))</f>
        <v/>
      </c>
      <c r="D64" s="8">
        <f>D63+C64</f>
        <v/>
      </c>
      <c r="E64" s="8">
        <f>$D$5</f>
        <v/>
      </c>
      <c r="F64" s="8">
        <f>IF(G63&gt;=$D$11,0,MIN(D64*E64,$D$11-G63))</f>
        <v/>
      </c>
      <c r="G64" s="8">
        <f>G63+F64</f>
        <v/>
      </c>
      <c r="H64" s="10">
        <f>H63+$D$6*F64</f>
        <v/>
      </c>
      <c r="I64" s="10">
        <f>$D$7*F64+Q64</f>
        <v/>
      </c>
      <c r="J64" s="10">
        <f>J63+$D$8*F64+K64-P64</f>
        <v/>
      </c>
      <c r="K64" s="10">
        <f>($D$9/12)*J63</f>
        <v/>
      </c>
      <c r="L64" s="9">
        <f>IF(G64=0,0,J64/(G64*$D$12))</f>
        <v/>
      </c>
      <c r="M64" s="13">
        <f>I64/G64</f>
        <v/>
      </c>
      <c r="N64" s="8">
        <f>INDEX($G$6:$G$30,MIN(INT((A64-1)/12)+1,25))</f>
        <v/>
      </c>
      <c r="O64" s="126">
        <f>G64*$D$12</f>
        <v/>
      </c>
      <c r="P64">
        <f>IF(F64=0,0,MAX(0,0.01*G64-$D$7*F64))</f>
        <v/>
      </c>
    </row>
    <row r="65">
      <c r="A65" s="7" t="n">
        <v>33</v>
      </c>
      <c r="B65" s="98">
        <f>CEILING(0.0101*G64/$D$5,1)</f>
        <v/>
      </c>
      <c r="C65" s="8">
        <f>MAX(0,MIN(MAX(0,FLOOR($D$15*D64*MAX(0,1-D64/(($D$10+SUM($N$33:N64))/$D$5)),1)),IF(A65&gt;=$D$14,IF(AND(D64&gt;0,F64&gt;0),INT(K64*D64/F64),0),1000000000),MIN(IF($D$11&gt;G64,INT(($D$11-G64)/$D$5),0)-D64,MAX(B65,INT(($D$10+SUM($N$33:N64))/$D$5)-D64))))</f>
        <v/>
      </c>
      <c r="D65" s="8">
        <f>D64+C65</f>
        <v/>
      </c>
      <c r="E65" s="8">
        <f>$D$5</f>
        <v/>
      </c>
      <c r="F65" s="8">
        <f>IF(G64&gt;=$D$11,0,MIN(D65*E65,$D$11-G64))</f>
        <v/>
      </c>
      <c r="G65" s="8">
        <f>G64+F65</f>
        <v/>
      </c>
      <c r="H65" s="10">
        <f>H64+$D$6*F65</f>
        <v/>
      </c>
      <c r="I65" s="10">
        <f>$D$7*F65+Q65</f>
        <v/>
      </c>
      <c r="J65" s="10">
        <f>J64+$D$8*F65+K65-P65</f>
        <v/>
      </c>
      <c r="K65" s="10">
        <f>($D$9/12)*J64</f>
        <v/>
      </c>
      <c r="L65" s="9">
        <f>IF(G65=0,0,J65/(G65*$D$12))</f>
        <v/>
      </c>
      <c r="M65" s="13">
        <f>I65/G65</f>
        <v/>
      </c>
      <c r="N65" s="8">
        <f>INDEX($G$6:$G$30,MIN(INT((A65-1)/12)+1,25))</f>
        <v/>
      </c>
      <c r="O65" s="126">
        <f>G65*$D$12</f>
        <v/>
      </c>
      <c r="P65">
        <f>IF(F65=0,0,MAX(0,0.01*G65-$D$7*F65))</f>
        <v/>
      </c>
    </row>
    <row r="66">
      <c r="A66" s="7" t="n">
        <v>34</v>
      </c>
      <c r="B66" s="98">
        <f>CEILING(0.0101*G65/$D$5,1)</f>
        <v/>
      </c>
      <c r="C66" s="8">
        <f>MAX(0,MIN(MAX(0,FLOOR($D$15*D65*MAX(0,1-D65/(($D$10+SUM($N$33:N65))/$D$5)),1)),IF(A66&gt;=$D$14,IF(AND(D65&gt;0,F65&gt;0),INT(K65*D65/F65),0),1000000000),MIN(IF($D$11&gt;G65,INT(($D$11-G65)/$D$5),0)-D65,MAX(B66,INT(($D$10+SUM($N$33:N65))/$D$5)-D65))))</f>
        <v/>
      </c>
      <c r="D66" s="8">
        <f>D65+C66</f>
        <v/>
      </c>
      <c r="E66" s="8">
        <f>$D$5</f>
        <v/>
      </c>
      <c r="F66" s="8">
        <f>IF(G65&gt;=$D$11,0,MIN(D66*E66,$D$11-G65))</f>
        <v/>
      </c>
      <c r="G66" s="8">
        <f>G65+F66</f>
        <v/>
      </c>
      <c r="H66" s="10">
        <f>H65+$D$6*F66</f>
        <v/>
      </c>
      <c r="I66" s="10">
        <f>$D$7*F66+Q66</f>
        <v/>
      </c>
      <c r="J66" s="10">
        <f>J65+$D$8*F66+K66-P66</f>
        <v/>
      </c>
      <c r="K66" s="10">
        <f>($D$9/12)*J65</f>
        <v/>
      </c>
      <c r="L66" s="9">
        <f>IF(G66=0,0,J66/(G66*$D$12))</f>
        <v/>
      </c>
      <c r="M66" s="13">
        <f>I66/G66</f>
        <v/>
      </c>
      <c r="N66" s="8">
        <f>INDEX($G$6:$G$30,MIN(INT((A66-1)/12)+1,25))</f>
        <v/>
      </c>
      <c r="O66" s="126">
        <f>G66*$D$12</f>
        <v/>
      </c>
      <c r="P66">
        <f>IF(F66=0,0,MAX(0,0.01*G66-$D$7*F66))</f>
        <v/>
      </c>
    </row>
    <row r="67">
      <c r="A67" s="7" t="n">
        <v>35</v>
      </c>
      <c r="B67" s="98">
        <f>CEILING(0.0101*G66/$D$5,1)</f>
        <v/>
      </c>
      <c r="C67" s="8">
        <f>MAX(0,MIN(MAX(0,FLOOR($D$15*D66*MAX(0,1-D66/(($D$10+SUM($N$33:N66))/$D$5)),1)),IF(A67&gt;=$D$14,IF(AND(D66&gt;0,F66&gt;0),INT(K66*D66/F66),0),1000000000),MIN(IF($D$11&gt;G66,INT(($D$11-G66)/$D$5),0)-D66,MAX(B67,INT(($D$10+SUM($N$33:N66))/$D$5)-D66))))</f>
        <v/>
      </c>
      <c r="D67" s="8">
        <f>D66+C67</f>
        <v/>
      </c>
      <c r="E67" s="8">
        <f>$D$5</f>
        <v/>
      </c>
      <c r="F67" s="8">
        <f>IF(G66&gt;=$D$11,0,MIN(D67*E67,$D$11-G66))</f>
        <v/>
      </c>
      <c r="G67" s="8">
        <f>G66+F67</f>
        <v/>
      </c>
      <c r="H67" s="10">
        <f>H66+$D$6*F67</f>
        <v/>
      </c>
      <c r="I67" s="10">
        <f>$D$7*F67+Q67</f>
        <v/>
      </c>
      <c r="J67" s="10">
        <f>J66+$D$8*F67+K67-P67</f>
        <v/>
      </c>
      <c r="K67" s="10">
        <f>($D$9/12)*J66</f>
        <v/>
      </c>
      <c r="L67" s="9">
        <f>IF(G67=0,0,J67/(G67*$D$12))</f>
        <v/>
      </c>
      <c r="M67" s="13">
        <f>I67/G67</f>
        <v/>
      </c>
      <c r="N67" s="8">
        <f>INDEX($G$6:$G$30,MIN(INT((A67-1)/12)+1,25))</f>
        <v/>
      </c>
      <c r="O67" s="126">
        <f>G67*$D$12</f>
        <v/>
      </c>
      <c r="P67">
        <f>IF(F67=0,0,MAX(0,0.01*G67-$D$7*F67))</f>
        <v/>
      </c>
    </row>
    <row r="68">
      <c r="A68" s="7" t="n">
        <v>36</v>
      </c>
      <c r="B68" s="98">
        <f>CEILING(0.0101*G67/$D$5,1)</f>
        <v/>
      </c>
      <c r="C68" s="8">
        <f>MAX(0,MIN(MAX(0,FLOOR($D$15*D67*MAX(0,1-D67/(($D$10+SUM($N$33:N67))/$D$5)),1)),IF(A68&gt;=$D$14,IF(AND(D67&gt;0,F67&gt;0),INT(K67*D67/F67),0),1000000000),MIN(IF($D$11&gt;G67,INT(($D$11-G67)/$D$5),0)-D67,MAX(B68,INT(($D$10+SUM($N$33:N67))/$D$5)-D67))))</f>
        <v/>
      </c>
      <c r="D68" s="8">
        <f>D67+C68</f>
        <v/>
      </c>
      <c r="E68" s="8">
        <f>$D$5</f>
        <v/>
      </c>
      <c r="F68" s="8">
        <f>IF(G67&gt;=$D$11,0,MIN(D68*E68,$D$11-G67))</f>
        <v/>
      </c>
      <c r="G68" s="8">
        <f>G67+F68</f>
        <v/>
      </c>
      <c r="H68" s="10">
        <f>H67+$D$6*F68</f>
        <v/>
      </c>
      <c r="I68" s="10">
        <f>$D$7*F68+Q68</f>
        <v/>
      </c>
      <c r="J68" s="10">
        <f>J67+$D$8*F68+K68-P68</f>
        <v/>
      </c>
      <c r="K68" s="10">
        <f>($D$9/12)*J67</f>
        <v/>
      </c>
      <c r="L68" s="9">
        <f>IF(G68=0,0,J68/(G68*$D$12))</f>
        <v/>
      </c>
      <c r="M68" s="13">
        <f>I68/G68</f>
        <v/>
      </c>
      <c r="N68" s="8">
        <f>INDEX($G$6:$G$30,MIN(INT((A68-1)/12)+1,25))</f>
        <v/>
      </c>
      <c r="O68" s="126">
        <f>G68*$D$12</f>
        <v/>
      </c>
      <c r="P68">
        <f>IF(F68=0,0,MAX(0,0.01*G68-$D$7*F68))</f>
        <v/>
      </c>
    </row>
    <row r="69">
      <c r="A69" s="7" t="n">
        <v>37</v>
      </c>
      <c r="B69" s="98">
        <f>CEILING(0.0101*G68/$D$5,1)</f>
        <v/>
      </c>
      <c r="C69" s="8">
        <f>MAX(0,MIN(MAX(0,FLOOR($D$15*D68*MAX(0,1-D68/(($D$10+SUM($N$33:N68))/$D$5)),1)),IF(A69&gt;=$D$14,IF(AND(D68&gt;0,F68&gt;0),INT(K68*D68/F68),0),1000000000),MIN(IF($D$11&gt;G68,INT(($D$11-G68)/$D$5),0)-D68,MAX(B69,INT(($D$10+SUM($N$33:N68))/$D$5)-D68))))</f>
        <v/>
      </c>
      <c r="D69" s="8">
        <f>D68+C69</f>
        <v/>
      </c>
      <c r="E69" s="8">
        <f>$D$5</f>
        <v/>
      </c>
      <c r="F69" s="8">
        <f>IF(G68&gt;=$D$11,0,MIN(D69*E69,$D$11-G68))</f>
        <v/>
      </c>
      <c r="G69" s="8">
        <f>G68+F69</f>
        <v/>
      </c>
      <c r="H69" s="10">
        <f>H68+$D$6*F69</f>
        <v/>
      </c>
      <c r="I69" s="10">
        <f>$D$7*F69+Q69</f>
        <v/>
      </c>
      <c r="J69" s="10">
        <f>J68+$D$8*F69+K69-P69</f>
        <v/>
      </c>
      <c r="K69" s="10">
        <f>($D$9/12)*J68</f>
        <v/>
      </c>
      <c r="L69" s="9">
        <f>IF(G69=0,0,J69/(G69*$D$12))</f>
        <v/>
      </c>
      <c r="M69" s="13">
        <f>I69/G69</f>
        <v/>
      </c>
      <c r="N69" s="8">
        <f>INDEX($G$6:$G$30,MIN(INT((A69-1)/12)+1,25))</f>
        <v/>
      </c>
      <c r="O69" s="126">
        <f>G69*$D$12</f>
        <v/>
      </c>
      <c r="P69">
        <f>IF(F69=0,0,MAX(0,0.01*G69-$D$7*F69))</f>
        <v/>
      </c>
    </row>
    <row r="70">
      <c r="A70" s="7" t="n">
        <v>38</v>
      </c>
      <c r="B70" s="98">
        <f>CEILING(0.0101*G69/$D$5,1)</f>
        <v/>
      </c>
      <c r="C70" s="8">
        <f>MAX(0,MIN(MAX(0,FLOOR($D$15*D69*MAX(0,1-D69/(($D$10+SUM($N$33:N69))/$D$5)),1)),IF(A70&gt;=$D$14,IF(AND(D69&gt;0,F69&gt;0),INT(K69*D69/F69),0),1000000000),MIN(IF($D$11&gt;G69,INT(($D$11-G69)/$D$5),0)-D69,MAX(B70,INT(($D$10+SUM($N$33:N69))/$D$5)-D69))))</f>
        <v/>
      </c>
      <c r="D70" s="8">
        <f>D69+C70</f>
        <v/>
      </c>
      <c r="E70" s="8">
        <f>$D$5</f>
        <v/>
      </c>
      <c r="F70" s="8">
        <f>IF(G69&gt;=$D$11,0,MIN(D70*E70,$D$11-G69))</f>
        <v/>
      </c>
      <c r="G70" s="8">
        <f>G69+F70</f>
        <v/>
      </c>
      <c r="H70" s="10">
        <f>H69+$D$6*F70</f>
        <v/>
      </c>
      <c r="I70" s="10">
        <f>$D$7*F70+Q70</f>
        <v/>
      </c>
      <c r="J70" s="10">
        <f>J69+$D$8*F70+K70-P70</f>
        <v/>
      </c>
      <c r="K70" s="10">
        <f>($D$9/12)*J69</f>
        <v/>
      </c>
      <c r="L70" s="9">
        <f>IF(G70=0,0,J70/(G70*$D$12))</f>
        <v/>
      </c>
      <c r="M70" s="13">
        <f>I70/G70</f>
        <v/>
      </c>
      <c r="N70" s="8">
        <f>INDEX($G$6:$G$30,MIN(INT((A70-1)/12)+1,25))</f>
        <v/>
      </c>
      <c r="O70" s="126">
        <f>G70*$D$12</f>
        <v/>
      </c>
      <c r="P70">
        <f>IF(F70=0,0,MAX(0,0.01*G70-$D$7*F70))</f>
        <v/>
      </c>
    </row>
    <row r="71">
      <c r="A71" s="7" t="n">
        <v>39</v>
      </c>
      <c r="B71" s="98">
        <f>CEILING(0.0101*G70/$D$5,1)</f>
        <v/>
      </c>
      <c r="C71" s="8">
        <f>MAX(0,MIN(MAX(0,FLOOR($D$15*D70*MAX(0,1-D70/(($D$10+SUM($N$33:N70))/$D$5)),1)),IF(A71&gt;=$D$14,IF(AND(D70&gt;0,F70&gt;0),INT(K70*D70/F70),0),1000000000),MIN(IF($D$11&gt;G70,INT(($D$11-G70)/$D$5),0)-D70,MAX(B71,INT(($D$10+SUM($N$33:N70))/$D$5)-D70))))</f>
        <v/>
      </c>
      <c r="D71" s="8">
        <f>D70+C71</f>
        <v/>
      </c>
      <c r="E71" s="8">
        <f>$D$5</f>
        <v/>
      </c>
      <c r="F71" s="8">
        <f>IF(G70&gt;=$D$11,0,MIN(D71*E71,$D$11-G70))</f>
        <v/>
      </c>
      <c r="G71" s="8">
        <f>G70+F71</f>
        <v/>
      </c>
      <c r="H71" s="10">
        <f>H70+$D$6*F71</f>
        <v/>
      </c>
      <c r="I71" s="10">
        <f>$D$7*F71+Q71</f>
        <v/>
      </c>
      <c r="J71" s="10">
        <f>J70+$D$8*F71+K71-P71</f>
        <v/>
      </c>
      <c r="K71" s="10">
        <f>($D$9/12)*J70</f>
        <v/>
      </c>
      <c r="L71" s="9">
        <f>IF(G71=0,0,J71/(G71*$D$12))</f>
        <v/>
      </c>
      <c r="M71" s="13">
        <f>I71/G71</f>
        <v/>
      </c>
      <c r="N71" s="8">
        <f>INDEX($G$6:$G$30,MIN(INT((A71-1)/12)+1,25))</f>
        <v/>
      </c>
      <c r="O71" s="126">
        <f>G71*$D$12</f>
        <v/>
      </c>
      <c r="P71">
        <f>IF(F71=0,0,MAX(0,0.01*G71-$D$7*F71))</f>
        <v/>
      </c>
    </row>
    <row r="72">
      <c r="A72" s="7" t="n">
        <v>40</v>
      </c>
      <c r="B72" s="98">
        <f>CEILING(0.0101*G71/$D$5,1)</f>
        <v/>
      </c>
      <c r="C72" s="8">
        <f>MAX(0,MIN(MAX(0,FLOOR($D$15*D71*MAX(0,1-D71/(($D$10+SUM($N$33:N71))/$D$5)),1)),IF(A72&gt;=$D$14,IF(AND(D71&gt;0,F71&gt;0),INT(K71*D71/F71),0),1000000000),MIN(IF($D$11&gt;G71,INT(($D$11-G71)/$D$5),0)-D71,MAX(B72,INT(($D$10+SUM($N$33:N71))/$D$5)-D71))))</f>
        <v/>
      </c>
      <c r="D72" s="8">
        <f>D71+C72</f>
        <v/>
      </c>
      <c r="E72" s="8">
        <f>$D$5</f>
        <v/>
      </c>
      <c r="F72" s="8">
        <f>IF(G71&gt;=$D$11,0,MIN(D72*E72,$D$11-G71))</f>
        <v/>
      </c>
      <c r="G72" s="8">
        <f>G71+F72</f>
        <v/>
      </c>
      <c r="H72" s="10">
        <f>H71+$D$6*F72</f>
        <v/>
      </c>
      <c r="I72" s="10">
        <f>$D$7*F72+Q72</f>
        <v/>
      </c>
      <c r="J72" s="10">
        <f>J71+$D$8*F72+K72-P72</f>
        <v/>
      </c>
      <c r="K72" s="10">
        <f>($D$9/12)*J71</f>
        <v/>
      </c>
      <c r="L72" s="9">
        <f>IF(G72=0,0,J72/(G72*$D$12))</f>
        <v/>
      </c>
      <c r="M72" s="13">
        <f>I72/G72</f>
        <v/>
      </c>
      <c r="N72" s="8">
        <f>INDEX($G$6:$G$30,MIN(INT((A72-1)/12)+1,25))</f>
        <v/>
      </c>
      <c r="O72" s="126">
        <f>G72*$D$12</f>
        <v/>
      </c>
      <c r="P72">
        <f>IF(F72=0,0,MAX(0,0.01*G72-$D$7*F72))</f>
        <v/>
      </c>
    </row>
    <row r="73">
      <c r="A73" s="7" t="n">
        <v>41</v>
      </c>
      <c r="B73" s="98">
        <f>CEILING(0.0101*G72/$D$5,1)</f>
        <v/>
      </c>
      <c r="C73" s="8">
        <f>MAX(0,MIN(MAX(0,FLOOR($D$15*D72*MAX(0,1-D72/(($D$10+SUM($N$33:N72))/$D$5)),1)),IF(A73&gt;=$D$14,IF(AND(D72&gt;0,F72&gt;0),INT(K72*D72/F72),0),1000000000),MIN(IF($D$11&gt;G72,INT(($D$11-G72)/$D$5),0)-D72,MAX(B73,INT(($D$10+SUM($N$33:N72))/$D$5)-D72))))</f>
        <v/>
      </c>
      <c r="D73" s="8">
        <f>D72+C73</f>
        <v/>
      </c>
      <c r="E73" s="8">
        <f>$D$5</f>
        <v/>
      </c>
      <c r="F73" s="8">
        <f>IF(G72&gt;=$D$11,0,MIN(D73*E73,$D$11-G72))</f>
        <v/>
      </c>
      <c r="G73" s="8">
        <f>G72+F73</f>
        <v/>
      </c>
      <c r="H73" s="10">
        <f>H72+$D$6*F73</f>
        <v/>
      </c>
      <c r="I73" s="10">
        <f>$D$7*F73+Q73</f>
        <v/>
      </c>
      <c r="J73" s="10">
        <f>J72+$D$8*F73+K73-P73</f>
        <v/>
      </c>
      <c r="K73" s="10">
        <f>($D$9/12)*J72</f>
        <v/>
      </c>
      <c r="L73" s="9">
        <f>IF(G73=0,0,J73/(G73*$D$12))</f>
        <v/>
      </c>
      <c r="M73" s="13">
        <f>I73/G73</f>
        <v/>
      </c>
      <c r="N73" s="8">
        <f>INDEX($G$6:$G$30,MIN(INT((A73-1)/12)+1,25))</f>
        <v/>
      </c>
      <c r="O73" s="126">
        <f>G73*$D$12</f>
        <v/>
      </c>
      <c r="P73">
        <f>IF(F73=0,0,MAX(0,0.01*G73-$D$7*F73))</f>
        <v/>
      </c>
    </row>
    <row r="74">
      <c r="A74" s="7" t="n">
        <v>42</v>
      </c>
      <c r="B74" s="98">
        <f>CEILING(0.0101*G73/$D$5,1)</f>
        <v/>
      </c>
      <c r="C74" s="8">
        <f>MAX(0,MIN(MAX(0,FLOOR($D$15*D73*MAX(0,1-D73/(($D$10+SUM($N$33:N73))/$D$5)),1)),IF(A74&gt;=$D$14,IF(AND(D73&gt;0,F73&gt;0),INT(K73*D73/F73),0),1000000000),MIN(IF($D$11&gt;G73,INT(($D$11-G73)/$D$5),0)-D73,MAX(B74,INT(($D$10+SUM($N$33:N73))/$D$5)-D73))))</f>
        <v/>
      </c>
      <c r="D74" s="8">
        <f>D73+C74</f>
        <v/>
      </c>
      <c r="E74" s="8">
        <f>$D$5</f>
        <v/>
      </c>
      <c r="F74" s="8">
        <f>IF(G73&gt;=$D$11,0,MIN(D74*E74,$D$11-G73))</f>
        <v/>
      </c>
      <c r="G74" s="8">
        <f>G73+F74</f>
        <v/>
      </c>
      <c r="H74" s="10">
        <f>H73+$D$6*F74</f>
        <v/>
      </c>
      <c r="I74" s="10">
        <f>$D$7*F74+Q74</f>
        <v/>
      </c>
      <c r="J74" s="10">
        <f>J73+$D$8*F74+K74-P74</f>
        <v/>
      </c>
      <c r="K74" s="10">
        <f>($D$9/12)*J73</f>
        <v/>
      </c>
      <c r="L74" s="9">
        <f>IF(G74=0,0,J74/(G74*$D$12))</f>
        <v/>
      </c>
      <c r="M74" s="13">
        <f>I74/G74</f>
        <v/>
      </c>
      <c r="N74" s="8">
        <f>INDEX($G$6:$G$30,MIN(INT((A74-1)/12)+1,25))</f>
        <v/>
      </c>
      <c r="O74" s="126">
        <f>G74*$D$12</f>
        <v/>
      </c>
      <c r="P74">
        <f>IF(F74=0,0,MAX(0,0.01*G74-$D$7*F74))</f>
        <v/>
      </c>
    </row>
    <row r="75">
      <c r="A75" s="7" t="n">
        <v>43</v>
      </c>
      <c r="B75" s="98">
        <f>CEILING(0.0101*G74/$D$5,1)</f>
        <v/>
      </c>
      <c r="C75" s="8">
        <f>MAX(0,MIN(MAX(0,FLOOR($D$15*D74*MAX(0,1-D74/(($D$10+SUM($N$33:N74))/$D$5)),1)),IF(A75&gt;=$D$14,IF(AND(D74&gt;0,F74&gt;0),INT(K74*D74/F74),0),1000000000),MIN(IF($D$11&gt;G74,INT(($D$11-G74)/$D$5),0)-D74,MAX(B75,INT(($D$10+SUM($N$33:N74))/$D$5)-D74))))</f>
        <v/>
      </c>
      <c r="D75" s="8">
        <f>D74+C75</f>
        <v/>
      </c>
      <c r="E75" s="8">
        <f>$D$5</f>
        <v/>
      </c>
      <c r="F75" s="8">
        <f>IF(G74&gt;=$D$11,0,MIN(D75*E75,$D$11-G74))</f>
        <v/>
      </c>
      <c r="G75" s="8">
        <f>G74+F75</f>
        <v/>
      </c>
      <c r="H75" s="10">
        <f>H74+$D$6*F75</f>
        <v/>
      </c>
      <c r="I75" s="10">
        <f>$D$7*F75+Q75</f>
        <v/>
      </c>
      <c r="J75" s="10">
        <f>J74+$D$8*F75+K75-P75</f>
        <v/>
      </c>
      <c r="K75" s="10">
        <f>($D$9/12)*J74</f>
        <v/>
      </c>
      <c r="L75" s="9">
        <f>IF(G75=0,0,J75/(G75*$D$12))</f>
        <v/>
      </c>
      <c r="M75" s="13">
        <f>I75/G75</f>
        <v/>
      </c>
      <c r="N75" s="8">
        <f>INDEX($G$6:$G$30,MIN(INT((A75-1)/12)+1,25))</f>
        <v/>
      </c>
      <c r="O75" s="126">
        <f>G75*$D$12</f>
        <v/>
      </c>
      <c r="P75">
        <f>IF(F75=0,0,MAX(0,0.01*G75-$D$7*F75))</f>
        <v/>
      </c>
    </row>
    <row r="76">
      <c r="A76" s="7" t="n">
        <v>44</v>
      </c>
      <c r="B76" s="98">
        <f>CEILING(0.0101*G75/$D$5,1)</f>
        <v/>
      </c>
      <c r="C76" s="8">
        <f>MAX(0,MIN(MAX(0,FLOOR($D$15*D75*MAX(0,1-D75/(($D$10+SUM($N$33:N75))/$D$5)),1)),IF(A76&gt;=$D$14,IF(AND(D75&gt;0,F75&gt;0),INT(K75*D75/F75),0),1000000000),MIN(IF($D$11&gt;G75,INT(($D$11-G75)/$D$5),0)-D75,MAX(B76,INT(($D$10+SUM($N$33:N75))/$D$5)-D75))))</f>
        <v/>
      </c>
      <c r="D76" s="8">
        <f>D75+C76</f>
        <v/>
      </c>
      <c r="E76" s="8">
        <f>$D$5</f>
        <v/>
      </c>
      <c r="F76" s="8">
        <f>IF(G75&gt;=$D$11,0,MIN(D76*E76,$D$11-G75))</f>
        <v/>
      </c>
      <c r="G76" s="8">
        <f>G75+F76</f>
        <v/>
      </c>
      <c r="H76" s="10">
        <f>H75+$D$6*F76</f>
        <v/>
      </c>
      <c r="I76" s="10">
        <f>$D$7*F76+Q76</f>
        <v/>
      </c>
      <c r="J76" s="10">
        <f>J75+$D$8*F76+K76-P76</f>
        <v/>
      </c>
      <c r="K76" s="10">
        <f>($D$9/12)*J75</f>
        <v/>
      </c>
      <c r="L76" s="9">
        <f>IF(G76=0,0,J76/(G76*$D$12))</f>
        <v/>
      </c>
      <c r="M76" s="13">
        <f>I76/G76</f>
        <v/>
      </c>
      <c r="N76" s="8">
        <f>INDEX($G$6:$G$30,MIN(INT((A76-1)/12)+1,25))</f>
        <v/>
      </c>
      <c r="O76" s="126">
        <f>G76*$D$12</f>
        <v/>
      </c>
      <c r="P76">
        <f>IF(F76=0,0,MAX(0,0.01*G76-$D$7*F76))</f>
        <v/>
      </c>
    </row>
    <row r="77">
      <c r="A77" s="7" t="n">
        <v>45</v>
      </c>
      <c r="B77" s="98">
        <f>CEILING(0.0101*G76/$D$5,1)</f>
        <v/>
      </c>
      <c r="C77" s="8">
        <f>MAX(0,MIN(MAX(0,FLOOR($D$15*D76*MAX(0,1-D76/(($D$10+SUM($N$33:N76))/$D$5)),1)),IF(A77&gt;=$D$14,IF(AND(D76&gt;0,F76&gt;0),INT(K76*D76/F76),0),1000000000),MIN(IF($D$11&gt;G76,INT(($D$11-G76)/$D$5),0)-D76,MAX(B77,INT(($D$10+SUM($N$33:N76))/$D$5)-D76))))</f>
        <v/>
      </c>
      <c r="D77" s="8">
        <f>D76+C77</f>
        <v/>
      </c>
      <c r="E77" s="8">
        <f>$D$5</f>
        <v/>
      </c>
      <c r="F77" s="8">
        <f>IF(G76&gt;=$D$11,0,MIN(D77*E77,$D$11-G76))</f>
        <v/>
      </c>
      <c r="G77" s="8">
        <f>G76+F77</f>
        <v/>
      </c>
      <c r="H77" s="10">
        <f>H76+$D$6*F77</f>
        <v/>
      </c>
      <c r="I77" s="10">
        <f>$D$7*F77+Q77</f>
        <v/>
      </c>
      <c r="J77" s="10">
        <f>J76+$D$8*F77+K77-P77</f>
        <v/>
      </c>
      <c r="K77" s="10">
        <f>($D$9/12)*J76</f>
        <v/>
      </c>
      <c r="L77" s="9">
        <f>IF(G77=0,0,J77/(G77*$D$12))</f>
        <v/>
      </c>
      <c r="M77" s="13">
        <f>I77/G77</f>
        <v/>
      </c>
      <c r="N77" s="8">
        <f>INDEX($G$6:$G$30,MIN(INT((A77-1)/12)+1,25))</f>
        <v/>
      </c>
      <c r="O77" s="126">
        <f>G77*$D$12</f>
        <v/>
      </c>
      <c r="P77">
        <f>IF(F77=0,0,MAX(0,0.01*G77-$D$7*F77))</f>
        <v/>
      </c>
    </row>
    <row r="78">
      <c r="A78" s="7" t="n">
        <v>46</v>
      </c>
      <c r="B78" s="98">
        <f>CEILING(0.0101*G77/$D$5,1)</f>
        <v/>
      </c>
      <c r="C78" s="8">
        <f>MAX(0,MIN(MAX(0,FLOOR($D$15*D77*MAX(0,1-D77/(($D$10+SUM($N$33:N77))/$D$5)),1)),IF(A78&gt;=$D$14,IF(AND(D77&gt;0,F77&gt;0),INT(K77*D77/F77),0),1000000000),MIN(IF($D$11&gt;G77,INT(($D$11-G77)/$D$5),0)-D77,MAX(B78,INT(($D$10+SUM($N$33:N77))/$D$5)-D77))))</f>
        <v/>
      </c>
      <c r="D78" s="8">
        <f>D77+C78</f>
        <v/>
      </c>
      <c r="E78" s="8">
        <f>$D$5</f>
        <v/>
      </c>
      <c r="F78" s="8">
        <f>IF(G77&gt;=$D$11,0,MIN(D78*E78,$D$11-G77))</f>
        <v/>
      </c>
      <c r="G78" s="8">
        <f>G77+F78</f>
        <v/>
      </c>
      <c r="H78" s="10">
        <f>H77+$D$6*F78</f>
        <v/>
      </c>
      <c r="I78" s="10">
        <f>$D$7*F78+Q78</f>
        <v/>
      </c>
      <c r="J78" s="10">
        <f>J77+$D$8*F78+K78-P78</f>
        <v/>
      </c>
      <c r="K78" s="10">
        <f>($D$9/12)*J77</f>
        <v/>
      </c>
      <c r="L78" s="9">
        <f>IF(G78=0,0,J78/(G78*$D$12))</f>
        <v/>
      </c>
      <c r="M78" s="13">
        <f>I78/G78</f>
        <v/>
      </c>
      <c r="N78" s="8">
        <f>INDEX($G$6:$G$30,MIN(INT((A78-1)/12)+1,25))</f>
        <v/>
      </c>
      <c r="O78" s="126">
        <f>G78*$D$12</f>
        <v/>
      </c>
      <c r="P78">
        <f>IF(F78=0,0,MAX(0,0.01*G78-$D$7*F78))</f>
        <v/>
      </c>
    </row>
    <row r="79">
      <c r="A79" s="7" t="n">
        <v>47</v>
      </c>
      <c r="B79" s="98">
        <f>CEILING(0.0101*G78/$D$5,1)</f>
        <v/>
      </c>
      <c r="C79" s="8">
        <f>MAX(0,MIN(MAX(0,FLOOR($D$15*D78*MAX(0,1-D78/(($D$10+SUM($N$33:N78))/$D$5)),1)),IF(A79&gt;=$D$14,IF(AND(D78&gt;0,F78&gt;0),INT(K78*D78/F78),0),1000000000),MIN(IF($D$11&gt;G78,INT(($D$11-G78)/$D$5),0)-D78,MAX(B79,INT(($D$10+SUM($N$33:N78))/$D$5)-D78))))</f>
        <v/>
      </c>
      <c r="D79" s="8">
        <f>D78+C79</f>
        <v/>
      </c>
      <c r="E79" s="8">
        <f>$D$5</f>
        <v/>
      </c>
      <c r="F79" s="8">
        <f>IF(G78&gt;=$D$11,0,MIN(D79*E79,$D$11-G78))</f>
        <v/>
      </c>
      <c r="G79" s="8">
        <f>G78+F79</f>
        <v/>
      </c>
      <c r="H79" s="10">
        <f>H78+$D$6*F79</f>
        <v/>
      </c>
      <c r="I79" s="10">
        <f>$D$7*F79+Q79</f>
        <v/>
      </c>
      <c r="J79" s="10">
        <f>J78+$D$8*F79+K79-P79</f>
        <v/>
      </c>
      <c r="K79" s="10">
        <f>($D$9/12)*J78</f>
        <v/>
      </c>
      <c r="L79" s="9">
        <f>IF(G79=0,0,J79/(G79*$D$12))</f>
        <v/>
      </c>
      <c r="M79" s="13">
        <f>I79/G79</f>
        <v/>
      </c>
      <c r="N79" s="8">
        <f>INDEX($G$6:$G$30,MIN(INT((A79-1)/12)+1,25))</f>
        <v/>
      </c>
      <c r="O79" s="126">
        <f>G79*$D$12</f>
        <v/>
      </c>
      <c r="P79">
        <f>IF(F79=0,0,MAX(0,0.01*G79-$D$7*F79))</f>
        <v/>
      </c>
    </row>
    <row r="80">
      <c r="A80" s="7" t="n">
        <v>48</v>
      </c>
      <c r="B80" s="98">
        <f>CEILING(0.0101*G79/$D$5,1)</f>
        <v/>
      </c>
      <c r="C80" s="8">
        <f>MAX(0,MIN(MAX(0,FLOOR($D$15*D79*MAX(0,1-D79/(($D$10+SUM($N$33:N79))/$D$5)),1)),IF(A80&gt;=$D$14,IF(AND(D79&gt;0,F79&gt;0),INT(K79*D79/F79),0),1000000000),MIN(IF($D$11&gt;G79,INT(($D$11-G79)/$D$5),0)-D79,MAX(B80,INT(($D$10+SUM($N$33:N79))/$D$5)-D79))))</f>
        <v/>
      </c>
      <c r="D80" s="8">
        <f>D79+C80</f>
        <v/>
      </c>
      <c r="E80" s="8">
        <f>$D$5</f>
        <v/>
      </c>
      <c r="F80" s="8">
        <f>IF(G79&gt;=$D$11,0,MIN(D80*E80,$D$11-G79))</f>
        <v/>
      </c>
      <c r="G80" s="8">
        <f>G79+F80</f>
        <v/>
      </c>
      <c r="H80" s="10">
        <f>H79+$D$6*F80</f>
        <v/>
      </c>
      <c r="I80" s="10">
        <f>$D$7*F80+Q80</f>
        <v/>
      </c>
      <c r="J80" s="10">
        <f>J79+$D$8*F80+K80-P80</f>
        <v/>
      </c>
      <c r="K80" s="10">
        <f>($D$9/12)*J79</f>
        <v/>
      </c>
      <c r="L80" s="9">
        <f>IF(G80=0,0,J80/(G80*$D$12))</f>
        <v/>
      </c>
      <c r="M80" s="13">
        <f>I80/G80</f>
        <v/>
      </c>
      <c r="N80" s="8">
        <f>INDEX($G$6:$G$30,MIN(INT((A80-1)/12)+1,25))</f>
        <v/>
      </c>
      <c r="O80" s="126">
        <f>G80*$D$12</f>
        <v/>
      </c>
      <c r="P80">
        <f>IF(F80=0,0,MAX(0,0.01*G80-$D$7*F80))</f>
        <v/>
      </c>
    </row>
    <row r="81">
      <c r="A81" s="7" t="n">
        <v>49</v>
      </c>
      <c r="B81" s="98">
        <f>CEILING(0.0101*G80/$D$5,1)</f>
        <v/>
      </c>
      <c r="C81" s="8">
        <f>MAX(0,MIN(MAX(0,FLOOR($D$15*D80*MAX(0,1-D80/(($D$10+SUM($N$33:N80))/$D$5)),1)),IF(A81&gt;=$D$14,IF(AND(D80&gt;0,F80&gt;0),INT(K80*D80/F80),0),1000000000),MIN(IF($D$11&gt;G80,INT(($D$11-G80)/$D$5),0)-D80,MAX(B81,INT(($D$10+SUM($N$33:N80))/$D$5)-D80))))</f>
        <v/>
      </c>
      <c r="D81" s="8">
        <f>D80+C81</f>
        <v/>
      </c>
      <c r="E81" s="8">
        <f>$D$5</f>
        <v/>
      </c>
      <c r="F81" s="8">
        <f>IF(G80&gt;=$D$11,0,MIN(D81*E81,$D$11-G80))</f>
        <v/>
      </c>
      <c r="G81" s="8">
        <f>G80+F81</f>
        <v/>
      </c>
      <c r="H81" s="10">
        <f>H80+$D$6*F81</f>
        <v/>
      </c>
      <c r="I81" s="10">
        <f>$D$7*F81+Q81</f>
        <v/>
      </c>
      <c r="J81" s="10">
        <f>J80+$D$8*F81+K81-P81</f>
        <v/>
      </c>
      <c r="K81" s="10">
        <f>($D$9/12)*J80</f>
        <v/>
      </c>
      <c r="L81" s="9">
        <f>IF(G81=0,0,J81/(G81*$D$12))</f>
        <v/>
      </c>
      <c r="M81" s="13">
        <f>I81/G81</f>
        <v/>
      </c>
      <c r="N81" s="8">
        <f>INDEX($G$6:$G$30,MIN(INT((A81-1)/12)+1,25))</f>
        <v/>
      </c>
      <c r="O81" s="126">
        <f>G81*$D$12</f>
        <v/>
      </c>
      <c r="P81">
        <f>IF(F81=0,0,MAX(0,0.01*G81-$D$7*F81))</f>
        <v/>
      </c>
    </row>
    <row r="82">
      <c r="A82" s="7" t="n">
        <v>50</v>
      </c>
      <c r="B82" s="98">
        <f>CEILING(0.0101*G81/$D$5,1)</f>
        <v/>
      </c>
      <c r="C82" s="8">
        <f>MAX(0,MIN(MAX(0,FLOOR($D$15*D81*MAX(0,1-D81/(($D$10+SUM($N$33:N81))/$D$5)),1)),IF(A82&gt;=$D$14,IF(AND(D81&gt;0,F81&gt;0),INT(K81*D81/F81),0),1000000000),MIN(IF($D$11&gt;G81,INT(($D$11-G81)/$D$5),0)-D81,MAX(B82,INT(($D$10+SUM($N$33:N81))/$D$5)-D81))))</f>
        <v/>
      </c>
      <c r="D82" s="8">
        <f>D81+C82</f>
        <v/>
      </c>
      <c r="E82" s="8">
        <f>$D$5</f>
        <v/>
      </c>
      <c r="F82" s="8">
        <f>IF(G81&gt;=$D$11,0,MIN(D82*E82,$D$11-G81))</f>
        <v/>
      </c>
      <c r="G82" s="8">
        <f>G81+F82</f>
        <v/>
      </c>
      <c r="H82" s="10">
        <f>H81+$D$6*F82</f>
        <v/>
      </c>
      <c r="I82" s="10">
        <f>$D$7*F82+Q82</f>
        <v/>
      </c>
      <c r="J82" s="10">
        <f>J81+$D$8*F82+K82-P82</f>
        <v/>
      </c>
      <c r="K82" s="10">
        <f>($D$9/12)*J81</f>
        <v/>
      </c>
      <c r="L82" s="9">
        <f>IF(G82=0,0,J82/(G82*$D$12))</f>
        <v/>
      </c>
      <c r="M82" s="13">
        <f>I82/G82</f>
        <v/>
      </c>
      <c r="N82" s="8">
        <f>INDEX($G$6:$G$30,MIN(INT((A82-1)/12)+1,25))</f>
        <v/>
      </c>
      <c r="O82" s="126">
        <f>G82*$D$12</f>
        <v/>
      </c>
      <c r="P82">
        <f>IF(F82=0,0,MAX(0,0.01*G82-$D$7*F82))</f>
        <v/>
      </c>
    </row>
    <row r="83">
      <c r="A83" s="7" t="n">
        <v>51</v>
      </c>
      <c r="B83" s="98">
        <f>CEILING(0.0101*G82/$D$5,1)</f>
        <v/>
      </c>
      <c r="C83" s="8">
        <f>MAX(0,MIN(MAX(0,FLOOR($D$15*D82*MAX(0,1-D82/(($D$10+SUM($N$33:N82))/$D$5)),1)),IF(A83&gt;=$D$14,IF(AND(D82&gt;0,F82&gt;0),INT(K82*D82/F82),0),1000000000),MIN(IF($D$11&gt;G82,INT(($D$11-G82)/$D$5),0)-D82,MAX(B83,INT(($D$10+SUM($N$33:N82))/$D$5)-D82))))</f>
        <v/>
      </c>
      <c r="D83" s="8">
        <f>D82+C83</f>
        <v/>
      </c>
      <c r="E83" s="8">
        <f>$D$5</f>
        <v/>
      </c>
      <c r="F83" s="8">
        <f>IF(G82&gt;=$D$11,0,MIN(D83*E83,$D$11-G82))</f>
        <v/>
      </c>
      <c r="G83" s="8">
        <f>G82+F83</f>
        <v/>
      </c>
      <c r="H83" s="10">
        <f>H82+$D$6*F83</f>
        <v/>
      </c>
      <c r="I83" s="10">
        <f>$D$7*F83+Q83</f>
        <v/>
      </c>
      <c r="J83" s="10">
        <f>J82+$D$8*F83+K83-P83</f>
        <v/>
      </c>
      <c r="K83" s="10">
        <f>($D$9/12)*J82</f>
        <v/>
      </c>
      <c r="L83" s="9">
        <f>IF(G83=0,0,J83/(G83*$D$12))</f>
        <v/>
      </c>
      <c r="M83" s="13">
        <f>I83/G83</f>
        <v/>
      </c>
      <c r="N83" s="8">
        <f>INDEX($G$6:$G$30,MIN(INT((A83-1)/12)+1,25))</f>
        <v/>
      </c>
      <c r="O83" s="126">
        <f>G83*$D$12</f>
        <v/>
      </c>
      <c r="P83">
        <f>IF(F83=0,0,MAX(0,0.01*G83-$D$7*F83))</f>
        <v/>
      </c>
    </row>
    <row r="84">
      <c r="A84" s="7" t="n">
        <v>52</v>
      </c>
      <c r="B84" s="98">
        <f>CEILING(0.0101*G83/$D$5,1)</f>
        <v/>
      </c>
      <c r="C84" s="8">
        <f>MAX(0,MIN(MAX(0,FLOOR($D$15*D83*MAX(0,1-D83/(($D$10+SUM($N$33:N83))/$D$5)),1)),IF(A84&gt;=$D$14,IF(AND(D83&gt;0,F83&gt;0),INT(K83*D83/F83),0),1000000000),MIN(IF($D$11&gt;G83,INT(($D$11-G83)/$D$5),0)-D83,MAX(B84,INT(($D$10+SUM($N$33:N83))/$D$5)-D83))))</f>
        <v/>
      </c>
      <c r="D84" s="8">
        <f>D83+C84</f>
        <v/>
      </c>
      <c r="E84" s="8">
        <f>$D$5</f>
        <v/>
      </c>
      <c r="F84" s="8">
        <f>IF(G83&gt;=$D$11,0,MIN(D84*E84,$D$11-G83))</f>
        <v/>
      </c>
      <c r="G84" s="8">
        <f>G83+F84</f>
        <v/>
      </c>
      <c r="H84" s="10">
        <f>H83+$D$6*F84</f>
        <v/>
      </c>
      <c r="I84" s="10">
        <f>$D$7*F84+Q84</f>
        <v/>
      </c>
      <c r="J84" s="10">
        <f>J83+$D$8*F84+K84-P84</f>
        <v/>
      </c>
      <c r="K84" s="10">
        <f>($D$9/12)*J83</f>
        <v/>
      </c>
      <c r="L84" s="9">
        <f>IF(G84=0,0,J84/(G84*$D$12))</f>
        <v/>
      </c>
      <c r="M84" s="13">
        <f>I84/G84</f>
        <v/>
      </c>
      <c r="N84" s="8">
        <f>INDEX($G$6:$G$30,MIN(INT((A84-1)/12)+1,25))</f>
        <v/>
      </c>
      <c r="O84" s="126">
        <f>G84*$D$12</f>
        <v/>
      </c>
      <c r="P84">
        <f>IF(F84=0,0,MAX(0,0.01*G84-$D$7*F84))</f>
        <v/>
      </c>
    </row>
    <row r="85">
      <c r="A85" s="7" t="n">
        <v>53</v>
      </c>
      <c r="B85" s="98">
        <f>CEILING(0.0101*G84/$D$5,1)</f>
        <v/>
      </c>
      <c r="C85" s="8">
        <f>MAX(0,MIN(MAX(0,FLOOR($D$15*D84*MAX(0,1-D84/(($D$10+SUM($N$33:N84))/$D$5)),1)),IF(A85&gt;=$D$14,IF(AND(D84&gt;0,F84&gt;0),INT(K84*D84/F84),0),1000000000),MIN(IF($D$11&gt;G84,INT(($D$11-G84)/$D$5),0)-D84,MAX(B85,INT(($D$10+SUM($N$33:N84))/$D$5)-D84))))</f>
        <v/>
      </c>
      <c r="D85" s="8">
        <f>D84+C85</f>
        <v/>
      </c>
      <c r="E85" s="8">
        <f>$D$5</f>
        <v/>
      </c>
      <c r="F85" s="8">
        <f>IF(G84&gt;=$D$11,0,MIN(D85*E85,$D$11-G84))</f>
        <v/>
      </c>
      <c r="G85" s="8">
        <f>G84+F85</f>
        <v/>
      </c>
      <c r="H85" s="10">
        <f>H84+$D$6*F85</f>
        <v/>
      </c>
      <c r="I85" s="10">
        <f>$D$7*F85+Q85</f>
        <v/>
      </c>
      <c r="J85" s="10">
        <f>J84+$D$8*F85+K85-P85</f>
        <v/>
      </c>
      <c r="K85" s="10">
        <f>($D$9/12)*J84</f>
        <v/>
      </c>
      <c r="L85" s="9">
        <f>IF(G85=0,0,J85/(G85*$D$12))</f>
        <v/>
      </c>
      <c r="M85" s="13">
        <f>I85/G85</f>
        <v/>
      </c>
      <c r="N85" s="8">
        <f>INDEX($G$6:$G$30,MIN(INT((A85-1)/12)+1,25))</f>
        <v/>
      </c>
      <c r="O85" s="126">
        <f>G85*$D$12</f>
        <v/>
      </c>
      <c r="P85">
        <f>IF(F85=0,0,MAX(0,0.01*G85-$D$7*F85))</f>
        <v/>
      </c>
    </row>
    <row r="86">
      <c r="A86" s="7" t="n">
        <v>54</v>
      </c>
      <c r="B86" s="98">
        <f>CEILING(0.0101*G85/$D$5,1)</f>
        <v/>
      </c>
      <c r="C86" s="8">
        <f>MAX(0,MIN(MAX(0,FLOOR($D$15*D85*MAX(0,1-D85/(($D$10+SUM($N$33:N85))/$D$5)),1)),IF(A86&gt;=$D$14,IF(AND(D85&gt;0,F85&gt;0),INT(K85*D85/F85),0),1000000000),MIN(IF($D$11&gt;G85,INT(($D$11-G85)/$D$5),0)-D85,MAX(B86,INT(($D$10+SUM($N$33:N85))/$D$5)-D85))))</f>
        <v/>
      </c>
      <c r="D86" s="8">
        <f>D85+C86</f>
        <v/>
      </c>
      <c r="E86" s="8">
        <f>$D$5</f>
        <v/>
      </c>
      <c r="F86" s="8">
        <f>IF(G85&gt;=$D$11,0,MIN(D86*E86,$D$11-G85))</f>
        <v/>
      </c>
      <c r="G86" s="8">
        <f>G85+F86</f>
        <v/>
      </c>
      <c r="H86" s="10">
        <f>H85+$D$6*F86</f>
        <v/>
      </c>
      <c r="I86" s="10">
        <f>$D$7*F86+Q86</f>
        <v/>
      </c>
      <c r="J86" s="10">
        <f>J85+$D$8*F86+K86-P86</f>
        <v/>
      </c>
      <c r="K86" s="10">
        <f>($D$9/12)*J85</f>
        <v/>
      </c>
      <c r="L86" s="9">
        <f>IF(G86=0,0,J86/(G86*$D$12))</f>
        <v/>
      </c>
      <c r="M86" s="13">
        <f>I86/G86</f>
        <v/>
      </c>
      <c r="N86" s="8">
        <f>INDEX($G$6:$G$30,MIN(INT((A86-1)/12)+1,25))</f>
        <v/>
      </c>
      <c r="O86" s="126">
        <f>G86*$D$12</f>
        <v/>
      </c>
      <c r="P86">
        <f>IF(F86=0,0,MAX(0,0.01*G86-$D$7*F86))</f>
        <v/>
      </c>
    </row>
    <row r="87">
      <c r="A87" s="7" t="n">
        <v>55</v>
      </c>
      <c r="B87" s="98">
        <f>CEILING(0.0101*G86/$D$5,1)</f>
        <v/>
      </c>
      <c r="C87" s="8">
        <f>MAX(0,MIN(MAX(0,FLOOR($D$15*D86*MAX(0,1-D86/(($D$10+SUM($N$33:N86))/$D$5)),1)),IF(A87&gt;=$D$14,IF(AND(D86&gt;0,F86&gt;0),INT(K86*D86/F86),0),1000000000),MIN(IF($D$11&gt;G86,INT(($D$11-G86)/$D$5),0)-D86,MAX(B87,INT(($D$10+SUM($N$33:N86))/$D$5)-D86))))</f>
        <v/>
      </c>
      <c r="D87" s="8">
        <f>D86+C87</f>
        <v/>
      </c>
      <c r="E87" s="8">
        <f>$D$5</f>
        <v/>
      </c>
      <c r="F87" s="8">
        <f>IF(G86&gt;=$D$11,0,MIN(D87*E87,$D$11-G86))</f>
        <v/>
      </c>
      <c r="G87" s="8">
        <f>G86+F87</f>
        <v/>
      </c>
      <c r="H87" s="10">
        <f>H86+$D$6*F87</f>
        <v/>
      </c>
      <c r="I87" s="10">
        <f>$D$7*F87+Q87</f>
        <v/>
      </c>
      <c r="J87" s="10">
        <f>J86+$D$8*F87+K87-P87</f>
        <v/>
      </c>
      <c r="K87" s="10">
        <f>($D$9/12)*J86</f>
        <v/>
      </c>
      <c r="L87" s="9">
        <f>IF(G87=0,0,J87/(G87*$D$12))</f>
        <v/>
      </c>
      <c r="M87" s="13">
        <f>I87/G87</f>
        <v/>
      </c>
      <c r="N87" s="8">
        <f>INDEX($G$6:$G$30,MIN(INT((A87-1)/12)+1,25))</f>
        <v/>
      </c>
      <c r="O87" s="126">
        <f>G87*$D$12</f>
        <v/>
      </c>
      <c r="P87">
        <f>IF(F87=0,0,MAX(0,0.01*G87-$D$7*F87))</f>
        <v/>
      </c>
    </row>
    <row r="88">
      <c r="A88" s="7" t="n">
        <v>56</v>
      </c>
      <c r="B88" s="98">
        <f>CEILING(0.0101*G87/$D$5,1)</f>
        <v/>
      </c>
      <c r="C88" s="8">
        <f>MAX(0,MIN(MAX(0,FLOOR($D$15*D87*MAX(0,1-D87/(($D$10+SUM($N$33:N87))/$D$5)),1)),IF(A88&gt;=$D$14,IF(AND(D87&gt;0,F87&gt;0),INT(K87*D87/F87),0),1000000000),MIN(IF($D$11&gt;G87,INT(($D$11-G87)/$D$5),0)-D87,MAX(B88,INT(($D$10+SUM($N$33:N87))/$D$5)-D87))))</f>
        <v/>
      </c>
      <c r="D88" s="8">
        <f>D87+C88</f>
        <v/>
      </c>
      <c r="E88" s="8">
        <f>$D$5</f>
        <v/>
      </c>
      <c r="F88" s="8">
        <f>IF(G87&gt;=$D$11,0,MIN(D88*E88,$D$11-G87))</f>
        <v/>
      </c>
      <c r="G88" s="8">
        <f>G87+F88</f>
        <v/>
      </c>
      <c r="H88" s="10">
        <f>H87+$D$6*F88</f>
        <v/>
      </c>
      <c r="I88" s="10">
        <f>$D$7*F88+Q88</f>
        <v/>
      </c>
      <c r="J88" s="10">
        <f>J87+$D$8*F88+K88-P88</f>
        <v/>
      </c>
      <c r="K88" s="10">
        <f>($D$9/12)*J87</f>
        <v/>
      </c>
      <c r="L88" s="9">
        <f>IF(G88=0,0,J88/(G88*$D$12))</f>
        <v/>
      </c>
      <c r="M88" s="13">
        <f>I88/G88</f>
        <v/>
      </c>
      <c r="N88" s="8">
        <f>INDEX($G$6:$G$30,MIN(INT((A88-1)/12)+1,25))</f>
        <v/>
      </c>
      <c r="O88" s="126">
        <f>G88*$D$12</f>
        <v/>
      </c>
      <c r="P88">
        <f>IF(F88=0,0,MAX(0,0.01*G88-$D$7*F88))</f>
        <v/>
      </c>
    </row>
    <row r="89">
      <c r="A89" s="7" t="n">
        <v>57</v>
      </c>
      <c r="B89" s="98">
        <f>CEILING(0.0101*G88/$D$5,1)</f>
        <v/>
      </c>
      <c r="C89" s="8">
        <f>MAX(0,MIN(MAX(0,FLOOR($D$15*D88*MAX(0,1-D88/(($D$10+SUM($N$33:N88))/$D$5)),1)),IF(A89&gt;=$D$14,IF(AND(D88&gt;0,F88&gt;0),INT(K88*D88/F88),0),1000000000),MIN(IF($D$11&gt;G88,INT(($D$11-G88)/$D$5),0)-D88,MAX(B89,INT(($D$10+SUM($N$33:N88))/$D$5)-D88))))</f>
        <v/>
      </c>
      <c r="D89" s="8">
        <f>D88+C89</f>
        <v/>
      </c>
      <c r="E89" s="8">
        <f>$D$5</f>
        <v/>
      </c>
      <c r="F89" s="8">
        <f>IF(G88&gt;=$D$11,0,MIN(D89*E89,$D$11-G88))</f>
        <v/>
      </c>
      <c r="G89" s="8">
        <f>G88+F89</f>
        <v/>
      </c>
      <c r="H89" s="10">
        <f>H88+$D$6*F89</f>
        <v/>
      </c>
      <c r="I89" s="10">
        <f>$D$7*F89+Q89</f>
        <v/>
      </c>
      <c r="J89" s="10">
        <f>J88+$D$8*F89+K89-P89</f>
        <v/>
      </c>
      <c r="K89" s="10">
        <f>($D$9/12)*J88</f>
        <v/>
      </c>
      <c r="L89" s="9">
        <f>IF(G89=0,0,J89/(G89*$D$12))</f>
        <v/>
      </c>
      <c r="M89" s="13">
        <f>I89/G89</f>
        <v/>
      </c>
      <c r="N89" s="8">
        <f>INDEX($G$6:$G$30,MIN(INT((A89-1)/12)+1,25))</f>
        <v/>
      </c>
      <c r="O89" s="126">
        <f>G89*$D$12</f>
        <v/>
      </c>
      <c r="P89">
        <f>IF(F89=0,0,MAX(0,0.01*G89-$D$7*F89))</f>
        <v/>
      </c>
    </row>
    <row r="90">
      <c r="A90" s="7" t="n">
        <v>58</v>
      </c>
      <c r="B90" s="98">
        <f>CEILING(0.0101*G89/$D$5,1)</f>
        <v/>
      </c>
      <c r="C90" s="8">
        <f>MAX(0,MIN(MAX(0,FLOOR($D$15*D89*MAX(0,1-D89/(($D$10+SUM($N$33:N89))/$D$5)),1)),IF(A90&gt;=$D$14,IF(AND(D89&gt;0,F89&gt;0),INT(K89*D89/F89),0),1000000000),MIN(IF($D$11&gt;G89,INT(($D$11-G89)/$D$5),0)-D89,MAX(B90,INT(($D$10+SUM($N$33:N89))/$D$5)-D89))))</f>
        <v/>
      </c>
      <c r="D90" s="8">
        <f>D89+C90</f>
        <v/>
      </c>
      <c r="E90" s="8">
        <f>$D$5</f>
        <v/>
      </c>
      <c r="F90" s="8">
        <f>IF(G89&gt;=$D$11,0,MIN(D90*E90,$D$11-G89))</f>
        <v/>
      </c>
      <c r="G90" s="8">
        <f>G89+F90</f>
        <v/>
      </c>
      <c r="H90" s="10">
        <f>H89+$D$6*F90</f>
        <v/>
      </c>
      <c r="I90" s="10">
        <f>$D$7*F90+Q90</f>
        <v/>
      </c>
      <c r="J90" s="10">
        <f>J89+$D$8*F90+K90-P90</f>
        <v/>
      </c>
      <c r="K90" s="10">
        <f>($D$9/12)*J89</f>
        <v/>
      </c>
      <c r="L90" s="9">
        <f>IF(G90=0,0,J90/(G90*$D$12))</f>
        <v/>
      </c>
      <c r="M90" s="13">
        <f>I90/G90</f>
        <v/>
      </c>
      <c r="N90" s="8">
        <f>INDEX($G$6:$G$30,MIN(INT((A90-1)/12)+1,25))</f>
        <v/>
      </c>
      <c r="O90" s="126">
        <f>G90*$D$12</f>
        <v/>
      </c>
      <c r="P90">
        <f>IF(F90=0,0,MAX(0,0.01*G90-$D$7*F90))</f>
        <v/>
      </c>
    </row>
    <row r="91">
      <c r="A91" s="7" t="n">
        <v>59</v>
      </c>
      <c r="B91" s="98">
        <f>CEILING(0.0101*G90/$D$5,1)</f>
        <v/>
      </c>
      <c r="C91" s="8">
        <f>MAX(0,MIN(MAX(0,FLOOR($D$15*D90*MAX(0,1-D90/(($D$10+SUM($N$33:N90))/$D$5)),1)),IF(A91&gt;=$D$14,IF(AND(D90&gt;0,F90&gt;0),INT(K90*D90/F90),0),1000000000),MIN(IF($D$11&gt;G90,INT(($D$11-G90)/$D$5),0)-D90,MAX(B91,INT(($D$10+SUM($N$33:N90))/$D$5)-D90))))</f>
        <v/>
      </c>
      <c r="D91" s="8">
        <f>D90+C91</f>
        <v/>
      </c>
      <c r="E91" s="8">
        <f>$D$5</f>
        <v/>
      </c>
      <c r="F91" s="8">
        <f>IF(G90&gt;=$D$11,0,MIN(D91*E91,$D$11-G90))</f>
        <v/>
      </c>
      <c r="G91" s="8">
        <f>G90+F91</f>
        <v/>
      </c>
      <c r="H91" s="10">
        <f>H90+$D$6*F91</f>
        <v/>
      </c>
      <c r="I91" s="10">
        <f>$D$7*F91+Q91</f>
        <v/>
      </c>
      <c r="J91" s="10">
        <f>J90+$D$8*F91+K91-P91</f>
        <v/>
      </c>
      <c r="K91" s="10">
        <f>($D$9/12)*J90</f>
        <v/>
      </c>
      <c r="L91" s="9">
        <f>IF(G91=0,0,J91/(G91*$D$12))</f>
        <v/>
      </c>
      <c r="M91" s="13">
        <f>I91/G91</f>
        <v/>
      </c>
      <c r="N91" s="8">
        <f>INDEX($G$6:$G$30,MIN(INT((A91-1)/12)+1,25))</f>
        <v/>
      </c>
      <c r="O91" s="126">
        <f>G91*$D$12</f>
        <v/>
      </c>
      <c r="P91" s="127">
        <f>IF(F91=0,0,MAX(0,0.01*G91-$D$7*F91))</f>
        <v/>
      </c>
    </row>
    <row r="92">
      <c r="A92" s="7" t="n">
        <v>60</v>
      </c>
      <c r="B92" s="98">
        <f>CEILING(0.0101*G91/$D$5,1)</f>
        <v/>
      </c>
      <c r="C92" s="8">
        <f>MAX(0,MIN(MAX(0,FLOOR($D$15*D91*MAX(0,1-D91/(($D$10+SUM($N$33:N91))/$D$5)),1)),IF(A92&gt;=$D$14,IF(AND(D91&gt;0,F91&gt;0),INT(K91*D91/F91),0),1000000000),MIN(IF($D$11&gt;G91,INT(($D$11-G91)/$D$5),0)-D91,MAX(B92,INT(($D$10+SUM($N$33:N91))/$D$5)-D91))))</f>
        <v/>
      </c>
      <c r="D92" s="8">
        <f>D91+C92</f>
        <v/>
      </c>
      <c r="E92" s="8">
        <f>$D$5</f>
        <v/>
      </c>
      <c r="F92" s="8">
        <f>IF(G91&gt;=$D$11,0,MIN(D92*E92,$D$11-G91))</f>
        <v/>
      </c>
      <c r="G92" s="8">
        <f>G91+F92</f>
        <v/>
      </c>
      <c r="H92" s="10">
        <f>H91+$D$6*F92</f>
        <v/>
      </c>
      <c r="I92" s="10">
        <f>$D$7*F92+Q92</f>
        <v/>
      </c>
      <c r="J92" s="10">
        <f>J91+$D$8*F92+K92-P92</f>
        <v/>
      </c>
      <c r="K92" s="10">
        <f>($D$9/12)*J91</f>
        <v/>
      </c>
      <c r="L92" s="9">
        <f>IF(G92=0,0,J92/(G92*$D$12))</f>
        <v/>
      </c>
      <c r="M92" s="13">
        <f>I92/G92</f>
        <v/>
      </c>
      <c r="N92" s="8">
        <f>INDEX($G$6:$G$30,MIN(INT((A92-1)/12)+1,25))</f>
        <v/>
      </c>
      <c r="O92" s="126">
        <f>G92*$D$12</f>
        <v/>
      </c>
      <c r="P92">
        <f>IF(F92=0,0,MAX(0,0.01*G92-$D$7*F92))</f>
        <v/>
      </c>
    </row>
    <row r="93">
      <c r="A93" s="7" t="n">
        <v>61</v>
      </c>
      <c r="B93" s="98">
        <f>CEILING(0.0101*G92/$D$5,1)</f>
        <v/>
      </c>
      <c r="C93" s="8">
        <f>MAX(0,MIN(MAX(0,FLOOR($D$15*D92*MAX(0,1-D92/(($D$10+SUM($N$33:N92))/$D$5)),1)),IF(A93&gt;=$D$14,IF(AND(D92&gt;0,F92&gt;0),INT(K92*D92/F92),0),1000000000),MIN(IF($D$11&gt;G92,INT(($D$11-G92)/$D$5),0)-D92,MAX(B93,INT(($D$10+SUM($N$33:N92))/$D$5)-D92))))</f>
        <v/>
      </c>
      <c r="D93" s="8">
        <f>D92+C93</f>
        <v/>
      </c>
      <c r="E93" s="8">
        <f>$D$5</f>
        <v/>
      </c>
      <c r="F93" s="8">
        <f>IF(G92&gt;=$D$11,0,MIN(D93*E93,$D$11-G92))</f>
        <v/>
      </c>
      <c r="G93" s="8">
        <f>G92+F93</f>
        <v/>
      </c>
      <c r="H93" s="10">
        <f>H92+$D$6*F93</f>
        <v/>
      </c>
      <c r="I93" s="10">
        <f>$D$7*F93+Q93</f>
        <v/>
      </c>
      <c r="J93" s="10">
        <f>J92+$D$8*F93+K93-P93</f>
        <v/>
      </c>
      <c r="K93" s="10">
        <f>($D$9/12)*J92</f>
        <v/>
      </c>
      <c r="L93" s="9">
        <f>IF(G93=0,0,J93/(G93*$D$12))</f>
        <v/>
      </c>
      <c r="M93" s="13">
        <f>I93/G93</f>
        <v/>
      </c>
      <c r="N93" s="8">
        <f>INDEX($G$6:$G$30,MIN(INT((A93-1)/12)+1,25))</f>
        <v/>
      </c>
      <c r="O93" s="126">
        <f>G93*$D$12</f>
        <v/>
      </c>
      <c r="P93">
        <f>IF(F93=0,0,MAX(0,0.01*G93-$D$7*F93))</f>
        <v/>
      </c>
    </row>
    <row r="94">
      <c r="A94" s="7" t="n">
        <v>62</v>
      </c>
      <c r="B94" s="98">
        <f>CEILING(0.0101*G93/$D$5,1)</f>
        <v/>
      </c>
      <c r="C94" s="8">
        <f>MAX(0,MIN(MAX(0,FLOOR($D$15*D93*MAX(0,1-D93/(($D$10+SUM($N$33:N93))/$D$5)),1)),IF(A94&gt;=$D$14,IF(AND(D93&gt;0,F93&gt;0),INT(K93*D93/F93),0),1000000000),MIN(IF($D$11&gt;G93,INT(($D$11-G93)/$D$5),0)-D93,MAX(B94,INT(($D$10+SUM($N$33:N93))/$D$5)-D93))))</f>
        <v/>
      </c>
      <c r="D94" s="8">
        <f>D93+C94</f>
        <v/>
      </c>
      <c r="E94" s="8">
        <f>$D$5</f>
        <v/>
      </c>
      <c r="F94" s="8">
        <f>IF(G93&gt;=$D$11,0,MIN(D94*E94,$D$11-G93))</f>
        <v/>
      </c>
      <c r="G94" s="8">
        <f>G93+F94</f>
        <v/>
      </c>
      <c r="H94" s="10">
        <f>H93+$D$6*F94</f>
        <v/>
      </c>
      <c r="I94" s="10">
        <f>$D$7*F94+Q94</f>
        <v/>
      </c>
      <c r="J94" s="10">
        <f>J93+$D$8*F94+K94-P94</f>
        <v/>
      </c>
      <c r="K94" s="10">
        <f>($D$9/12)*J93</f>
        <v/>
      </c>
      <c r="L94" s="9">
        <f>IF(G94=0,0,J94/(G94*$D$12))</f>
        <v/>
      </c>
      <c r="M94" s="13">
        <f>I94/G94</f>
        <v/>
      </c>
      <c r="N94" s="8">
        <f>INDEX($G$6:$G$30,MIN(INT((A94-1)/12)+1,25))</f>
        <v/>
      </c>
      <c r="O94" s="126">
        <f>G94*$D$12</f>
        <v/>
      </c>
      <c r="P94">
        <f>IF(F94=0,0,MAX(0,0.01*G94-$D$7*F94))</f>
        <v/>
      </c>
    </row>
    <row r="95">
      <c r="A95" s="7" t="n">
        <v>63</v>
      </c>
      <c r="B95" s="98">
        <f>CEILING(0.0101*G94/$D$5,1)</f>
        <v/>
      </c>
      <c r="C95" s="8">
        <f>MAX(0,MIN(MAX(0,FLOOR($D$15*D94*MAX(0,1-D94/(($D$10+SUM($N$33:N94))/$D$5)),1)),IF(A95&gt;=$D$14,IF(AND(D94&gt;0,F94&gt;0),INT(K94*D94/F94),0),1000000000),MIN(IF($D$11&gt;G94,INT(($D$11-G94)/$D$5),0)-D94,MAX(B95,INT(($D$10+SUM($N$33:N94))/$D$5)-D94))))</f>
        <v/>
      </c>
      <c r="D95" s="8">
        <f>D94+C95</f>
        <v/>
      </c>
      <c r="E95" s="8">
        <f>$D$5</f>
        <v/>
      </c>
      <c r="F95" s="8">
        <f>IF(G94&gt;=$D$11,0,MIN(D95*E95,$D$11-G94))</f>
        <v/>
      </c>
      <c r="G95" s="8">
        <f>G94+F95</f>
        <v/>
      </c>
      <c r="H95" s="10">
        <f>H94+$D$6*F95</f>
        <v/>
      </c>
      <c r="I95" s="10">
        <f>$D$7*F95+Q95</f>
        <v/>
      </c>
      <c r="J95" s="10">
        <f>J94+$D$8*F95+K95-P95</f>
        <v/>
      </c>
      <c r="K95" s="10">
        <f>($D$9/12)*J94</f>
        <v/>
      </c>
      <c r="L95" s="9">
        <f>IF(G95=0,0,J95/(G95*$D$12))</f>
        <v/>
      </c>
      <c r="M95" s="13">
        <f>I95/G95</f>
        <v/>
      </c>
      <c r="N95" s="8">
        <f>INDEX($G$6:$G$30,MIN(INT((A95-1)/12)+1,25))</f>
        <v/>
      </c>
      <c r="O95" s="126">
        <f>G95*$D$12</f>
        <v/>
      </c>
      <c r="P95">
        <f>IF(F95=0,0,MAX(0,0.01*G95-$D$7*F95))</f>
        <v/>
      </c>
    </row>
    <row r="96">
      <c r="A96" s="7" t="n">
        <v>64</v>
      </c>
      <c r="B96" s="98">
        <f>CEILING(0.0101*G95/$D$5,1)</f>
        <v/>
      </c>
      <c r="C96" s="8">
        <f>MAX(0,MIN(MAX(0,FLOOR($D$15*D95*MAX(0,1-D95/(($D$10+SUM($N$33:N95))/$D$5)),1)),IF(A96&gt;=$D$14,IF(AND(D95&gt;0,F95&gt;0),INT(K95*D95/F95),0),1000000000),MIN(IF($D$11&gt;G95,INT(($D$11-G95)/$D$5),0)-D95,MAX(B96,INT(($D$10+SUM($N$33:N95))/$D$5)-D95))))</f>
        <v/>
      </c>
      <c r="D96" s="8">
        <f>D95+C96</f>
        <v/>
      </c>
      <c r="E96" s="8">
        <f>$D$5</f>
        <v/>
      </c>
      <c r="F96" s="8">
        <f>IF(G95&gt;=$D$11,0,MIN(D96*E96,$D$11-G95))</f>
        <v/>
      </c>
      <c r="G96" s="8">
        <f>G95+F96</f>
        <v/>
      </c>
      <c r="H96" s="10">
        <f>H95+$D$6*F96</f>
        <v/>
      </c>
      <c r="I96" s="10">
        <f>$D$7*F96+Q96</f>
        <v/>
      </c>
      <c r="J96" s="10">
        <f>J95+$D$8*F96+K96-P96</f>
        <v/>
      </c>
      <c r="K96" s="10">
        <f>($D$9/12)*J95</f>
        <v/>
      </c>
      <c r="L96" s="9">
        <f>IF(G96=0,0,J96/(G96*$D$12))</f>
        <v/>
      </c>
      <c r="M96" s="13">
        <f>I96/G96</f>
        <v/>
      </c>
      <c r="N96" s="8">
        <f>INDEX($G$6:$G$30,MIN(INT((A96-1)/12)+1,25))</f>
        <v/>
      </c>
      <c r="O96" s="126">
        <f>G96*$D$12</f>
        <v/>
      </c>
      <c r="P96">
        <f>IF(F96=0,0,MAX(0,0.01*G96-$D$7*F96))</f>
        <v/>
      </c>
    </row>
    <row r="97">
      <c r="A97" s="7" t="n">
        <v>65</v>
      </c>
      <c r="B97" s="98">
        <f>CEILING(0.0101*G96/$D$5,1)</f>
        <v/>
      </c>
      <c r="C97" s="8">
        <f>MAX(0,MIN(MAX(0,FLOOR($D$15*D96*MAX(0,1-D96/(($D$10+SUM($N$33:N96))/$D$5)),1)),IF(A97&gt;=$D$14,IF(AND(D96&gt;0,F96&gt;0),INT(K96*D96/F96),0),1000000000),MIN(IF($D$11&gt;G96,INT(($D$11-G96)/$D$5),0)-D96,MAX(B97,INT(($D$10+SUM($N$33:N96))/$D$5)-D96))))</f>
        <v/>
      </c>
      <c r="D97" s="8">
        <f>D96+C97</f>
        <v/>
      </c>
      <c r="E97" s="8">
        <f>$D$5</f>
        <v/>
      </c>
      <c r="F97" s="8">
        <f>IF(G96&gt;=$D$11,0,MIN(D97*E97,$D$11-G96))</f>
        <v/>
      </c>
      <c r="G97" s="8">
        <f>G96+F97</f>
        <v/>
      </c>
      <c r="H97" s="10">
        <f>H96+$D$6*F97</f>
        <v/>
      </c>
      <c r="I97" s="10">
        <f>$D$7*F97+Q97</f>
        <v/>
      </c>
      <c r="J97" s="10">
        <f>J96+$D$8*F97+K97-P97</f>
        <v/>
      </c>
      <c r="K97" s="10">
        <f>($D$9/12)*J96</f>
        <v/>
      </c>
      <c r="L97" s="9">
        <f>IF(G97=0,0,J97/(G97*$D$12))</f>
        <v/>
      </c>
      <c r="M97" s="13">
        <f>I97/G97</f>
        <v/>
      </c>
      <c r="N97" s="8">
        <f>INDEX($G$6:$G$30,MIN(INT((A97-1)/12)+1,25))</f>
        <v/>
      </c>
      <c r="O97" s="126">
        <f>G97*$D$12</f>
        <v/>
      </c>
      <c r="P97">
        <f>IF(F97=0,0,MAX(0,0.01*G97-$D$7*F97))</f>
        <v/>
      </c>
    </row>
    <row r="98">
      <c r="A98" s="7" t="n">
        <v>66</v>
      </c>
      <c r="B98" s="98">
        <f>CEILING(0.0101*G97/$D$5,1)</f>
        <v/>
      </c>
      <c r="C98" s="8">
        <f>MAX(0,MIN(MAX(0,FLOOR($D$15*D97*MAX(0,1-D97/(($D$10+SUM($N$33:N97))/$D$5)),1)),IF(A98&gt;=$D$14,IF(AND(D97&gt;0,F97&gt;0),INT(K97*D97/F97),0),1000000000),MIN(IF($D$11&gt;G97,INT(($D$11-G97)/$D$5),0)-D97,MAX(B98,INT(($D$10+SUM($N$33:N97))/$D$5)-D97))))</f>
        <v/>
      </c>
      <c r="D98" s="8">
        <f>D97+C98</f>
        <v/>
      </c>
      <c r="E98" s="8">
        <f>$D$5</f>
        <v/>
      </c>
      <c r="F98" s="8">
        <f>IF(G97&gt;=$D$11,0,MIN(D98*E98,$D$11-G97))</f>
        <v/>
      </c>
      <c r="G98" s="8">
        <f>G97+F98</f>
        <v/>
      </c>
      <c r="H98" s="10">
        <f>H97+$D$6*F98</f>
        <v/>
      </c>
      <c r="I98" s="10">
        <f>$D$7*F98+Q98</f>
        <v/>
      </c>
      <c r="J98" s="10">
        <f>J97+$D$8*F98+K98-P98</f>
        <v/>
      </c>
      <c r="K98" s="10">
        <f>($D$9/12)*J97</f>
        <v/>
      </c>
      <c r="L98" s="9">
        <f>IF(G98=0,0,J98/(G98*$D$12))</f>
        <v/>
      </c>
      <c r="M98" s="13">
        <f>I98/G98</f>
        <v/>
      </c>
      <c r="N98" s="8">
        <f>INDEX($G$6:$G$30,MIN(INT((A98-1)/12)+1,25))</f>
        <v/>
      </c>
      <c r="O98" s="126">
        <f>G98*$D$12</f>
        <v/>
      </c>
      <c r="P98">
        <f>IF(F98=0,0,MAX(0,0.01*G98-$D$7*F98))</f>
        <v/>
      </c>
    </row>
    <row r="99">
      <c r="A99" s="7" t="n">
        <v>67</v>
      </c>
      <c r="B99" s="98">
        <f>CEILING(0.0101*G98/$D$5,1)</f>
        <v/>
      </c>
      <c r="C99" s="8">
        <f>MAX(0,MIN(MAX(0,FLOOR($D$15*D98*MAX(0,1-D98/(($D$10+SUM($N$33:N98))/$D$5)),1)),IF(A99&gt;=$D$14,IF(AND(D98&gt;0,F98&gt;0),INT(K98*D98/F98),0),1000000000),MIN(IF($D$11&gt;G98,INT(($D$11-G98)/$D$5),0)-D98,MAX(B99,INT(($D$10+SUM($N$33:N98))/$D$5)-D98))))</f>
        <v/>
      </c>
      <c r="D99" s="8">
        <f>D98+C99</f>
        <v/>
      </c>
      <c r="E99" s="8">
        <f>$D$5</f>
        <v/>
      </c>
      <c r="F99" s="8">
        <f>IF(G98&gt;=$D$11,0,MIN(D99*E99,$D$11-G98))</f>
        <v/>
      </c>
      <c r="G99" s="8">
        <f>G98+F99</f>
        <v/>
      </c>
      <c r="H99" s="10">
        <f>H98+$D$6*F99</f>
        <v/>
      </c>
      <c r="I99" s="10">
        <f>$D$7*F99+Q99</f>
        <v/>
      </c>
      <c r="J99" s="10">
        <f>J98+$D$8*F99+K99-P99</f>
        <v/>
      </c>
      <c r="K99" s="10">
        <f>($D$9/12)*J98</f>
        <v/>
      </c>
      <c r="L99" s="9">
        <f>IF(G99=0,0,J99/(G99*$D$12))</f>
        <v/>
      </c>
      <c r="M99" s="13">
        <f>I99/G99</f>
        <v/>
      </c>
      <c r="N99" s="8">
        <f>INDEX($G$6:$G$30,MIN(INT((A99-1)/12)+1,25))</f>
        <v/>
      </c>
      <c r="O99" s="126">
        <f>G99*$D$12</f>
        <v/>
      </c>
      <c r="P99">
        <f>IF(F99=0,0,MAX(0,0.01*G99-$D$7*F99))</f>
        <v/>
      </c>
    </row>
    <row r="100">
      <c r="A100" s="7" t="n">
        <v>68</v>
      </c>
      <c r="B100" s="98">
        <f>CEILING(0.0101*G99/$D$5,1)</f>
        <v/>
      </c>
      <c r="C100" s="8">
        <f>MAX(0,MIN(MAX(0,FLOOR($D$15*D99*MAX(0,1-D99/(($D$10+SUM($N$33:N99))/$D$5)),1)),IF(A100&gt;=$D$14,IF(AND(D99&gt;0,F99&gt;0),INT(K99*D99/F99),0),1000000000),MIN(IF($D$11&gt;G99,INT(($D$11-G99)/$D$5),0)-D99,MAX(B100,INT(($D$10+SUM($N$33:N99))/$D$5)-D99))))</f>
        <v/>
      </c>
      <c r="D100" s="8">
        <f>D99+C100</f>
        <v/>
      </c>
      <c r="E100" s="8">
        <f>$D$5</f>
        <v/>
      </c>
      <c r="F100" s="8">
        <f>IF(G99&gt;=$D$11,0,MIN(D100*E100,$D$11-G99))</f>
        <v/>
      </c>
      <c r="G100" s="8">
        <f>G99+F100</f>
        <v/>
      </c>
      <c r="H100" s="10">
        <f>H99+$D$6*F100</f>
        <v/>
      </c>
      <c r="I100" s="10">
        <f>$D$7*F100+Q100</f>
        <v/>
      </c>
      <c r="J100" s="10">
        <f>J99+$D$8*F100+K100-P100</f>
        <v/>
      </c>
      <c r="K100" s="10">
        <f>($D$9/12)*J99</f>
        <v/>
      </c>
      <c r="L100" s="9">
        <f>IF(G100=0,0,J100/(G100*$D$12))</f>
        <v/>
      </c>
      <c r="M100" s="13">
        <f>I100/G100</f>
        <v/>
      </c>
      <c r="N100" s="8">
        <f>INDEX($G$6:$G$30,MIN(INT((A100-1)/12)+1,25))</f>
        <v/>
      </c>
      <c r="O100" s="126">
        <f>G100*$D$12</f>
        <v/>
      </c>
      <c r="P100">
        <f>IF(F100=0,0,MAX(0,0.01*G100-$D$7*F100))</f>
        <v/>
      </c>
    </row>
    <row r="101">
      <c r="A101" s="7" t="n">
        <v>69</v>
      </c>
      <c r="B101" s="98">
        <f>CEILING(0.0101*G100/$D$5,1)</f>
        <v/>
      </c>
      <c r="C101" s="8">
        <f>MAX(0,MIN(MAX(0,FLOOR($D$15*D100*MAX(0,1-D100/(($D$10+SUM($N$33:N100))/$D$5)),1)),IF(A101&gt;=$D$14,IF(AND(D100&gt;0,F100&gt;0),INT(K100*D100/F100),0),1000000000),MIN(IF($D$11&gt;G100,INT(($D$11-G100)/$D$5),0)-D100,MAX(B101,INT(($D$10+SUM($N$33:N100))/$D$5)-D100))))</f>
        <v/>
      </c>
      <c r="D101" s="8">
        <f>D100+C101</f>
        <v/>
      </c>
      <c r="E101" s="8">
        <f>$D$5</f>
        <v/>
      </c>
      <c r="F101" s="8">
        <f>IF(G100&gt;=$D$11,0,MIN(D101*E101,$D$11-G100))</f>
        <v/>
      </c>
      <c r="G101" s="8">
        <f>G100+F101</f>
        <v/>
      </c>
      <c r="H101" s="10">
        <f>H100+$D$6*F101</f>
        <v/>
      </c>
      <c r="I101" s="10">
        <f>$D$7*F101+Q101</f>
        <v/>
      </c>
      <c r="J101" s="10">
        <f>J100+$D$8*F101+K101-P101</f>
        <v/>
      </c>
      <c r="K101" s="10">
        <f>($D$9/12)*J100</f>
        <v/>
      </c>
      <c r="L101" s="9">
        <f>IF(G101=0,0,J101/(G101*$D$12))</f>
        <v/>
      </c>
      <c r="M101" s="13">
        <f>I101/G101</f>
        <v/>
      </c>
      <c r="N101" s="8">
        <f>INDEX($G$6:$G$30,MIN(INT((A101-1)/12)+1,25))</f>
        <v/>
      </c>
      <c r="O101" s="126">
        <f>G101*$D$12</f>
        <v/>
      </c>
      <c r="P101">
        <f>IF(F101=0,0,MAX(0,0.01*G101-$D$7*F101))</f>
        <v/>
      </c>
    </row>
    <row r="102">
      <c r="A102" s="7" t="n">
        <v>70</v>
      </c>
      <c r="B102" s="98">
        <f>CEILING(0.0101*G101/$D$5,1)</f>
        <v/>
      </c>
      <c r="C102" s="8">
        <f>MAX(0,MIN(MAX(0,FLOOR($D$15*D101*MAX(0,1-D101/(($D$10+SUM($N$33:N101))/$D$5)),1)),IF(A102&gt;=$D$14,IF(AND(D101&gt;0,F101&gt;0),INT(K101*D101/F101),0),1000000000),MIN(IF($D$11&gt;G101,INT(($D$11-G101)/$D$5),0)-D101,MAX(B102,INT(($D$10+SUM($N$33:N101))/$D$5)-D101))))</f>
        <v/>
      </c>
      <c r="D102" s="8">
        <f>D101+C102</f>
        <v/>
      </c>
      <c r="E102" s="8">
        <f>$D$5</f>
        <v/>
      </c>
      <c r="F102" s="8">
        <f>IF(G101&gt;=$D$11,0,MIN(D102*E102,$D$11-G101))</f>
        <v/>
      </c>
      <c r="G102" s="8">
        <f>G101+F102</f>
        <v/>
      </c>
      <c r="H102" s="10">
        <f>H101+$D$6*F102</f>
        <v/>
      </c>
      <c r="I102" s="10">
        <f>$D$7*F102+Q102</f>
        <v/>
      </c>
      <c r="J102" s="10">
        <f>J101+$D$8*F102+K102-P102</f>
        <v/>
      </c>
      <c r="K102" s="10">
        <f>($D$9/12)*J101</f>
        <v/>
      </c>
      <c r="L102" s="9">
        <f>IF(G102=0,0,J102/(G102*$D$12))</f>
        <v/>
      </c>
      <c r="M102" s="13">
        <f>I102/G102</f>
        <v/>
      </c>
      <c r="N102" s="8">
        <f>INDEX($G$6:$G$30,MIN(INT((A102-1)/12)+1,25))</f>
        <v/>
      </c>
      <c r="O102" s="126">
        <f>G102*$D$12</f>
        <v/>
      </c>
      <c r="P102">
        <f>IF(F102=0,0,MAX(0,0.01*G102-$D$7*F102))</f>
        <v/>
      </c>
    </row>
    <row r="103">
      <c r="A103" s="7" t="n">
        <v>71</v>
      </c>
      <c r="B103" s="98">
        <f>CEILING(0.0101*G102/$D$5,1)</f>
        <v/>
      </c>
      <c r="C103" s="8">
        <f>MAX(0,MIN(MAX(0,FLOOR($D$15*D102*MAX(0,1-D102/(($D$10+SUM($N$33:N102))/$D$5)),1)),IF(A103&gt;=$D$14,IF(AND(D102&gt;0,F102&gt;0),INT(K102*D102/F102),0),1000000000),MIN(IF($D$11&gt;G102,INT(($D$11-G102)/$D$5),0)-D102,MAX(B103,INT(($D$10+SUM($N$33:N102))/$D$5)-D102))))</f>
        <v/>
      </c>
      <c r="D103" s="8">
        <f>D102+C103</f>
        <v/>
      </c>
      <c r="E103" s="8">
        <f>$D$5</f>
        <v/>
      </c>
      <c r="F103" s="8">
        <f>IF(G102&gt;=$D$11,0,MIN(D103*E103,$D$11-G102))</f>
        <v/>
      </c>
      <c r="G103" s="8">
        <f>G102+F103</f>
        <v/>
      </c>
      <c r="H103" s="10">
        <f>H102+$D$6*F103</f>
        <v/>
      </c>
      <c r="I103" s="10">
        <f>$D$7*F103+Q103</f>
        <v/>
      </c>
      <c r="J103" s="10">
        <f>J102+$D$8*F103+K103-P103</f>
        <v/>
      </c>
      <c r="K103" s="10">
        <f>($D$9/12)*J102</f>
        <v/>
      </c>
      <c r="L103" s="9">
        <f>IF(G103=0,0,J103/(G103*$D$12))</f>
        <v/>
      </c>
      <c r="M103" s="13">
        <f>I103/G103</f>
        <v/>
      </c>
      <c r="N103" s="8">
        <f>INDEX($G$6:$G$30,MIN(INT((A103-1)/12)+1,25))</f>
        <v/>
      </c>
      <c r="O103" s="126">
        <f>G103*$D$12</f>
        <v/>
      </c>
      <c r="P103">
        <f>IF(F103=0,0,MAX(0,0.01*G103-$D$7*F103))</f>
        <v/>
      </c>
    </row>
    <row r="104">
      <c r="A104" s="7" t="n">
        <v>72</v>
      </c>
      <c r="B104" s="98">
        <f>CEILING(0.0101*G103/$D$5,1)</f>
        <v/>
      </c>
      <c r="C104" s="8">
        <f>MAX(0,MIN(MAX(0,FLOOR($D$15*D103*MAX(0,1-D103/(($D$10+SUM($N$33:N103))/$D$5)),1)),IF(A104&gt;=$D$14,IF(AND(D103&gt;0,F103&gt;0),INT(K103*D103/F103),0),1000000000),MIN(IF($D$11&gt;G103,INT(($D$11-G103)/$D$5),0)-D103,MAX(B104,INT(($D$10+SUM($N$33:N103))/$D$5)-D103))))</f>
        <v/>
      </c>
      <c r="D104" s="8">
        <f>D103+C104</f>
        <v/>
      </c>
      <c r="E104" s="8">
        <f>$D$5</f>
        <v/>
      </c>
      <c r="F104" s="8">
        <f>IF(G103&gt;=$D$11,0,MIN(D104*E104,$D$11-G103))</f>
        <v/>
      </c>
      <c r="G104" s="8">
        <f>G103+F104</f>
        <v/>
      </c>
      <c r="H104" s="10">
        <f>H103+$D$6*F104</f>
        <v/>
      </c>
      <c r="I104" s="10">
        <f>$D$7*F104+Q104</f>
        <v/>
      </c>
      <c r="J104" s="10">
        <f>J103+$D$8*F104+K104-P104</f>
        <v/>
      </c>
      <c r="K104" s="10">
        <f>($D$9/12)*J103</f>
        <v/>
      </c>
      <c r="L104" s="9">
        <f>IF(G104=0,0,J104/(G104*$D$12))</f>
        <v/>
      </c>
      <c r="M104" s="13">
        <f>I104/G104</f>
        <v/>
      </c>
      <c r="N104" s="8">
        <f>INDEX($G$6:$G$30,MIN(INT((A104-1)/12)+1,25))</f>
        <v/>
      </c>
      <c r="O104" s="126">
        <f>G104*$D$12</f>
        <v/>
      </c>
      <c r="P104">
        <f>IF(F104=0,0,MAX(0,0.01*G104-$D$7*F104))</f>
        <v/>
      </c>
    </row>
    <row r="105">
      <c r="A105" s="7" t="n">
        <v>73</v>
      </c>
      <c r="B105" s="98">
        <f>CEILING(0.0101*G104/$D$5,1)</f>
        <v/>
      </c>
      <c r="C105" s="8">
        <f>MAX(0,MIN(MAX(0,FLOOR($D$15*D104*MAX(0,1-D104/(($D$10+SUM($N$33:N104))/$D$5)),1)),IF(A105&gt;=$D$14,IF(AND(D104&gt;0,F104&gt;0),INT(K104*D104/F104),0),1000000000),MIN(IF($D$11&gt;G104,INT(($D$11-G104)/$D$5),0)-D104,MAX(B105,INT(($D$10+SUM($N$33:N104))/$D$5)-D104))))</f>
        <v/>
      </c>
      <c r="D105" s="8">
        <f>D104+C105</f>
        <v/>
      </c>
      <c r="E105" s="8">
        <f>$D$5</f>
        <v/>
      </c>
      <c r="F105" s="8">
        <f>IF(G104&gt;=$D$11,0,MIN(D105*E105,$D$11-G104))</f>
        <v/>
      </c>
      <c r="G105" s="8">
        <f>G104+F105</f>
        <v/>
      </c>
      <c r="H105" s="10">
        <f>H104+$D$6*F105</f>
        <v/>
      </c>
      <c r="I105" s="10">
        <f>$D$7*F105+Q105</f>
        <v/>
      </c>
      <c r="J105" s="10">
        <f>J104+$D$8*F105+K105-P105</f>
        <v/>
      </c>
      <c r="K105" s="10">
        <f>($D$9/12)*J104</f>
        <v/>
      </c>
      <c r="L105" s="9">
        <f>IF(G105=0,0,J105/(G105*$D$12))</f>
        <v/>
      </c>
      <c r="M105" s="13">
        <f>I105/G105</f>
        <v/>
      </c>
      <c r="N105" s="8">
        <f>INDEX($G$6:$G$30,MIN(INT((A105-1)/12)+1,25))</f>
        <v/>
      </c>
      <c r="O105" s="126">
        <f>G105*$D$12</f>
        <v/>
      </c>
      <c r="P105">
        <f>IF(F105=0,0,MAX(0,0.01*G105-$D$7*F105))</f>
        <v/>
      </c>
    </row>
    <row r="106">
      <c r="A106" s="7" t="n">
        <v>74</v>
      </c>
      <c r="B106" s="98">
        <f>CEILING(0.0101*G105/$D$5,1)</f>
        <v/>
      </c>
      <c r="C106" s="8">
        <f>MAX(0,MIN(MAX(0,FLOOR($D$15*D105*MAX(0,1-D105/(($D$10+SUM($N$33:N105))/$D$5)),1)),IF(A106&gt;=$D$14,IF(AND(D105&gt;0,F105&gt;0),INT(K105*D105/F105),0),1000000000),MIN(IF($D$11&gt;G105,INT(($D$11-G105)/$D$5),0)-D105,MAX(B106,INT(($D$10+SUM($N$33:N105))/$D$5)-D105))))</f>
        <v/>
      </c>
      <c r="D106" s="8">
        <f>D105+C106</f>
        <v/>
      </c>
      <c r="E106" s="8">
        <f>$D$5</f>
        <v/>
      </c>
      <c r="F106" s="8">
        <f>IF(G105&gt;=$D$11,0,MIN(D106*E106,$D$11-G105))</f>
        <v/>
      </c>
      <c r="G106" s="8">
        <f>G105+F106</f>
        <v/>
      </c>
      <c r="H106" s="10">
        <f>H105+$D$6*F106</f>
        <v/>
      </c>
      <c r="I106" s="10">
        <f>$D$7*F106+Q106</f>
        <v/>
      </c>
      <c r="J106" s="10">
        <f>J105+$D$8*F106+K106-P106</f>
        <v/>
      </c>
      <c r="K106" s="10">
        <f>($D$9/12)*J105</f>
        <v/>
      </c>
      <c r="L106" s="9">
        <f>IF(G106=0,0,J106/(G106*$D$12))</f>
        <v/>
      </c>
      <c r="M106" s="13">
        <f>I106/G106</f>
        <v/>
      </c>
      <c r="N106" s="8">
        <f>INDEX($G$6:$G$30,MIN(INT((A106-1)/12)+1,25))</f>
        <v/>
      </c>
      <c r="O106" s="126">
        <f>G106*$D$12</f>
        <v/>
      </c>
      <c r="P106">
        <f>IF(F106=0,0,MAX(0,0.01*G106-$D$7*F106))</f>
        <v/>
      </c>
    </row>
    <row r="107">
      <c r="A107" s="7" t="n">
        <v>75</v>
      </c>
      <c r="B107" s="98">
        <f>CEILING(0.0101*G106/$D$5,1)</f>
        <v/>
      </c>
      <c r="C107" s="8">
        <f>MAX(0,MIN(MAX(0,FLOOR($D$15*D106*MAX(0,1-D106/(($D$10+SUM($N$33:N106))/$D$5)),1)),IF(A107&gt;=$D$14,IF(AND(D106&gt;0,F106&gt;0),INT(K106*D106/F106),0),1000000000),MIN(IF($D$11&gt;G106,INT(($D$11-G106)/$D$5),0)-D106,MAX(B107,INT(($D$10+SUM($N$33:N106))/$D$5)-D106))))</f>
        <v/>
      </c>
      <c r="D107" s="8">
        <f>D106+C107</f>
        <v/>
      </c>
      <c r="E107" s="8">
        <f>$D$5</f>
        <v/>
      </c>
      <c r="F107" s="8">
        <f>IF(G106&gt;=$D$11,0,MIN(D107*E107,$D$11-G106))</f>
        <v/>
      </c>
      <c r="G107" s="8">
        <f>G106+F107</f>
        <v/>
      </c>
      <c r="H107" s="10">
        <f>H106+$D$6*F107</f>
        <v/>
      </c>
      <c r="I107" s="10">
        <f>$D$7*F107+Q107</f>
        <v/>
      </c>
      <c r="J107" s="10">
        <f>J106+$D$8*F107+K107-P107</f>
        <v/>
      </c>
      <c r="K107" s="10">
        <f>($D$9/12)*J106</f>
        <v/>
      </c>
      <c r="L107" s="9">
        <f>IF(G107=0,0,J107/(G107*$D$12))</f>
        <v/>
      </c>
      <c r="M107" s="13">
        <f>I107/G107</f>
        <v/>
      </c>
      <c r="N107" s="8">
        <f>INDEX($G$6:$G$30,MIN(INT((A107-1)/12)+1,25))</f>
        <v/>
      </c>
      <c r="O107" s="126">
        <f>G107*$D$12</f>
        <v/>
      </c>
      <c r="P107">
        <f>IF(F107=0,0,MAX(0,0.01*G107-$D$7*F107))</f>
        <v/>
      </c>
    </row>
    <row r="108">
      <c r="A108" s="7" t="n">
        <v>76</v>
      </c>
      <c r="B108" s="98">
        <f>CEILING(0.0101*G107/$D$5,1)</f>
        <v/>
      </c>
      <c r="C108" s="8">
        <f>MAX(0,MIN(MAX(0,FLOOR($D$15*D107*MAX(0,1-D107/(($D$10+SUM($N$33:N107))/$D$5)),1)),IF(A108&gt;=$D$14,IF(AND(D107&gt;0,F107&gt;0),INT(K107*D107/F107),0),1000000000),MIN(IF($D$11&gt;G107,INT(($D$11-G107)/$D$5),0)-D107,MAX(B108,INT(($D$10+SUM($N$33:N107))/$D$5)-D107))))</f>
        <v/>
      </c>
      <c r="D108" s="8">
        <f>D107+C108</f>
        <v/>
      </c>
      <c r="E108" s="8">
        <f>$D$5</f>
        <v/>
      </c>
      <c r="F108" s="8">
        <f>IF(G107&gt;=$D$11,0,MIN(D108*E108,$D$11-G107))</f>
        <v/>
      </c>
      <c r="G108" s="8">
        <f>G107+F108</f>
        <v/>
      </c>
      <c r="H108" s="10">
        <f>H107+$D$6*F108</f>
        <v/>
      </c>
      <c r="I108" s="10">
        <f>$D$7*F108+Q108</f>
        <v/>
      </c>
      <c r="J108" s="10">
        <f>J107+$D$8*F108+K108-P108</f>
        <v/>
      </c>
      <c r="K108" s="10">
        <f>($D$9/12)*J107</f>
        <v/>
      </c>
      <c r="L108" s="9">
        <f>IF(G108=0,0,J108/(G108*$D$12))</f>
        <v/>
      </c>
      <c r="M108" s="13">
        <f>I108/G108</f>
        <v/>
      </c>
      <c r="N108" s="8">
        <f>INDEX($G$6:$G$30,MIN(INT((A108-1)/12)+1,25))</f>
        <v/>
      </c>
      <c r="O108" s="126">
        <f>G108*$D$12</f>
        <v/>
      </c>
      <c r="P108">
        <f>IF(F108=0,0,MAX(0,0.01*G108-$D$7*F108))</f>
        <v/>
      </c>
    </row>
    <row r="109">
      <c r="A109" s="7" t="n">
        <v>77</v>
      </c>
      <c r="B109" s="98">
        <f>CEILING(0.0101*G108/$D$5,1)</f>
        <v/>
      </c>
      <c r="C109" s="8">
        <f>MAX(0,MIN(MAX(0,FLOOR($D$15*D108*MAX(0,1-D108/(($D$10+SUM($N$33:N108))/$D$5)),1)),IF(A109&gt;=$D$14,IF(AND(D108&gt;0,F108&gt;0),INT(K108*D108/F108),0),1000000000),MIN(IF($D$11&gt;G108,INT(($D$11-G108)/$D$5),0)-D108,MAX(B109,INT(($D$10+SUM($N$33:N108))/$D$5)-D108))))</f>
        <v/>
      </c>
      <c r="D109" s="8">
        <f>D108+C109</f>
        <v/>
      </c>
      <c r="E109" s="8">
        <f>$D$5</f>
        <v/>
      </c>
      <c r="F109" s="8">
        <f>IF(G108&gt;=$D$11,0,MIN(D109*E109,$D$11-G108))</f>
        <v/>
      </c>
      <c r="G109" s="8">
        <f>G108+F109</f>
        <v/>
      </c>
      <c r="H109" s="10">
        <f>H108+$D$6*F109</f>
        <v/>
      </c>
      <c r="I109" s="10">
        <f>$D$7*F109+Q109</f>
        <v/>
      </c>
      <c r="J109" s="10">
        <f>J108+$D$8*F109+K109-P109</f>
        <v/>
      </c>
      <c r="K109" s="10">
        <f>($D$9/12)*J108</f>
        <v/>
      </c>
      <c r="L109" s="9">
        <f>IF(G109=0,0,J109/(G109*$D$12))</f>
        <v/>
      </c>
      <c r="M109" s="13">
        <f>I109/G109</f>
        <v/>
      </c>
      <c r="N109" s="8">
        <f>INDEX($G$6:$G$30,MIN(INT((A109-1)/12)+1,25))</f>
        <v/>
      </c>
      <c r="O109" s="126">
        <f>G109*$D$12</f>
        <v/>
      </c>
      <c r="P109">
        <f>IF(F109=0,0,MAX(0,0.01*G109-$D$7*F109))</f>
        <v/>
      </c>
    </row>
    <row r="110">
      <c r="A110" s="7" t="n">
        <v>78</v>
      </c>
      <c r="B110" s="98">
        <f>CEILING(0.0101*G109/$D$5,1)</f>
        <v/>
      </c>
      <c r="C110" s="8">
        <f>MAX(0,MIN(MAX(0,FLOOR($D$15*D109*MAX(0,1-D109/(($D$10+SUM($N$33:N109))/$D$5)),1)),IF(A110&gt;=$D$14,IF(AND(D109&gt;0,F109&gt;0),INT(K109*D109/F109),0),1000000000),MIN(IF($D$11&gt;G109,INT(($D$11-G109)/$D$5),0)-D109,MAX(B110,INT(($D$10+SUM($N$33:N109))/$D$5)-D109))))</f>
        <v/>
      </c>
      <c r="D110" s="8">
        <f>D109+C110</f>
        <v/>
      </c>
      <c r="E110" s="8">
        <f>$D$5</f>
        <v/>
      </c>
      <c r="F110" s="8">
        <f>IF(G109&gt;=$D$11,0,MIN(D110*E110,$D$11-G109))</f>
        <v/>
      </c>
      <c r="G110" s="8">
        <f>G109+F110</f>
        <v/>
      </c>
      <c r="H110" s="10">
        <f>H109+$D$6*F110</f>
        <v/>
      </c>
      <c r="I110" s="10">
        <f>$D$7*F110+Q110</f>
        <v/>
      </c>
      <c r="J110" s="10">
        <f>J109+$D$8*F110+K110-P110</f>
        <v/>
      </c>
      <c r="K110" s="10">
        <f>($D$9/12)*J109</f>
        <v/>
      </c>
      <c r="L110" s="9">
        <f>IF(G110=0,0,J110/(G110*$D$12))</f>
        <v/>
      </c>
      <c r="M110" s="13">
        <f>I110/G110</f>
        <v/>
      </c>
      <c r="N110" s="8">
        <f>INDEX($G$6:$G$30,MIN(INT((A110-1)/12)+1,25))</f>
        <v/>
      </c>
      <c r="O110" s="126">
        <f>G110*$D$12</f>
        <v/>
      </c>
      <c r="P110">
        <f>IF(F110=0,0,MAX(0,0.01*G110-$D$7*F110))</f>
        <v/>
      </c>
    </row>
    <row r="111">
      <c r="A111" s="7" t="n">
        <v>79</v>
      </c>
      <c r="B111" s="98">
        <f>CEILING(0.0101*G110/$D$5,1)</f>
        <v/>
      </c>
      <c r="C111" s="8">
        <f>MAX(0,MIN(MAX(0,FLOOR($D$15*D110*MAX(0,1-D110/(($D$10+SUM($N$33:N110))/$D$5)),1)),IF(A111&gt;=$D$14,IF(AND(D110&gt;0,F110&gt;0),INT(K110*D110/F110),0),1000000000),MIN(IF($D$11&gt;G110,INT(($D$11-G110)/$D$5),0)-D110,MAX(B111,INT(($D$10+SUM($N$33:N110))/$D$5)-D110))))</f>
        <v/>
      </c>
      <c r="D111" s="8">
        <f>D110+C111</f>
        <v/>
      </c>
      <c r="E111" s="8">
        <f>$D$5</f>
        <v/>
      </c>
      <c r="F111" s="8">
        <f>IF(G110&gt;=$D$11,0,MIN(D111*E111,$D$11-G110))</f>
        <v/>
      </c>
      <c r="G111" s="8">
        <f>G110+F111</f>
        <v/>
      </c>
      <c r="H111" s="10">
        <f>H110+$D$6*F111</f>
        <v/>
      </c>
      <c r="I111" s="10">
        <f>$D$7*F111+Q111</f>
        <v/>
      </c>
      <c r="J111" s="10">
        <f>J110+$D$8*F111+K111-P111</f>
        <v/>
      </c>
      <c r="K111" s="10">
        <f>($D$9/12)*J110</f>
        <v/>
      </c>
      <c r="L111" s="9">
        <f>IF(G111=0,0,J111/(G111*$D$12))</f>
        <v/>
      </c>
      <c r="M111" s="13">
        <f>I111/G111</f>
        <v/>
      </c>
      <c r="N111" s="8">
        <f>INDEX($G$6:$G$30,MIN(INT((A111-1)/12)+1,25))</f>
        <v/>
      </c>
      <c r="O111" s="126">
        <f>G111*$D$12</f>
        <v/>
      </c>
      <c r="P111">
        <f>IF(F111=0,0,MAX(0,0.01*G111-$D$7*F111))</f>
        <v/>
      </c>
    </row>
    <row r="112">
      <c r="A112" s="7" t="n">
        <v>80</v>
      </c>
      <c r="B112" s="98">
        <f>CEILING(0.0101*G111/$D$5,1)</f>
        <v/>
      </c>
      <c r="C112" s="8">
        <f>MAX(0,MIN(MAX(0,FLOOR($D$15*D111*MAX(0,1-D111/(($D$10+SUM($N$33:N111))/$D$5)),1)),IF(A112&gt;=$D$14,IF(AND(D111&gt;0,F111&gt;0),INT(K111*D111/F111),0),1000000000),MIN(IF($D$11&gt;G111,INT(($D$11-G111)/$D$5),0)-D111,MAX(B112,INT(($D$10+SUM($N$33:N111))/$D$5)-D111))))</f>
        <v/>
      </c>
      <c r="D112" s="8">
        <f>D111+C112</f>
        <v/>
      </c>
      <c r="E112" s="8">
        <f>$D$5</f>
        <v/>
      </c>
      <c r="F112" s="8">
        <f>IF(G111&gt;=$D$11,0,MIN(D112*E112,$D$11-G111))</f>
        <v/>
      </c>
      <c r="G112" s="8">
        <f>G111+F112</f>
        <v/>
      </c>
      <c r="H112" s="10">
        <f>H111+$D$6*F112</f>
        <v/>
      </c>
      <c r="I112" s="10">
        <f>$D$7*F112+Q112</f>
        <v/>
      </c>
      <c r="J112" s="10">
        <f>J111+$D$8*F112+K112-P112</f>
        <v/>
      </c>
      <c r="K112" s="10">
        <f>($D$9/12)*J111</f>
        <v/>
      </c>
      <c r="L112" s="9">
        <f>IF(G112=0,0,J112/(G112*$D$12))</f>
        <v/>
      </c>
      <c r="M112" s="13">
        <f>I112/G112</f>
        <v/>
      </c>
      <c r="N112" s="8">
        <f>INDEX($G$6:$G$30,MIN(INT((A112-1)/12)+1,25))</f>
        <v/>
      </c>
      <c r="O112" s="126">
        <f>G112*$D$12</f>
        <v/>
      </c>
      <c r="P112">
        <f>IF(F112=0,0,MAX(0,0.01*G112-$D$7*F112))</f>
        <v/>
      </c>
    </row>
    <row r="113">
      <c r="A113" s="7" t="n">
        <v>81</v>
      </c>
      <c r="B113" s="98">
        <f>CEILING(0.0101*G112/$D$5,1)</f>
        <v/>
      </c>
      <c r="C113" s="8">
        <f>MAX(0,MIN(MAX(0,FLOOR($D$15*D112*MAX(0,1-D112/(($D$10+SUM($N$33:N112))/$D$5)),1)),IF(A113&gt;=$D$14,IF(AND(D112&gt;0,F112&gt;0),INT(K112*D112/F112),0),1000000000),MIN(IF($D$11&gt;G112,INT(($D$11-G112)/$D$5),0)-D112,MAX(B113,INT(($D$10+SUM($N$33:N112))/$D$5)-D112))))</f>
        <v/>
      </c>
      <c r="D113" s="8">
        <f>D112+C113</f>
        <v/>
      </c>
      <c r="E113" s="8">
        <f>$D$5</f>
        <v/>
      </c>
      <c r="F113" s="8">
        <f>IF(G112&gt;=$D$11,0,MIN(D113*E113,$D$11-G112))</f>
        <v/>
      </c>
      <c r="G113" s="8">
        <f>G112+F113</f>
        <v/>
      </c>
      <c r="H113" s="10">
        <f>H112+$D$6*F113</f>
        <v/>
      </c>
      <c r="I113" s="10">
        <f>$D$7*F113+Q113</f>
        <v/>
      </c>
      <c r="J113" s="10">
        <f>J112+$D$8*F113+K113-P113</f>
        <v/>
      </c>
      <c r="K113" s="10">
        <f>($D$9/12)*J112</f>
        <v/>
      </c>
      <c r="L113" s="9">
        <f>IF(G113=0,0,J113/(G113*$D$12))</f>
        <v/>
      </c>
      <c r="M113" s="13">
        <f>I113/G113</f>
        <v/>
      </c>
      <c r="N113" s="8">
        <f>INDEX($G$6:$G$30,MIN(INT((A113-1)/12)+1,25))</f>
        <v/>
      </c>
      <c r="O113" s="126">
        <f>G113*$D$12</f>
        <v/>
      </c>
      <c r="P113">
        <f>IF(F113=0,0,MAX(0,0.01*G113-$D$7*F113))</f>
        <v/>
      </c>
    </row>
    <row r="114">
      <c r="A114" s="7" t="n">
        <v>82</v>
      </c>
      <c r="B114" s="98">
        <f>CEILING(0.0101*G113/$D$5,1)</f>
        <v/>
      </c>
      <c r="C114" s="8">
        <f>MAX(0,MIN(MAX(0,FLOOR($D$15*D113*MAX(0,1-D113/(($D$10+SUM($N$33:N113))/$D$5)),1)),IF(A114&gt;=$D$14,IF(AND(D113&gt;0,F113&gt;0),INT(K113*D113/F113),0),1000000000),MIN(IF($D$11&gt;G113,INT(($D$11-G113)/$D$5),0)-D113,MAX(B114,INT(($D$10+SUM($N$33:N113))/$D$5)-D113))))</f>
        <v/>
      </c>
      <c r="D114" s="8">
        <f>D113+C114</f>
        <v/>
      </c>
      <c r="E114" s="8">
        <f>$D$5</f>
        <v/>
      </c>
      <c r="F114" s="8">
        <f>IF(G113&gt;=$D$11,0,MIN(D114*E114,$D$11-G113))</f>
        <v/>
      </c>
      <c r="G114" s="8">
        <f>G113+F114</f>
        <v/>
      </c>
      <c r="H114" s="10">
        <f>H113+$D$6*F114</f>
        <v/>
      </c>
      <c r="I114" s="10">
        <f>$D$7*F114+Q114</f>
        <v/>
      </c>
      <c r="J114" s="10">
        <f>J113+$D$8*F114+K114-P114</f>
        <v/>
      </c>
      <c r="K114" s="10">
        <f>($D$9/12)*J113</f>
        <v/>
      </c>
      <c r="L114" s="9">
        <f>IF(G114=0,0,J114/(G114*$D$12))</f>
        <v/>
      </c>
      <c r="M114" s="13">
        <f>I114/G114</f>
        <v/>
      </c>
      <c r="N114" s="8">
        <f>INDEX($G$6:$G$30,MIN(INT((A114-1)/12)+1,25))</f>
        <v/>
      </c>
      <c r="O114" s="126">
        <f>G114*$D$12</f>
        <v/>
      </c>
      <c r="P114">
        <f>IF(F114=0,0,MAX(0,0.01*G114-$D$7*F114))</f>
        <v/>
      </c>
    </row>
    <row r="115">
      <c r="A115" s="7" t="n">
        <v>83</v>
      </c>
      <c r="B115" s="98">
        <f>CEILING(0.0101*G114/$D$5,1)</f>
        <v/>
      </c>
      <c r="C115" s="8">
        <f>MAX(0,MIN(MAX(0,FLOOR($D$15*D114*MAX(0,1-D114/(($D$10+SUM($N$33:N114))/$D$5)),1)),IF(A115&gt;=$D$14,IF(AND(D114&gt;0,F114&gt;0),INT(K114*D114/F114),0),1000000000),MIN(IF($D$11&gt;G114,INT(($D$11-G114)/$D$5),0)-D114,MAX(B115,INT(($D$10+SUM($N$33:N114))/$D$5)-D114))))</f>
        <v/>
      </c>
      <c r="D115" s="8">
        <f>D114+C115</f>
        <v/>
      </c>
      <c r="E115" s="8">
        <f>$D$5</f>
        <v/>
      </c>
      <c r="F115" s="8">
        <f>IF(G114&gt;=$D$11,0,MIN(D115*E115,$D$11-G114))</f>
        <v/>
      </c>
      <c r="G115" s="8">
        <f>G114+F115</f>
        <v/>
      </c>
      <c r="H115" s="10">
        <f>H114+$D$6*F115</f>
        <v/>
      </c>
      <c r="I115" s="10">
        <f>$D$7*F115+Q115</f>
        <v/>
      </c>
      <c r="J115" s="10">
        <f>J114+$D$8*F115+K115-P115</f>
        <v/>
      </c>
      <c r="K115" s="10">
        <f>($D$9/12)*J114</f>
        <v/>
      </c>
      <c r="L115" s="9">
        <f>IF(G115=0,0,J115/(G115*$D$12))</f>
        <v/>
      </c>
      <c r="M115" s="13">
        <f>I115/G115</f>
        <v/>
      </c>
      <c r="N115" s="8">
        <f>INDEX($G$6:$G$30,MIN(INT((A115-1)/12)+1,25))</f>
        <v/>
      </c>
      <c r="O115" s="126">
        <f>G115*$D$12</f>
        <v/>
      </c>
      <c r="P115">
        <f>IF(F115=0,0,MAX(0,0.01*G115-$D$7*F115))</f>
        <v/>
      </c>
    </row>
    <row r="116">
      <c r="A116" s="7" t="n">
        <v>84</v>
      </c>
      <c r="B116" s="98">
        <f>CEILING(0.0101*G115/$D$5,1)</f>
        <v/>
      </c>
      <c r="C116" s="8">
        <f>MAX(0,MIN(MAX(0,FLOOR($D$15*D115*MAX(0,1-D115/(($D$10+SUM($N$33:N115))/$D$5)),1)),IF(A116&gt;=$D$14,IF(AND(D115&gt;0,F115&gt;0),INT(K115*D115/F115),0),1000000000),MIN(IF($D$11&gt;G115,INT(($D$11-G115)/$D$5),0)-D115,MAX(B116,INT(($D$10+SUM($N$33:N115))/$D$5)-D115))))</f>
        <v/>
      </c>
      <c r="D116" s="8">
        <f>D115+C116</f>
        <v/>
      </c>
      <c r="E116" s="8">
        <f>$D$5</f>
        <v/>
      </c>
      <c r="F116" s="8">
        <f>IF(G115&gt;=$D$11,0,MIN(D116*E116,$D$11-G115))</f>
        <v/>
      </c>
      <c r="G116" s="8">
        <f>G115+F116</f>
        <v/>
      </c>
      <c r="H116" s="10">
        <f>H115+$D$6*F116</f>
        <v/>
      </c>
      <c r="I116" s="10">
        <f>$D$7*F116+Q116</f>
        <v/>
      </c>
      <c r="J116" s="10">
        <f>J115+$D$8*F116+K116-P116</f>
        <v/>
      </c>
      <c r="K116" s="10">
        <f>($D$9/12)*J115</f>
        <v/>
      </c>
      <c r="L116" s="9">
        <f>IF(G116=0,0,J116/(G116*$D$12))</f>
        <v/>
      </c>
      <c r="M116" s="13">
        <f>I116/G116</f>
        <v/>
      </c>
      <c r="N116" s="8">
        <f>INDEX($G$6:$G$30,MIN(INT((A116-1)/12)+1,25))</f>
        <v/>
      </c>
      <c r="O116" s="126">
        <f>G116*$D$12</f>
        <v/>
      </c>
      <c r="P116">
        <f>IF(F116=0,0,MAX(0,0.01*G116-$D$7*F116))</f>
        <v/>
      </c>
    </row>
    <row r="117">
      <c r="A117" s="7" t="n">
        <v>85</v>
      </c>
      <c r="B117" s="98">
        <f>CEILING(0.0101*G116/$D$5,1)</f>
        <v/>
      </c>
      <c r="C117" s="8">
        <f>MAX(0,MIN(MAX(0,FLOOR($D$15*D116*MAX(0,1-D116/(($D$10+SUM($N$33:N116))/$D$5)),1)),IF(A117&gt;=$D$14,IF(AND(D116&gt;0,F116&gt;0),INT(K116*D116/F116),0),1000000000),MIN(IF($D$11&gt;G116,INT(($D$11-G116)/$D$5),0)-D116,MAX(B117,INT(($D$10+SUM($N$33:N116))/$D$5)-D116))))</f>
        <v/>
      </c>
      <c r="D117" s="8">
        <f>D116+C117</f>
        <v/>
      </c>
      <c r="E117" s="8">
        <f>$D$5</f>
        <v/>
      </c>
      <c r="F117" s="8">
        <f>IF(G116&gt;=$D$11,0,MIN(D117*E117,$D$11-G116))</f>
        <v/>
      </c>
      <c r="G117" s="8">
        <f>G116+F117</f>
        <v/>
      </c>
      <c r="H117" s="10">
        <f>H116+$D$6*F117</f>
        <v/>
      </c>
      <c r="I117" s="10">
        <f>$D$7*F117+Q117</f>
        <v/>
      </c>
      <c r="J117" s="10">
        <f>J116+$D$8*F117+K117-P117</f>
        <v/>
      </c>
      <c r="K117" s="10">
        <f>($D$9/12)*J116</f>
        <v/>
      </c>
      <c r="L117" s="9">
        <f>IF(G117=0,0,J117/(G117*$D$12))</f>
        <v/>
      </c>
      <c r="M117" s="13">
        <f>I117/G117</f>
        <v/>
      </c>
      <c r="N117" s="8">
        <f>INDEX($G$6:$G$30,MIN(INT((A117-1)/12)+1,25))</f>
        <v/>
      </c>
      <c r="O117" s="126">
        <f>G117*$D$12</f>
        <v/>
      </c>
      <c r="P117">
        <f>IF(F117=0,0,MAX(0,0.01*G117-$D$7*F117))</f>
        <v/>
      </c>
    </row>
    <row r="118">
      <c r="A118" s="7" t="n">
        <v>86</v>
      </c>
      <c r="B118" s="98">
        <f>CEILING(0.0101*G117/$D$5,1)</f>
        <v/>
      </c>
      <c r="C118" s="8">
        <f>MAX(0,MIN(MAX(0,FLOOR($D$15*D117*MAX(0,1-D117/(($D$10+SUM($N$33:N117))/$D$5)),1)),IF(A118&gt;=$D$14,IF(AND(D117&gt;0,F117&gt;0),INT(K117*D117/F117),0),1000000000),MIN(IF($D$11&gt;G117,INT(($D$11-G117)/$D$5),0)-D117,MAX(B118,INT(($D$10+SUM($N$33:N117))/$D$5)-D117))))</f>
        <v/>
      </c>
      <c r="D118" s="8">
        <f>D117+C118</f>
        <v/>
      </c>
      <c r="E118" s="8">
        <f>$D$5</f>
        <v/>
      </c>
      <c r="F118" s="8">
        <f>IF(G117&gt;=$D$11,0,MIN(D118*E118,$D$11-G117))</f>
        <v/>
      </c>
      <c r="G118" s="8">
        <f>G117+F118</f>
        <v/>
      </c>
      <c r="H118" s="10">
        <f>H117+$D$6*F118</f>
        <v/>
      </c>
      <c r="I118" s="10">
        <f>$D$7*F118+Q118</f>
        <v/>
      </c>
      <c r="J118" s="10">
        <f>J117+$D$8*F118+K118-P118</f>
        <v/>
      </c>
      <c r="K118" s="10">
        <f>($D$9/12)*J117</f>
        <v/>
      </c>
      <c r="L118" s="9">
        <f>IF(G118=0,0,J118/(G118*$D$12))</f>
        <v/>
      </c>
      <c r="M118" s="13">
        <f>I118/G118</f>
        <v/>
      </c>
      <c r="N118" s="8">
        <f>INDEX($G$6:$G$30,MIN(INT((A118-1)/12)+1,25))</f>
        <v/>
      </c>
      <c r="O118" s="126">
        <f>G118*$D$12</f>
        <v/>
      </c>
      <c r="P118">
        <f>IF(F118=0,0,MAX(0,0.01*G118-$D$7*F118))</f>
        <v/>
      </c>
    </row>
    <row r="119">
      <c r="A119" s="7" t="n">
        <v>87</v>
      </c>
      <c r="B119" s="98">
        <f>CEILING(0.0101*G118/$D$5,1)</f>
        <v/>
      </c>
      <c r="C119" s="8">
        <f>MAX(0,MIN(MAX(0,FLOOR($D$15*D118*MAX(0,1-D118/(($D$10+SUM($N$33:N118))/$D$5)),1)),IF(A119&gt;=$D$14,IF(AND(D118&gt;0,F118&gt;0),INT(K118*D118/F118),0),1000000000),MIN(IF($D$11&gt;G118,INT(($D$11-G118)/$D$5),0)-D118,MAX(B119,INT(($D$10+SUM($N$33:N118))/$D$5)-D118))))</f>
        <v/>
      </c>
      <c r="D119" s="8">
        <f>D118+C119</f>
        <v/>
      </c>
      <c r="E119" s="8">
        <f>$D$5</f>
        <v/>
      </c>
      <c r="F119" s="8">
        <f>IF(G118&gt;=$D$11,0,MIN(D119*E119,$D$11-G118))</f>
        <v/>
      </c>
      <c r="G119" s="8">
        <f>G118+F119</f>
        <v/>
      </c>
      <c r="H119" s="10">
        <f>H118+$D$6*F119</f>
        <v/>
      </c>
      <c r="I119" s="10">
        <f>$D$7*F119+Q119</f>
        <v/>
      </c>
      <c r="J119" s="10">
        <f>J118+$D$8*F119+K119-P119</f>
        <v/>
      </c>
      <c r="K119" s="10">
        <f>($D$9/12)*J118</f>
        <v/>
      </c>
      <c r="L119" s="9">
        <f>IF(G119=0,0,J119/(G119*$D$12))</f>
        <v/>
      </c>
      <c r="M119" s="13">
        <f>I119/G119</f>
        <v/>
      </c>
      <c r="N119" s="8">
        <f>INDEX($G$6:$G$30,MIN(INT((A119-1)/12)+1,25))</f>
        <v/>
      </c>
      <c r="O119" s="126">
        <f>G119*$D$12</f>
        <v/>
      </c>
      <c r="P119">
        <f>IF(F119=0,0,MAX(0,0.01*G119-$D$7*F119))</f>
        <v/>
      </c>
    </row>
    <row r="120">
      <c r="A120" s="7" t="n">
        <v>88</v>
      </c>
      <c r="B120" s="98">
        <f>CEILING(0.0101*G119/$D$5,1)</f>
        <v/>
      </c>
      <c r="C120" s="8">
        <f>MAX(0,MIN(MAX(0,FLOOR($D$15*D119*MAX(0,1-D119/(($D$10+SUM($N$33:N119))/$D$5)),1)),IF(A120&gt;=$D$14,IF(AND(D119&gt;0,F119&gt;0),INT(K119*D119/F119),0),1000000000),MIN(IF($D$11&gt;G119,INT(($D$11-G119)/$D$5),0)-D119,MAX(B120,INT(($D$10+SUM($N$33:N119))/$D$5)-D119))))</f>
        <v/>
      </c>
      <c r="D120" s="8">
        <f>D119+C120</f>
        <v/>
      </c>
      <c r="E120" s="8">
        <f>$D$5</f>
        <v/>
      </c>
      <c r="F120" s="8">
        <f>IF(G119&gt;=$D$11,0,MIN(D120*E120,$D$11-G119))</f>
        <v/>
      </c>
      <c r="G120" s="8">
        <f>G119+F120</f>
        <v/>
      </c>
      <c r="H120" s="10">
        <f>H119+$D$6*F120</f>
        <v/>
      </c>
      <c r="I120" s="10">
        <f>$D$7*F120+Q120</f>
        <v/>
      </c>
      <c r="J120" s="10">
        <f>J119+$D$8*F120+K120-P120</f>
        <v/>
      </c>
      <c r="K120" s="10">
        <f>($D$9/12)*J119</f>
        <v/>
      </c>
      <c r="L120" s="9">
        <f>IF(G120=0,0,J120/(G120*$D$12))</f>
        <v/>
      </c>
      <c r="M120" s="13">
        <f>I120/G120</f>
        <v/>
      </c>
      <c r="N120" s="8">
        <f>INDEX($G$6:$G$30,MIN(INT((A120-1)/12)+1,25))</f>
        <v/>
      </c>
      <c r="O120" s="126">
        <f>G120*$D$12</f>
        <v/>
      </c>
      <c r="P120">
        <f>IF(F120=0,0,MAX(0,0.01*G120-$D$7*F120))</f>
        <v/>
      </c>
    </row>
    <row r="121">
      <c r="A121" s="7" t="n">
        <v>89</v>
      </c>
      <c r="B121" s="98">
        <f>CEILING(0.0101*G120/$D$5,1)</f>
        <v/>
      </c>
      <c r="C121" s="8">
        <f>MAX(0,MIN(MAX(0,FLOOR($D$15*D120*MAX(0,1-D120/(($D$10+SUM($N$33:N120))/$D$5)),1)),IF(A121&gt;=$D$14,IF(AND(D120&gt;0,F120&gt;0),INT(K120*D120/F120),0),1000000000),MIN(IF($D$11&gt;G120,INT(($D$11-G120)/$D$5),0)-D120,MAX(B121,INT(($D$10+SUM($N$33:N120))/$D$5)-D120))))</f>
        <v/>
      </c>
      <c r="D121" s="8">
        <f>D120+C121</f>
        <v/>
      </c>
      <c r="E121" s="8">
        <f>$D$5</f>
        <v/>
      </c>
      <c r="F121" s="8">
        <f>IF(G120&gt;=$D$11,0,MIN(D121*E121,$D$11-G120))</f>
        <v/>
      </c>
      <c r="G121" s="8">
        <f>G120+F121</f>
        <v/>
      </c>
      <c r="H121" s="10">
        <f>H120+$D$6*F121</f>
        <v/>
      </c>
      <c r="I121" s="10">
        <f>$D$7*F121+Q121</f>
        <v/>
      </c>
      <c r="J121" s="10">
        <f>J120+$D$8*F121+K121-P121</f>
        <v/>
      </c>
      <c r="K121" s="10">
        <f>($D$9/12)*J120</f>
        <v/>
      </c>
      <c r="L121" s="9">
        <f>IF(G121=0,0,J121/(G121*$D$12))</f>
        <v/>
      </c>
      <c r="M121" s="13">
        <f>I121/G121</f>
        <v/>
      </c>
      <c r="N121" s="8">
        <f>INDEX($G$6:$G$30,MIN(INT((A121-1)/12)+1,25))</f>
        <v/>
      </c>
      <c r="O121" s="126">
        <f>G121*$D$12</f>
        <v/>
      </c>
      <c r="P121">
        <f>IF(F121=0,0,MAX(0,0.01*G121-$D$7*F121))</f>
        <v/>
      </c>
    </row>
    <row r="122">
      <c r="A122" s="7" t="n">
        <v>90</v>
      </c>
      <c r="B122" s="98">
        <f>CEILING(0.0101*G121/$D$5,1)</f>
        <v/>
      </c>
      <c r="C122" s="8">
        <f>MAX(0,MIN(MAX(0,FLOOR($D$15*D121*MAX(0,1-D121/(($D$10+SUM($N$33:N121))/$D$5)),1)),IF(A122&gt;=$D$14,IF(AND(D121&gt;0,F121&gt;0),INT(K121*D121/F121),0),1000000000),MIN(IF($D$11&gt;G121,INT(($D$11-G121)/$D$5),0)-D121,MAX(B122,INT(($D$10+SUM($N$33:N121))/$D$5)-D121))))</f>
        <v/>
      </c>
      <c r="D122" s="8">
        <f>D121+C122</f>
        <v/>
      </c>
      <c r="E122" s="8">
        <f>$D$5</f>
        <v/>
      </c>
      <c r="F122" s="8">
        <f>IF(G121&gt;=$D$11,0,MIN(D122*E122,$D$11-G121))</f>
        <v/>
      </c>
      <c r="G122" s="8">
        <f>G121+F122</f>
        <v/>
      </c>
      <c r="H122" s="10">
        <f>H121+$D$6*F122</f>
        <v/>
      </c>
      <c r="I122" s="10">
        <f>$D$7*F122+Q122</f>
        <v/>
      </c>
      <c r="J122" s="10">
        <f>J121+$D$8*F122+K122-P122</f>
        <v/>
      </c>
      <c r="K122" s="10">
        <f>($D$9/12)*J121</f>
        <v/>
      </c>
      <c r="L122" s="9">
        <f>IF(G122=0,0,J122/(G122*$D$12))</f>
        <v/>
      </c>
      <c r="M122" s="13">
        <f>I122/G122</f>
        <v/>
      </c>
      <c r="N122" s="8">
        <f>INDEX($G$6:$G$30,MIN(INT((A122-1)/12)+1,25))</f>
        <v/>
      </c>
      <c r="O122" s="126">
        <f>G122*$D$12</f>
        <v/>
      </c>
      <c r="P122">
        <f>IF(F122=0,0,MAX(0,0.01*G122-$D$7*F122))</f>
        <v/>
      </c>
    </row>
    <row r="123">
      <c r="A123" s="7" t="n">
        <v>91</v>
      </c>
      <c r="B123" s="98">
        <f>CEILING(0.0101*G122/$D$5,1)</f>
        <v/>
      </c>
      <c r="C123" s="8">
        <f>MAX(0,MIN(MAX(0,FLOOR($D$15*D122*MAX(0,1-D122/(($D$10+SUM($N$33:N122))/$D$5)),1)),IF(A123&gt;=$D$14,IF(AND(D122&gt;0,F122&gt;0),INT(K122*D122/F122),0),1000000000),MIN(IF($D$11&gt;G122,INT(($D$11-G122)/$D$5),0)-D122,MAX(B123,INT(($D$10+SUM($N$33:N122))/$D$5)-D122))))</f>
        <v/>
      </c>
      <c r="D123" s="8">
        <f>D122+C123</f>
        <v/>
      </c>
      <c r="E123" s="8">
        <f>$D$5</f>
        <v/>
      </c>
      <c r="F123" s="8">
        <f>IF(G122&gt;=$D$11,0,MIN(D123*E123,$D$11-G122))</f>
        <v/>
      </c>
      <c r="G123" s="8">
        <f>G122+F123</f>
        <v/>
      </c>
      <c r="H123" s="10">
        <f>H122+$D$6*F123</f>
        <v/>
      </c>
      <c r="I123" s="10">
        <f>$D$7*F123+Q123</f>
        <v/>
      </c>
      <c r="J123" s="10">
        <f>J122+$D$8*F123+K123-P123</f>
        <v/>
      </c>
      <c r="K123" s="10">
        <f>($D$9/12)*J122</f>
        <v/>
      </c>
      <c r="L123" s="9">
        <f>IF(G123=0,0,J123/(G123*$D$12))</f>
        <v/>
      </c>
      <c r="M123" s="13">
        <f>I123/G123</f>
        <v/>
      </c>
      <c r="N123" s="8">
        <f>INDEX($G$6:$G$30,MIN(INT((A123-1)/12)+1,25))</f>
        <v/>
      </c>
      <c r="O123" s="126">
        <f>G123*$D$12</f>
        <v/>
      </c>
      <c r="P123">
        <f>IF(F123=0,0,MAX(0,0.01*G123-$D$7*F123))</f>
        <v/>
      </c>
    </row>
    <row r="124">
      <c r="A124" s="7" t="n">
        <v>92</v>
      </c>
      <c r="B124" s="98">
        <f>CEILING(0.0101*G123/$D$5,1)</f>
        <v/>
      </c>
      <c r="C124" s="8">
        <f>MAX(0,MIN(MAX(0,FLOOR($D$15*D123*MAX(0,1-D123/(($D$10+SUM($N$33:N123))/$D$5)),1)),IF(A124&gt;=$D$14,IF(AND(D123&gt;0,F123&gt;0),INT(K123*D123/F123),0),1000000000),MIN(IF($D$11&gt;G123,INT(($D$11-G123)/$D$5),0)-D123,MAX(B124,INT(($D$10+SUM($N$33:N123))/$D$5)-D123))))</f>
        <v/>
      </c>
      <c r="D124" s="8">
        <f>D123+C124</f>
        <v/>
      </c>
      <c r="E124" s="8">
        <f>$D$5</f>
        <v/>
      </c>
      <c r="F124" s="8">
        <f>IF(G123&gt;=$D$11,0,MIN(D124*E124,$D$11-G123))</f>
        <v/>
      </c>
      <c r="G124" s="8">
        <f>G123+F124</f>
        <v/>
      </c>
      <c r="H124" s="10">
        <f>H123+$D$6*F124</f>
        <v/>
      </c>
      <c r="I124" s="10">
        <f>$D$7*F124+Q124</f>
        <v/>
      </c>
      <c r="J124" s="10">
        <f>J123+$D$8*F124+K124-P124</f>
        <v/>
      </c>
      <c r="K124" s="10">
        <f>($D$9/12)*J123</f>
        <v/>
      </c>
      <c r="L124" s="9">
        <f>IF(G124=0,0,J124/(G124*$D$12))</f>
        <v/>
      </c>
      <c r="M124" s="13">
        <f>I124/G124</f>
        <v/>
      </c>
      <c r="N124" s="8">
        <f>INDEX($G$6:$G$30,MIN(INT((A124-1)/12)+1,25))</f>
        <v/>
      </c>
      <c r="O124" s="126">
        <f>G124*$D$12</f>
        <v/>
      </c>
      <c r="P124">
        <f>IF(F124=0,0,MAX(0,0.01*G124-$D$7*F124))</f>
        <v/>
      </c>
    </row>
    <row r="125">
      <c r="A125" s="7" t="n">
        <v>93</v>
      </c>
      <c r="B125" s="98">
        <f>CEILING(0.0101*G124/$D$5,1)</f>
        <v/>
      </c>
      <c r="C125" s="8">
        <f>MAX(0,MIN(MAX(0,FLOOR($D$15*D124*MAX(0,1-D124/(($D$10+SUM($N$33:N124))/$D$5)),1)),IF(A125&gt;=$D$14,IF(AND(D124&gt;0,F124&gt;0),INT(K124*D124/F124),0),1000000000),MIN(IF($D$11&gt;G124,INT(($D$11-G124)/$D$5),0)-D124,MAX(B125,INT(($D$10+SUM($N$33:N124))/$D$5)-D124))))</f>
        <v/>
      </c>
      <c r="D125" s="8">
        <f>D124+C125</f>
        <v/>
      </c>
      <c r="E125" s="8">
        <f>$D$5</f>
        <v/>
      </c>
      <c r="F125" s="8">
        <f>IF(G124&gt;=$D$11,0,MIN(D125*E125,$D$11-G124))</f>
        <v/>
      </c>
      <c r="G125" s="8">
        <f>G124+F125</f>
        <v/>
      </c>
      <c r="H125" s="10">
        <f>H124+$D$6*F125</f>
        <v/>
      </c>
      <c r="I125" s="10">
        <f>$D$7*F125+Q125</f>
        <v/>
      </c>
      <c r="J125" s="10">
        <f>J124+$D$8*F125+K125-P125</f>
        <v/>
      </c>
      <c r="K125" s="10">
        <f>($D$9/12)*J124</f>
        <v/>
      </c>
      <c r="L125" s="9">
        <f>IF(G125=0,0,J125/(G125*$D$12))</f>
        <v/>
      </c>
      <c r="M125" s="13">
        <f>I125/G125</f>
        <v/>
      </c>
      <c r="N125" s="8">
        <f>INDEX($G$6:$G$30,MIN(INT((A125-1)/12)+1,25))</f>
        <v/>
      </c>
      <c r="O125" s="126">
        <f>G125*$D$12</f>
        <v/>
      </c>
      <c r="P125">
        <f>IF(F125=0,0,MAX(0,0.01*G125-$D$7*F125))</f>
        <v/>
      </c>
    </row>
    <row r="126">
      <c r="A126" s="7" t="n">
        <v>94</v>
      </c>
      <c r="B126" s="98">
        <f>CEILING(0.0101*G125/$D$5,1)</f>
        <v/>
      </c>
      <c r="C126" s="8">
        <f>MAX(0,MIN(MAX(0,FLOOR($D$15*D125*MAX(0,1-D125/(($D$10+SUM($N$33:N125))/$D$5)),1)),IF(A126&gt;=$D$14,IF(AND(D125&gt;0,F125&gt;0),INT(K125*D125/F125),0),1000000000),MIN(IF($D$11&gt;G125,INT(($D$11-G125)/$D$5),0)-D125,MAX(B126,INT(($D$10+SUM($N$33:N125))/$D$5)-D125))))</f>
        <v/>
      </c>
      <c r="D126" s="8">
        <f>D125+C126</f>
        <v/>
      </c>
      <c r="E126" s="8">
        <f>$D$5</f>
        <v/>
      </c>
      <c r="F126" s="8">
        <f>IF(G125&gt;=$D$11,0,MIN(D126*E126,$D$11-G125))</f>
        <v/>
      </c>
      <c r="G126" s="8">
        <f>G125+F126</f>
        <v/>
      </c>
      <c r="H126" s="10">
        <f>H125+$D$6*F126</f>
        <v/>
      </c>
      <c r="I126" s="10">
        <f>$D$7*F126+Q126</f>
        <v/>
      </c>
      <c r="J126" s="10">
        <f>J125+$D$8*F126+K126-P126</f>
        <v/>
      </c>
      <c r="K126" s="10">
        <f>($D$9/12)*J125</f>
        <v/>
      </c>
      <c r="L126" s="9">
        <f>IF(G126=0,0,J126/(G126*$D$12))</f>
        <v/>
      </c>
      <c r="M126" s="13">
        <f>I126/G126</f>
        <v/>
      </c>
      <c r="N126" s="8">
        <f>INDEX($G$6:$G$30,MIN(INT((A126-1)/12)+1,25))</f>
        <v/>
      </c>
      <c r="O126" s="126">
        <f>G126*$D$12</f>
        <v/>
      </c>
      <c r="P126">
        <f>IF(F126=0,0,MAX(0,0.01*G126-$D$7*F126))</f>
        <v/>
      </c>
    </row>
    <row r="127">
      <c r="A127" s="7" t="n">
        <v>95</v>
      </c>
      <c r="B127" s="98">
        <f>CEILING(0.0101*G126/$D$5,1)</f>
        <v/>
      </c>
      <c r="C127" s="8">
        <f>MAX(0,MIN(MAX(0,FLOOR($D$15*D126*MAX(0,1-D126/(($D$10+SUM($N$33:N126))/$D$5)),1)),IF(A127&gt;=$D$14,IF(AND(D126&gt;0,F126&gt;0),INT(K126*D126/F126),0),1000000000),MIN(IF($D$11&gt;G126,INT(($D$11-G126)/$D$5),0)-D126,MAX(B127,INT(($D$10+SUM($N$33:N126))/$D$5)-D126))))</f>
        <v/>
      </c>
      <c r="D127" s="8">
        <f>D126+C127</f>
        <v/>
      </c>
      <c r="E127" s="8">
        <f>$D$5</f>
        <v/>
      </c>
      <c r="F127" s="8">
        <f>IF(G126&gt;=$D$11,0,MIN(D127*E127,$D$11-G126))</f>
        <v/>
      </c>
      <c r="G127" s="8">
        <f>G126+F127</f>
        <v/>
      </c>
      <c r="H127" s="10">
        <f>H126+$D$6*F127</f>
        <v/>
      </c>
      <c r="I127" s="10">
        <f>$D$7*F127+Q127</f>
        <v/>
      </c>
      <c r="J127" s="10">
        <f>J126+$D$8*F127+K127-P127</f>
        <v/>
      </c>
      <c r="K127" s="10">
        <f>($D$9/12)*J126</f>
        <v/>
      </c>
      <c r="L127" s="9">
        <f>IF(G127=0,0,J127/(G127*$D$12))</f>
        <v/>
      </c>
      <c r="M127" s="13">
        <f>I127/G127</f>
        <v/>
      </c>
      <c r="N127" s="8">
        <f>INDEX($G$6:$G$30,MIN(INT((A127-1)/12)+1,25))</f>
        <v/>
      </c>
      <c r="O127" s="126">
        <f>G127*$D$12</f>
        <v/>
      </c>
      <c r="P127">
        <f>IF(F127=0,0,MAX(0,0.01*G127-$D$7*F127))</f>
        <v/>
      </c>
    </row>
    <row r="128">
      <c r="A128" s="7" t="n">
        <v>96</v>
      </c>
      <c r="B128" s="98">
        <f>CEILING(0.0101*G127/$D$5,1)</f>
        <v/>
      </c>
      <c r="C128" s="8">
        <f>MAX(0,MIN(MAX(0,FLOOR($D$15*D127*MAX(0,1-D127/(($D$10+SUM($N$33:N127))/$D$5)),1)),IF(A128&gt;=$D$14,IF(AND(D127&gt;0,F127&gt;0),INT(K127*D127/F127),0),1000000000),MIN(IF($D$11&gt;G127,INT(($D$11-G127)/$D$5),0)-D127,MAX(B128,INT(($D$10+SUM($N$33:N127))/$D$5)-D127))))</f>
        <v/>
      </c>
      <c r="D128" s="8">
        <f>D127+C128</f>
        <v/>
      </c>
      <c r="E128" s="8">
        <f>$D$5</f>
        <v/>
      </c>
      <c r="F128" s="8">
        <f>IF(G127&gt;=$D$11,0,MIN(D128*E128,$D$11-G127))</f>
        <v/>
      </c>
      <c r="G128" s="8">
        <f>G127+F128</f>
        <v/>
      </c>
      <c r="H128" s="10">
        <f>H127+$D$6*F128</f>
        <v/>
      </c>
      <c r="I128" s="10">
        <f>$D$7*F128+Q128</f>
        <v/>
      </c>
      <c r="J128" s="10">
        <f>J127+$D$8*F128+K128-P128</f>
        <v/>
      </c>
      <c r="K128" s="10">
        <f>($D$9/12)*J127</f>
        <v/>
      </c>
      <c r="L128" s="9">
        <f>IF(G128=0,0,J128/(G128*$D$12))</f>
        <v/>
      </c>
      <c r="M128" s="13">
        <f>I128/G128</f>
        <v/>
      </c>
      <c r="N128" s="8">
        <f>INDEX($G$6:$G$30,MIN(INT((A128-1)/12)+1,25))</f>
        <v/>
      </c>
      <c r="O128" s="126">
        <f>G128*$D$12</f>
        <v/>
      </c>
      <c r="P128">
        <f>IF(F128=0,0,MAX(0,0.01*G128-$D$7*F128))</f>
        <v/>
      </c>
    </row>
    <row r="129">
      <c r="A129" s="7" t="n">
        <v>97</v>
      </c>
      <c r="B129" s="98">
        <f>CEILING(0.0101*G128/$D$5,1)</f>
        <v/>
      </c>
      <c r="C129" s="8">
        <f>MAX(0,MIN(MAX(0,FLOOR($D$15*D128*MAX(0,1-D128/(($D$10+SUM($N$33:N128))/$D$5)),1)),IF(A129&gt;=$D$14,IF(AND(D128&gt;0,F128&gt;0),INT(K128*D128/F128),0),1000000000),MIN(IF($D$11&gt;G128,INT(($D$11-G128)/$D$5),0)-D128,MAX(B129,INT(($D$10+SUM($N$33:N128))/$D$5)-D128))))</f>
        <v/>
      </c>
      <c r="D129" s="8">
        <f>D128+C129</f>
        <v/>
      </c>
      <c r="E129" s="8">
        <f>$D$5</f>
        <v/>
      </c>
      <c r="F129" s="8">
        <f>IF(G128&gt;=$D$11,0,MIN(D129*E129,$D$11-G128))</f>
        <v/>
      </c>
      <c r="G129" s="8">
        <f>G128+F129</f>
        <v/>
      </c>
      <c r="H129" s="10">
        <f>H128+$D$6*F129</f>
        <v/>
      </c>
      <c r="I129" s="10">
        <f>$D$7*F129+Q129</f>
        <v/>
      </c>
      <c r="J129" s="10">
        <f>J128+$D$8*F129+K129-P129</f>
        <v/>
      </c>
      <c r="K129" s="10">
        <f>($D$9/12)*J128</f>
        <v/>
      </c>
      <c r="L129" s="9">
        <f>IF(G129=0,0,J129/(G129*$D$12))</f>
        <v/>
      </c>
      <c r="M129" s="13">
        <f>I129/G129</f>
        <v/>
      </c>
      <c r="N129" s="8">
        <f>INDEX($G$6:$G$30,MIN(INT((A129-1)/12)+1,25))</f>
        <v/>
      </c>
      <c r="O129" s="126">
        <f>G129*$D$12</f>
        <v/>
      </c>
      <c r="P129">
        <f>IF(F129=0,0,MAX(0,0.01*G129-$D$7*F129))</f>
        <v/>
      </c>
    </row>
    <row r="130">
      <c r="A130" s="7" t="n">
        <v>98</v>
      </c>
      <c r="B130" s="98">
        <f>CEILING(0.0101*G129/$D$5,1)</f>
        <v/>
      </c>
      <c r="C130" s="8">
        <f>MAX(0,MIN(MAX(0,FLOOR($D$15*D129*MAX(0,1-D129/(($D$10+SUM($N$33:N129))/$D$5)),1)),IF(A130&gt;=$D$14,IF(AND(D129&gt;0,F129&gt;0),INT(K129*D129/F129),0),1000000000),MIN(IF($D$11&gt;G129,INT(($D$11-G129)/$D$5),0)-D129,MAX(B130,INT(($D$10+SUM($N$33:N129))/$D$5)-D129))))</f>
        <v/>
      </c>
      <c r="D130" s="8">
        <f>D129+C130</f>
        <v/>
      </c>
      <c r="E130" s="8">
        <f>$D$5</f>
        <v/>
      </c>
      <c r="F130" s="8">
        <f>IF(G129&gt;=$D$11,0,MIN(D130*E130,$D$11-G129))</f>
        <v/>
      </c>
      <c r="G130" s="8">
        <f>G129+F130</f>
        <v/>
      </c>
      <c r="H130" s="10">
        <f>H129+$D$6*F130</f>
        <v/>
      </c>
      <c r="I130" s="10">
        <f>$D$7*F130+Q130</f>
        <v/>
      </c>
      <c r="J130" s="10">
        <f>J129+$D$8*F130+K130-P130</f>
        <v/>
      </c>
      <c r="K130" s="10">
        <f>($D$9/12)*J129</f>
        <v/>
      </c>
      <c r="L130" s="9">
        <f>IF(G130=0,0,J130/(G130*$D$12))</f>
        <v/>
      </c>
      <c r="M130" s="13">
        <f>I130/G130</f>
        <v/>
      </c>
      <c r="N130" s="8">
        <f>INDEX($G$6:$G$30,MIN(INT((A130-1)/12)+1,25))</f>
        <v/>
      </c>
      <c r="O130" s="126">
        <f>G130*$D$12</f>
        <v/>
      </c>
      <c r="P130">
        <f>IF(F130=0,0,MAX(0,0.01*G130-$D$7*F130))</f>
        <v/>
      </c>
      <c r="Q130" s="126" t="inlineStr"/>
      <c r="R130" s="127" t="n"/>
    </row>
    <row r="131">
      <c r="A131" s="7" t="n">
        <v>99</v>
      </c>
      <c r="B131" s="98">
        <f>CEILING(0.0101*G130/$D$5,1)</f>
        <v/>
      </c>
      <c r="C131" s="8">
        <f>MAX(0,MIN(MAX(0,FLOOR($D$15*D130*MAX(0,1-D130/(($D$10+SUM($N$33:N130))/$D$5)),1)),IF(A131&gt;=$D$14,IF(AND(D130&gt;0,F130&gt;0),INT(K130*D130/F130),0),1000000000),MIN(IF($D$11&gt;G130,INT(($D$11-G130)/$D$5),0)-D130,MAX(B131,INT(($D$10+SUM($N$33:N130))/$D$5)-D130))))</f>
        <v/>
      </c>
      <c r="D131" s="8">
        <f>D130+C131</f>
        <v/>
      </c>
      <c r="E131" s="8">
        <f>$D$5</f>
        <v/>
      </c>
      <c r="F131" s="8">
        <f>IF(G130&gt;=$D$11,0,MIN(D131*E131,$D$11-G130))</f>
        <v/>
      </c>
      <c r="G131" s="8">
        <f>G130+F131</f>
        <v/>
      </c>
      <c r="H131" s="10">
        <f>H130+$D$6*F131</f>
        <v/>
      </c>
      <c r="I131" s="10">
        <f>$D$7*F131+Q131</f>
        <v/>
      </c>
      <c r="J131" s="10">
        <f>J130+$D$8*F131+K131-P131</f>
        <v/>
      </c>
      <c r="K131" s="10">
        <f>($D$9/12)*J130</f>
        <v/>
      </c>
      <c r="L131" s="9">
        <f>IF(G131=0,0,J131/(G131*$D$12))</f>
        <v/>
      </c>
      <c r="M131" s="13">
        <f>I131/G131</f>
        <v/>
      </c>
      <c r="N131" s="8">
        <f>INDEX($G$6:$G$30,MIN(INT((A131-1)/12)+1,25))</f>
        <v/>
      </c>
      <c r="O131" s="126">
        <f>G131*$D$12</f>
        <v/>
      </c>
      <c r="P131">
        <f>IF(F131=0,0,MAX(0,0.01*G131-$D$7*F131))</f>
        <v/>
      </c>
    </row>
    <row r="132">
      <c r="A132" s="7" t="n">
        <v>100</v>
      </c>
      <c r="B132" s="98">
        <f>CEILING(0.0101*G131/$D$5,1)</f>
        <v/>
      </c>
      <c r="C132" s="8">
        <f>MAX(0,MIN(MAX(0,FLOOR($D$15*D131*MAX(0,1-D131/(($D$10+SUM($N$33:N131))/$D$5)),1)),IF(A132&gt;=$D$14,IF(AND(D131&gt;0,F131&gt;0),INT(K131*D131/F131),0),1000000000),MIN(IF($D$11&gt;G131,INT(($D$11-G131)/$D$5),0)-D131,MAX(B132,INT(($D$10+SUM($N$33:N131))/$D$5)-D131))))</f>
        <v/>
      </c>
      <c r="D132" s="8">
        <f>D131+C132</f>
        <v/>
      </c>
      <c r="E132" s="8">
        <f>$D$5</f>
        <v/>
      </c>
      <c r="F132" s="8">
        <f>IF(G131&gt;=$D$11,0,MIN(D132*E132,$D$11-G131))</f>
        <v/>
      </c>
      <c r="G132" s="8">
        <f>G131+F132</f>
        <v/>
      </c>
      <c r="H132" s="10">
        <f>H131+$D$6*F132</f>
        <v/>
      </c>
      <c r="I132" s="10">
        <f>$D$7*F132+Q132</f>
        <v/>
      </c>
      <c r="J132" s="10">
        <f>J131+$D$8*F132+K132-P132</f>
        <v/>
      </c>
      <c r="K132" s="10">
        <f>($D$9/12)*J131</f>
        <v/>
      </c>
      <c r="L132" s="9">
        <f>IF(G132=0,0,J132/(G132*$D$12))</f>
        <v/>
      </c>
      <c r="M132" s="13">
        <f>I132/G132</f>
        <v/>
      </c>
      <c r="N132" s="8">
        <f>INDEX($G$6:$G$30,MIN(INT((A132-1)/12)+1,25))</f>
        <v/>
      </c>
      <c r="O132" s="126">
        <f>G132*$D$12</f>
        <v/>
      </c>
      <c r="P132">
        <f>IF(F132=0,0,MAX(0,0.01*G132-$D$7*F132))</f>
        <v/>
      </c>
    </row>
    <row r="133">
      <c r="A133" s="7" t="n">
        <v>101</v>
      </c>
      <c r="B133" s="98">
        <f>CEILING(0.0101*G132/$D$5,1)</f>
        <v/>
      </c>
      <c r="C133" s="8">
        <f>MAX(0,MIN(MAX(0,FLOOR($D$15*D132*MAX(0,1-D132/(($D$10+SUM($N$33:N132))/$D$5)),1)),IF(A133&gt;=$D$14,IF(AND(D132&gt;0,F132&gt;0),INT(K132*D132/F132),0),1000000000),MIN(IF($D$11&gt;G132,INT(($D$11-G132)/$D$5),0)-D132,MAX(B133,INT(($D$10+SUM($N$33:N132))/$D$5)-D132))))</f>
        <v/>
      </c>
      <c r="D133" s="8">
        <f>D132+C133</f>
        <v/>
      </c>
      <c r="E133" s="8">
        <f>$D$5</f>
        <v/>
      </c>
      <c r="F133" s="8">
        <f>IF(G132&gt;=$D$11,0,MIN(D133*E133,$D$11-G132))</f>
        <v/>
      </c>
      <c r="G133" s="8">
        <f>G132+F133</f>
        <v/>
      </c>
      <c r="H133" s="10">
        <f>H132+$D$6*F133</f>
        <v/>
      </c>
      <c r="I133" s="10">
        <f>$D$7*F133+Q133</f>
        <v/>
      </c>
      <c r="J133" s="10">
        <f>J132+$D$8*F133+K133-P133</f>
        <v/>
      </c>
      <c r="K133" s="10">
        <f>($D$9/12)*J132</f>
        <v/>
      </c>
      <c r="L133" s="9">
        <f>IF(G133=0,0,J133/(G133*$D$12))</f>
        <v/>
      </c>
      <c r="M133" s="13">
        <f>I133/G133</f>
        <v/>
      </c>
      <c r="N133" s="8">
        <f>INDEX($G$6:$G$30,MIN(INT((A133-1)/12)+1,25))</f>
        <v/>
      </c>
      <c r="O133" s="126">
        <f>G133*$D$12</f>
        <v/>
      </c>
      <c r="P133">
        <f>IF(F133=0,0,MAX(0,0.01*G133-$D$7*F133))</f>
        <v/>
      </c>
    </row>
    <row r="134">
      <c r="A134" s="7" t="n">
        <v>102</v>
      </c>
      <c r="B134" s="98">
        <f>CEILING(0.0101*G133/$D$5,1)</f>
        <v/>
      </c>
      <c r="C134" s="8">
        <f>MAX(0,MIN(MAX(0,FLOOR($D$15*D133*MAX(0,1-D133/(($D$10+SUM($N$33:N133))/$D$5)),1)),IF(A134&gt;=$D$14,IF(AND(D133&gt;0,F133&gt;0),INT(K133*D133/F133),0),1000000000),MIN(IF($D$11&gt;G133,INT(($D$11-G133)/$D$5),0)-D133,MAX(B134,INT(($D$10+SUM($N$33:N133))/$D$5)-D133))))</f>
        <v/>
      </c>
      <c r="D134" s="8">
        <f>D133+C134</f>
        <v/>
      </c>
      <c r="E134" s="8">
        <f>$D$5</f>
        <v/>
      </c>
      <c r="F134" s="8">
        <f>IF(G133&gt;=$D$11,0,MIN(D134*E134,$D$11-G133))</f>
        <v/>
      </c>
      <c r="G134" s="8">
        <f>G133+F134</f>
        <v/>
      </c>
      <c r="H134" s="10">
        <f>H133+$D$6*F134</f>
        <v/>
      </c>
      <c r="I134" s="10">
        <f>$D$7*F134+Q134</f>
        <v/>
      </c>
      <c r="J134" s="10">
        <f>J133+$D$8*F134+K134-P134</f>
        <v/>
      </c>
      <c r="K134" s="10">
        <f>($D$9/12)*J133</f>
        <v/>
      </c>
      <c r="L134" s="9">
        <f>IF(G134=0,0,J134/(G134*$D$12))</f>
        <v/>
      </c>
      <c r="M134" s="13">
        <f>I134/G134</f>
        <v/>
      </c>
      <c r="N134" s="8">
        <f>INDEX($G$6:$G$30,MIN(INT((A134-1)/12)+1,25))</f>
        <v/>
      </c>
      <c r="O134" s="126">
        <f>G134*$D$12</f>
        <v/>
      </c>
      <c r="P134">
        <f>IF(F134=0,0,MAX(0,0.01*G134-$D$7*F134))</f>
        <v/>
      </c>
    </row>
    <row r="135">
      <c r="A135" s="7" t="n">
        <v>103</v>
      </c>
      <c r="B135" s="98">
        <f>CEILING(0.0101*G134/$D$5,1)</f>
        <v/>
      </c>
      <c r="C135" s="8">
        <f>MAX(0,MIN(MAX(0,FLOOR($D$15*D134*MAX(0,1-D134/(($D$10+SUM($N$33:N134))/$D$5)),1)),IF(A135&gt;=$D$14,IF(AND(D134&gt;0,F134&gt;0),INT(K134*D134/F134),0),1000000000),MIN(IF($D$11&gt;G134,INT(($D$11-G134)/$D$5),0)-D134,MAX(B135,INT(($D$10+SUM($N$33:N134))/$D$5)-D134))))</f>
        <v/>
      </c>
      <c r="D135" s="8">
        <f>D134+C135</f>
        <v/>
      </c>
      <c r="E135" s="8">
        <f>$D$5</f>
        <v/>
      </c>
      <c r="F135" s="8">
        <f>IF(G134&gt;=$D$11,0,MIN(D135*E135,$D$11-G134))</f>
        <v/>
      </c>
      <c r="G135" s="8">
        <f>G134+F135</f>
        <v/>
      </c>
      <c r="H135" s="10">
        <f>H134+$D$6*F135</f>
        <v/>
      </c>
      <c r="I135" s="10">
        <f>$D$7*F135+Q135</f>
        <v/>
      </c>
      <c r="J135" s="10">
        <f>J134+$D$8*F135+K135-P135</f>
        <v/>
      </c>
      <c r="K135" s="10">
        <f>($D$9/12)*J134</f>
        <v/>
      </c>
      <c r="L135" s="9">
        <f>IF(G135=0,0,J135/(G135*$D$12))</f>
        <v/>
      </c>
      <c r="M135" s="13">
        <f>I135/G135</f>
        <v/>
      </c>
      <c r="N135" s="8">
        <f>INDEX($G$6:$G$30,MIN(INT((A135-1)/12)+1,25))</f>
        <v/>
      </c>
      <c r="O135" s="126">
        <f>G135*$D$12</f>
        <v/>
      </c>
      <c r="P135">
        <f>IF(F135=0,0,MAX(0,0.01*G135-$D$7*F135))</f>
        <v/>
      </c>
    </row>
    <row r="136">
      <c r="A136" s="7" t="n">
        <v>104</v>
      </c>
      <c r="B136" s="98">
        <f>CEILING(0.0101*G135/$D$5,1)</f>
        <v/>
      </c>
      <c r="C136" s="8">
        <f>MAX(0,MIN(MAX(0,FLOOR($D$15*D135*MAX(0,1-D135/(($D$10+SUM($N$33:N135))/$D$5)),1)),IF(A136&gt;=$D$14,IF(AND(D135&gt;0,F135&gt;0),INT(K135*D135/F135),0),1000000000),MIN(IF($D$11&gt;G135,INT(($D$11-G135)/$D$5),0)-D135,MAX(B136,INT(($D$10+SUM($N$33:N135))/$D$5)-D135))))</f>
        <v/>
      </c>
      <c r="D136" s="8">
        <f>D135+C136</f>
        <v/>
      </c>
      <c r="E136" s="8">
        <f>$D$5</f>
        <v/>
      </c>
      <c r="F136" s="8">
        <f>IF(G135&gt;=$D$11,0,MIN(D136*E136,$D$11-G135))</f>
        <v/>
      </c>
      <c r="G136" s="8">
        <f>G135+F136</f>
        <v/>
      </c>
      <c r="H136" s="10">
        <f>H135+$D$6*F136</f>
        <v/>
      </c>
      <c r="I136" s="10">
        <f>$D$7*F136+Q136</f>
        <v/>
      </c>
      <c r="J136" s="10">
        <f>J135+$D$8*F136+K136-P136</f>
        <v/>
      </c>
      <c r="K136" s="10">
        <f>($D$9/12)*J135</f>
        <v/>
      </c>
      <c r="L136" s="9">
        <f>IF(G136=0,0,J136/(G136*$D$12))</f>
        <v/>
      </c>
      <c r="M136" s="13">
        <f>I136/G136</f>
        <v/>
      </c>
      <c r="N136" s="8">
        <f>INDEX($G$6:$G$30,MIN(INT((A136-1)/12)+1,25))</f>
        <v/>
      </c>
      <c r="O136" s="126">
        <f>G136*$D$12</f>
        <v/>
      </c>
      <c r="P136">
        <f>IF(F136=0,0,MAX(0,0.01*G136-$D$7*F136))</f>
        <v/>
      </c>
    </row>
    <row r="137">
      <c r="A137" s="7" t="n">
        <v>105</v>
      </c>
      <c r="B137" s="98">
        <f>CEILING(0.0101*G136/$D$5,1)</f>
        <v/>
      </c>
      <c r="C137" s="8">
        <f>MAX(0,MIN(MAX(0,FLOOR($D$15*D136*MAX(0,1-D136/(($D$10+SUM($N$33:N136))/$D$5)),1)),IF(A137&gt;=$D$14,IF(AND(D136&gt;0,F136&gt;0),INT(K136*D136/F136),0),1000000000),MIN(IF($D$11&gt;G136,INT(($D$11-G136)/$D$5),0)-D136,MAX(B137,INT(($D$10+SUM($N$33:N136))/$D$5)-D136))))</f>
        <v/>
      </c>
      <c r="D137" s="8">
        <f>D136+C137</f>
        <v/>
      </c>
      <c r="E137" s="8">
        <f>$D$5</f>
        <v/>
      </c>
      <c r="F137" s="8">
        <f>IF(G136&gt;=$D$11,0,MIN(D137*E137,$D$11-G136))</f>
        <v/>
      </c>
      <c r="G137" s="8">
        <f>G136+F137</f>
        <v/>
      </c>
      <c r="H137" s="10">
        <f>H136+$D$6*F137</f>
        <v/>
      </c>
      <c r="I137" s="10">
        <f>$D$7*F137+Q137</f>
        <v/>
      </c>
      <c r="J137" s="10">
        <f>J136+$D$8*F137+K137-P137</f>
        <v/>
      </c>
      <c r="K137" s="10">
        <f>($D$9/12)*J136</f>
        <v/>
      </c>
      <c r="L137" s="9">
        <f>IF(G137=0,0,J137/(G137*$D$12))</f>
        <v/>
      </c>
      <c r="M137" s="13">
        <f>I137/G137</f>
        <v/>
      </c>
      <c r="N137" s="8">
        <f>INDEX($G$6:$G$30,MIN(INT((A137-1)/12)+1,25))</f>
        <v/>
      </c>
      <c r="O137" s="126">
        <f>G137*$D$12</f>
        <v/>
      </c>
      <c r="P137">
        <f>IF(F137=0,0,MAX(0,0.01*G137-$D$7*F137))</f>
        <v/>
      </c>
    </row>
    <row r="138">
      <c r="A138" s="7" t="n">
        <v>106</v>
      </c>
      <c r="B138" s="98">
        <f>CEILING(0.0101*G137/$D$5,1)</f>
        <v/>
      </c>
      <c r="C138" s="8">
        <f>MAX(0,MIN(MAX(0,FLOOR($D$15*D137*MAX(0,1-D137/(($D$10+SUM($N$33:N137))/$D$5)),1)),IF(A138&gt;=$D$14,IF(AND(D137&gt;0,F137&gt;0),INT(K137*D137/F137),0),1000000000),MIN(IF($D$11&gt;G137,INT(($D$11-G137)/$D$5),0)-D137,MAX(B138,INT(($D$10+SUM($N$33:N137))/$D$5)-D137))))</f>
        <v/>
      </c>
      <c r="D138" s="8">
        <f>D137+C138</f>
        <v/>
      </c>
      <c r="E138" s="8">
        <f>$D$5</f>
        <v/>
      </c>
      <c r="F138" s="8">
        <f>IF(G137&gt;=$D$11,0,MIN(D138*E138,$D$11-G137))</f>
        <v/>
      </c>
      <c r="G138" s="8">
        <f>G137+F138</f>
        <v/>
      </c>
      <c r="H138" s="10">
        <f>H137+$D$6*F138</f>
        <v/>
      </c>
      <c r="I138" s="10">
        <f>$D$7*F138+Q138</f>
        <v/>
      </c>
      <c r="J138" s="10">
        <f>J137+$D$8*F138+K138-P138</f>
        <v/>
      </c>
      <c r="K138" s="10">
        <f>($D$9/12)*J137</f>
        <v/>
      </c>
      <c r="L138" s="9">
        <f>IF(G138=0,0,J138/(G138*$D$12))</f>
        <v/>
      </c>
      <c r="M138" s="13">
        <f>I138/G138</f>
        <v/>
      </c>
      <c r="N138" s="8">
        <f>INDEX($G$6:$G$30,MIN(INT((A138-1)/12)+1,25))</f>
        <v/>
      </c>
      <c r="O138" s="126">
        <f>G138*$D$12</f>
        <v/>
      </c>
      <c r="P138">
        <f>IF(F138=0,0,MAX(0,0.01*G138-$D$7*F138))</f>
        <v/>
      </c>
    </row>
    <row r="139">
      <c r="A139" s="7" t="n">
        <v>107</v>
      </c>
      <c r="B139" s="98">
        <f>CEILING(0.0101*G138/$D$5,1)</f>
        <v/>
      </c>
      <c r="C139" s="8">
        <f>MAX(0,MIN(MAX(0,FLOOR($D$15*D138*MAX(0,1-D138/(($D$10+SUM($N$33:N138))/$D$5)),1)),IF(A139&gt;=$D$14,IF(AND(D138&gt;0,F138&gt;0),INT(K138*D138/F138),0),1000000000),MIN(IF($D$11&gt;G138,INT(($D$11-G138)/$D$5),0)-D138,MAX(B139,INT(($D$10+SUM($N$33:N138))/$D$5)-D138))))</f>
        <v/>
      </c>
      <c r="D139" s="8">
        <f>D138+C139</f>
        <v/>
      </c>
      <c r="E139" s="8">
        <f>$D$5</f>
        <v/>
      </c>
      <c r="F139" s="8">
        <f>IF(G138&gt;=$D$11,0,MIN(D139*E139,$D$11-G138))</f>
        <v/>
      </c>
      <c r="G139" s="8">
        <f>G138+F139</f>
        <v/>
      </c>
      <c r="H139" s="10">
        <f>H138+$D$6*F139</f>
        <v/>
      </c>
      <c r="I139" s="10">
        <f>$D$7*F139+Q139</f>
        <v/>
      </c>
      <c r="J139" s="10">
        <f>J138+$D$8*F139+K139-P139</f>
        <v/>
      </c>
      <c r="K139" s="10">
        <f>($D$9/12)*J138</f>
        <v/>
      </c>
      <c r="L139" s="9">
        <f>IF(G139=0,0,J139/(G139*$D$12))</f>
        <v/>
      </c>
      <c r="M139" s="13">
        <f>I139/G139</f>
        <v/>
      </c>
      <c r="N139" s="8">
        <f>INDEX($G$6:$G$30,MIN(INT((A139-1)/12)+1,25))</f>
        <v/>
      </c>
      <c r="O139" s="126">
        <f>G139*$D$12</f>
        <v/>
      </c>
      <c r="P139">
        <f>IF(F139=0,0,MAX(0,0.01*G139-$D$7*F139))</f>
        <v/>
      </c>
    </row>
    <row r="140">
      <c r="A140" s="7" t="n">
        <v>108</v>
      </c>
      <c r="B140" s="98">
        <f>CEILING(0.0101*G139/$D$5,1)</f>
        <v/>
      </c>
      <c r="C140" s="8">
        <f>MAX(0,MIN(MAX(0,FLOOR($D$15*D139*MAX(0,1-D139/(($D$10+SUM($N$33:N139))/$D$5)),1)),IF(A140&gt;=$D$14,IF(AND(D139&gt;0,F139&gt;0),INT(K139*D139/F139),0),1000000000),MIN(IF($D$11&gt;G139,INT(($D$11-G139)/$D$5),0)-D139,MAX(B140,INT(($D$10+SUM($N$33:N139))/$D$5)-D139))))</f>
        <v/>
      </c>
      <c r="D140" s="8">
        <f>D139+C140</f>
        <v/>
      </c>
      <c r="E140" s="8">
        <f>$D$5</f>
        <v/>
      </c>
      <c r="F140" s="8">
        <f>IF(G139&gt;=$D$11,0,MIN(D140*E140,$D$11-G139))</f>
        <v/>
      </c>
      <c r="G140" s="8">
        <f>G139+F140</f>
        <v/>
      </c>
      <c r="H140" s="10">
        <f>H139+$D$6*F140</f>
        <v/>
      </c>
      <c r="I140" s="10">
        <f>$D$7*F140+Q140</f>
        <v/>
      </c>
      <c r="J140" s="10">
        <f>J139+$D$8*F140+K140-P140</f>
        <v/>
      </c>
      <c r="K140" s="10">
        <f>($D$9/12)*J139</f>
        <v/>
      </c>
      <c r="L140" s="9">
        <f>IF(G140=0,0,J140/(G140*$D$12))</f>
        <v/>
      </c>
      <c r="M140" s="13">
        <f>I140/G140</f>
        <v/>
      </c>
      <c r="N140" s="8">
        <f>INDEX($G$6:$G$30,MIN(INT((A140-1)/12)+1,25))</f>
        <v/>
      </c>
      <c r="O140" s="126">
        <f>G140*$D$12</f>
        <v/>
      </c>
      <c r="P140">
        <f>IF(F140=0,0,MAX(0,0.01*G140-$D$7*F140))</f>
        <v/>
      </c>
    </row>
    <row r="141">
      <c r="A141" s="7" t="n">
        <v>109</v>
      </c>
      <c r="B141" s="98">
        <f>CEILING(0.0101*G140/$D$5,1)</f>
        <v/>
      </c>
      <c r="C141" s="8">
        <f>MAX(0,MIN(MAX(0,FLOOR($D$15*D140*MAX(0,1-D140/(($D$10+SUM($N$33:N140))/$D$5)),1)),IF(A141&gt;=$D$14,IF(AND(D140&gt;0,F140&gt;0),INT(K140*D140/F140),0),1000000000),MIN(IF($D$11&gt;G140,INT(($D$11-G140)/$D$5),0)-D140,MAX(B141,INT(($D$10+SUM($N$33:N140))/$D$5)-D140))))</f>
        <v/>
      </c>
      <c r="D141" s="8">
        <f>D140+C141</f>
        <v/>
      </c>
      <c r="E141" s="8">
        <f>$D$5</f>
        <v/>
      </c>
      <c r="F141" s="8">
        <f>IF(G140&gt;=$D$11,0,MIN(D141*E141,$D$11-G140))</f>
        <v/>
      </c>
      <c r="G141" s="8">
        <f>G140+F141</f>
        <v/>
      </c>
      <c r="H141" s="10">
        <f>H140+$D$6*F141</f>
        <v/>
      </c>
      <c r="I141" s="10">
        <f>$D$7*F141+Q141</f>
        <v/>
      </c>
      <c r="J141" s="10">
        <f>J140+$D$8*F141+K141-P141</f>
        <v/>
      </c>
      <c r="K141" s="10">
        <f>($D$9/12)*J140</f>
        <v/>
      </c>
      <c r="L141" s="9">
        <f>IF(G141=0,0,J141/(G141*$D$12))</f>
        <v/>
      </c>
      <c r="M141" s="13">
        <f>I141/G141</f>
        <v/>
      </c>
      <c r="N141" s="8">
        <f>INDEX($G$6:$G$30,MIN(INT((A141-1)/12)+1,25))</f>
        <v/>
      </c>
      <c r="O141" s="126">
        <f>G141*$D$12</f>
        <v/>
      </c>
      <c r="P141">
        <f>IF(F141=0,0,MAX(0,0.01*G141-$D$7*F141))</f>
        <v/>
      </c>
    </row>
    <row r="142">
      <c r="A142" s="7" t="n">
        <v>110</v>
      </c>
      <c r="B142" s="98">
        <f>CEILING(0.0101*G141/$D$5,1)</f>
        <v/>
      </c>
      <c r="C142" s="8">
        <f>MAX(0,MIN(MAX(0,FLOOR($D$15*D141*MAX(0,1-D141/(($D$10+SUM($N$33:N141))/$D$5)),1)),IF(A142&gt;=$D$14,IF(AND(D141&gt;0,F141&gt;0),INT(K141*D141/F141),0),1000000000),MIN(IF($D$11&gt;G141,INT(($D$11-G141)/$D$5),0)-D141,MAX(B142,INT(($D$10+SUM($N$33:N141))/$D$5)-D141))))</f>
        <v/>
      </c>
      <c r="D142" s="8">
        <f>D141+C142</f>
        <v/>
      </c>
      <c r="E142" s="8">
        <f>$D$5</f>
        <v/>
      </c>
      <c r="F142" s="8">
        <f>IF(G141&gt;=$D$11,0,MIN(D142*E142,$D$11-G141))</f>
        <v/>
      </c>
      <c r="G142" s="8">
        <f>G141+F142</f>
        <v/>
      </c>
      <c r="H142" s="10">
        <f>H141+$D$6*F142</f>
        <v/>
      </c>
      <c r="I142" s="10">
        <f>$D$7*F142+Q142</f>
        <v/>
      </c>
      <c r="J142" s="10">
        <f>J141+$D$8*F142+K142-P142</f>
        <v/>
      </c>
      <c r="K142" s="10">
        <f>($D$9/12)*J141</f>
        <v/>
      </c>
      <c r="L142" s="9">
        <f>IF(G142=0,0,J142/(G142*$D$12))</f>
        <v/>
      </c>
      <c r="M142" s="13">
        <f>I142/G142</f>
        <v/>
      </c>
      <c r="N142" s="8">
        <f>INDEX($G$6:$G$30,MIN(INT((A142-1)/12)+1,25))</f>
        <v/>
      </c>
      <c r="O142" s="126">
        <f>G142*$D$12</f>
        <v/>
      </c>
      <c r="P142">
        <f>IF(F142=0,0,MAX(0,0.01*G142-$D$7*F142))</f>
        <v/>
      </c>
    </row>
    <row r="143">
      <c r="A143" s="7" t="n">
        <v>111</v>
      </c>
      <c r="B143" s="98">
        <f>CEILING(0.0101*G142/$D$5,1)</f>
        <v/>
      </c>
      <c r="C143" s="8">
        <f>MAX(0,MIN(MAX(0,FLOOR($D$15*D142*MAX(0,1-D142/(($D$10+SUM($N$33:N142))/$D$5)),1)),IF(A143&gt;=$D$14,IF(AND(D142&gt;0,F142&gt;0),INT(K142*D142/F142),0),1000000000),MIN(IF($D$11&gt;G142,INT(($D$11-G142)/$D$5),0)-D142,MAX(B143,INT(($D$10+SUM($N$33:N142))/$D$5)-D142))))</f>
        <v/>
      </c>
      <c r="D143" s="8">
        <f>D142+C143</f>
        <v/>
      </c>
      <c r="E143" s="8">
        <f>$D$5</f>
        <v/>
      </c>
      <c r="F143" s="8">
        <f>IF(G142&gt;=$D$11,0,MIN(D143*E143,$D$11-G142))</f>
        <v/>
      </c>
      <c r="G143" s="8">
        <f>G142+F143</f>
        <v/>
      </c>
      <c r="H143" s="10">
        <f>H142+$D$6*F143</f>
        <v/>
      </c>
      <c r="I143" s="10">
        <f>$D$7*F143+Q143</f>
        <v/>
      </c>
      <c r="J143" s="10">
        <f>J142+$D$8*F143+K143-P143</f>
        <v/>
      </c>
      <c r="K143" s="10">
        <f>($D$9/12)*J142</f>
        <v/>
      </c>
      <c r="L143" s="9">
        <f>IF(G143=0,0,J143/(G143*$D$12))</f>
        <v/>
      </c>
      <c r="M143" s="13">
        <f>I143/G143</f>
        <v/>
      </c>
      <c r="N143" s="8">
        <f>INDEX($G$6:$G$30,MIN(INT((A143-1)/12)+1,25))</f>
        <v/>
      </c>
      <c r="O143" s="126">
        <f>G143*$D$12</f>
        <v/>
      </c>
      <c r="P143">
        <f>IF(F143=0,0,MAX(0,0.01*G143-$D$7*F143))</f>
        <v/>
      </c>
    </row>
    <row r="144">
      <c r="A144" s="7" t="n">
        <v>112</v>
      </c>
      <c r="B144" s="98">
        <f>CEILING(0.0101*G143/$D$5,1)</f>
        <v/>
      </c>
      <c r="C144" s="8">
        <f>MAX(0,MIN(MAX(0,FLOOR($D$15*D143*MAX(0,1-D143/(($D$10+SUM($N$33:N143))/$D$5)),1)),IF(A144&gt;=$D$14,IF(AND(D143&gt;0,F143&gt;0),INT(K143*D143/F143),0),1000000000),MIN(IF($D$11&gt;G143,INT(($D$11-G143)/$D$5),0)-D143,MAX(B144,INT(($D$10+SUM($N$33:N143))/$D$5)-D143))))</f>
        <v/>
      </c>
      <c r="D144" s="8">
        <f>D143+C144</f>
        <v/>
      </c>
      <c r="E144" s="8">
        <f>$D$5</f>
        <v/>
      </c>
      <c r="F144" s="8">
        <f>IF(G143&gt;=$D$11,0,MIN(D144*E144,$D$11-G143))</f>
        <v/>
      </c>
      <c r="G144" s="8">
        <f>G143+F144</f>
        <v/>
      </c>
      <c r="H144" s="10">
        <f>H143+$D$6*F144</f>
        <v/>
      </c>
      <c r="I144" s="10">
        <f>$D$7*F144+Q144</f>
        <v/>
      </c>
      <c r="J144" s="10">
        <f>J143+$D$8*F144+K144-P144</f>
        <v/>
      </c>
      <c r="K144" s="10">
        <f>($D$9/12)*J143</f>
        <v/>
      </c>
      <c r="L144" s="9">
        <f>IF(G144=0,0,J144/(G144*$D$12))</f>
        <v/>
      </c>
      <c r="M144" s="13">
        <f>I144/G144</f>
        <v/>
      </c>
      <c r="N144" s="8">
        <f>INDEX($G$6:$G$30,MIN(INT((A144-1)/12)+1,25))</f>
        <v/>
      </c>
      <c r="O144" s="126">
        <f>G144*$D$12</f>
        <v/>
      </c>
      <c r="P144">
        <f>IF(F144=0,0,MAX(0,0.01*G144-$D$7*F144))</f>
        <v/>
      </c>
    </row>
    <row r="145">
      <c r="A145" s="7" t="n">
        <v>113</v>
      </c>
      <c r="B145" s="98">
        <f>CEILING(0.0101*G144/$D$5,1)</f>
        <v/>
      </c>
      <c r="C145" s="8">
        <f>MAX(0,MIN(MAX(0,FLOOR($D$15*D144*MAX(0,1-D144/(($D$10+SUM($N$33:N144))/$D$5)),1)),IF(A145&gt;=$D$14,IF(AND(D144&gt;0,F144&gt;0),INT(K144*D144/F144),0),1000000000),MIN(IF($D$11&gt;G144,INT(($D$11-G144)/$D$5),0)-D144,MAX(B145,INT(($D$10+SUM($N$33:N144))/$D$5)-D144))))</f>
        <v/>
      </c>
      <c r="D145" s="8">
        <f>D144+C145</f>
        <v/>
      </c>
      <c r="E145" s="8">
        <f>$D$5</f>
        <v/>
      </c>
      <c r="F145" s="8">
        <f>IF(G144&gt;=$D$11,0,MIN(D145*E145,$D$11-G144))</f>
        <v/>
      </c>
      <c r="G145" s="8">
        <f>G144+F145</f>
        <v/>
      </c>
      <c r="H145" s="10">
        <f>H144+$D$6*F145</f>
        <v/>
      </c>
      <c r="I145" s="10">
        <f>$D$7*F145+Q145</f>
        <v/>
      </c>
      <c r="J145" s="10">
        <f>J144+$D$8*F145+K145-P145</f>
        <v/>
      </c>
      <c r="K145" s="10">
        <f>($D$9/12)*J144</f>
        <v/>
      </c>
      <c r="L145" s="9">
        <f>IF(G145=0,0,J145/(G145*$D$12))</f>
        <v/>
      </c>
      <c r="M145" s="13">
        <f>I145/G145</f>
        <v/>
      </c>
      <c r="N145" s="8">
        <f>INDEX($G$6:$G$30,MIN(INT((A145-1)/12)+1,25))</f>
        <v/>
      </c>
      <c r="O145" s="126">
        <f>G145*$D$12</f>
        <v/>
      </c>
      <c r="P145">
        <f>IF(F145=0,0,MAX(0,0.01*G145-$D$7*F145))</f>
        <v/>
      </c>
    </row>
    <row r="146">
      <c r="A146" s="7" t="n">
        <v>114</v>
      </c>
      <c r="B146" s="98">
        <f>CEILING(0.0101*G145/$D$5,1)</f>
        <v/>
      </c>
      <c r="C146" s="8">
        <f>MAX(0,MIN(MAX(0,FLOOR($D$15*D145*MAX(0,1-D145/(($D$10+SUM($N$33:N145))/$D$5)),1)),IF(A146&gt;=$D$14,IF(AND(D145&gt;0,F145&gt;0),INT(K145*D145/F145),0),1000000000),MIN(IF($D$11&gt;G145,INT(($D$11-G145)/$D$5),0)-D145,MAX(B146,INT(($D$10+SUM($N$33:N145))/$D$5)-D145))))</f>
        <v/>
      </c>
      <c r="D146" s="8">
        <f>D145+C146</f>
        <v/>
      </c>
      <c r="E146" s="8">
        <f>$D$5</f>
        <v/>
      </c>
      <c r="F146" s="8">
        <f>IF(G145&gt;=$D$11,0,MIN(D146*E146,$D$11-G145))</f>
        <v/>
      </c>
      <c r="G146" s="8">
        <f>G145+F146</f>
        <v/>
      </c>
      <c r="H146" s="10">
        <f>H145+$D$6*F146</f>
        <v/>
      </c>
      <c r="I146" s="10">
        <f>$D$7*F146+Q146</f>
        <v/>
      </c>
      <c r="J146" s="10">
        <f>J145+$D$8*F146+K146-P146</f>
        <v/>
      </c>
      <c r="K146" s="10">
        <f>($D$9/12)*J145</f>
        <v/>
      </c>
      <c r="L146" s="9">
        <f>IF(G146=0,0,J146/(G146*$D$12))</f>
        <v/>
      </c>
      <c r="M146" s="13">
        <f>I146/G146</f>
        <v/>
      </c>
      <c r="N146" s="8">
        <f>INDEX($G$6:$G$30,MIN(INT((A146-1)/12)+1,25))</f>
        <v/>
      </c>
      <c r="O146" s="126">
        <f>G146*$D$12</f>
        <v/>
      </c>
      <c r="P146">
        <f>IF(F146=0,0,MAX(0,0.01*G146-$D$7*F146))</f>
        <v/>
      </c>
    </row>
    <row r="147">
      <c r="A147" s="7" t="n">
        <v>115</v>
      </c>
      <c r="B147" s="98">
        <f>CEILING(0.0101*G146/$D$5,1)</f>
        <v/>
      </c>
      <c r="C147" s="8">
        <f>MAX(0,MIN(MAX(0,FLOOR($D$15*D146*MAX(0,1-D146/(($D$10+SUM($N$33:N146))/$D$5)),1)),IF(A147&gt;=$D$14,IF(AND(D146&gt;0,F146&gt;0),INT(K146*D146/F146),0),1000000000),MIN(IF($D$11&gt;G146,INT(($D$11-G146)/$D$5),0)-D146,MAX(B147,INT(($D$10+SUM($N$33:N146))/$D$5)-D146))))</f>
        <v/>
      </c>
      <c r="D147" s="8">
        <f>D146+C147</f>
        <v/>
      </c>
      <c r="E147" s="8">
        <f>$D$5</f>
        <v/>
      </c>
      <c r="F147" s="8">
        <f>IF(G146&gt;=$D$11,0,MIN(D147*E147,$D$11-G146))</f>
        <v/>
      </c>
      <c r="G147" s="8">
        <f>G146+F147</f>
        <v/>
      </c>
      <c r="H147" s="10">
        <f>H146+$D$6*F147</f>
        <v/>
      </c>
      <c r="I147" s="10">
        <f>$D$7*F147+Q147</f>
        <v/>
      </c>
      <c r="J147" s="10">
        <f>J146+$D$8*F147+K147-P147</f>
        <v/>
      </c>
      <c r="K147" s="10">
        <f>($D$9/12)*J146</f>
        <v/>
      </c>
      <c r="L147" s="9">
        <f>IF(G147=0,0,J147/(G147*$D$12))</f>
        <v/>
      </c>
      <c r="M147" s="13">
        <f>I147/G147</f>
        <v/>
      </c>
      <c r="N147" s="8">
        <f>INDEX($G$6:$G$30,MIN(INT((A147-1)/12)+1,25))</f>
        <v/>
      </c>
      <c r="O147" s="126">
        <f>G147*$D$12</f>
        <v/>
      </c>
      <c r="P147">
        <f>IF(F147=0,0,MAX(0,0.01*G147-$D$7*F147))</f>
        <v/>
      </c>
    </row>
    <row r="148">
      <c r="A148" s="7" t="n">
        <v>116</v>
      </c>
      <c r="B148" s="98">
        <f>CEILING(0.0101*G147/$D$5,1)</f>
        <v/>
      </c>
      <c r="C148" s="8">
        <f>MAX(0,MIN(MAX(0,FLOOR($D$15*D147*MAX(0,1-D147/(($D$10+SUM($N$33:N147))/$D$5)),1)),IF(A148&gt;=$D$14,IF(AND(D147&gt;0,F147&gt;0),INT(K147*D147/F147),0),1000000000),MIN(IF($D$11&gt;G147,INT(($D$11-G147)/$D$5),0)-D147,MAX(B148,INT(($D$10+SUM($N$33:N147))/$D$5)-D147))))</f>
        <v/>
      </c>
      <c r="D148" s="8">
        <f>D147+C148</f>
        <v/>
      </c>
      <c r="E148" s="8">
        <f>$D$5</f>
        <v/>
      </c>
      <c r="F148" s="8">
        <f>IF(G147&gt;=$D$11,0,MIN(D148*E148,$D$11-G147))</f>
        <v/>
      </c>
      <c r="G148" s="8">
        <f>G147+F148</f>
        <v/>
      </c>
      <c r="H148" s="10">
        <f>H147+$D$6*F148</f>
        <v/>
      </c>
      <c r="I148" s="10">
        <f>$D$7*F148+Q148</f>
        <v/>
      </c>
      <c r="J148" s="10">
        <f>J147+$D$8*F148+K148-P148</f>
        <v/>
      </c>
      <c r="K148" s="10">
        <f>($D$9/12)*J147</f>
        <v/>
      </c>
      <c r="L148" s="9">
        <f>IF(G148=0,0,J148/(G148*$D$12))</f>
        <v/>
      </c>
      <c r="M148" s="13">
        <f>I148/G148</f>
        <v/>
      </c>
      <c r="N148" s="8">
        <f>INDEX($G$6:$G$30,MIN(INT((A148-1)/12)+1,25))</f>
        <v/>
      </c>
      <c r="O148" s="126">
        <f>G148*$D$12</f>
        <v/>
      </c>
      <c r="P148">
        <f>IF(F148=0,0,MAX(0,0.01*G148-$D$7*F148))</f>
        <v/>
      </c>
    </row>
    <row r="149">
      <c r="A149" s="7" t="n">
        <v>117</v>
      </c>
      <c r="B149" s="98">
        <f>CEILING(0.0101*G148/$D$5,1)</f>
        <v/>
      </c>
      <c r="C149" s="8">
        <f>MAX(0,MIN(MAX(0,FLOOR($D$15*D148*MAX(0,1-D148/(($D$10+SUM($N$33:N148))/$D$5)),1)),IF(A149&gt;=$D$14,IF(AND(D148&gt;0,F148&gt;0),INT(K148*D148/F148),0),1000000000),MIN(IF($D$11&gt;G148,INT(($D$11-G148)/$D$5),0)-D148,MAX(B149,INT(($D$10+SUM($N$33:N148))/$D$5)-D148))))</f>
        <v/>
      </c>
      <c r="D149" s="8">
        <f>D148+C149</f>
        <v/>
      </c>
      <c r="E149" s="8">
        <f>$D$5</f>
        <v/>
      </c>
      <c r="F149" s="8">
        <f>IF(G148&gt;=$D$11,0,MIN(D149*E149,$D$11-G148))</f>
        <v/>
      </c>
      <c r="G149" s="8">
        <f>G148+F149</f>
        <v/>
      </c>
      <c r="H149" s="10">
        <f>H148+$D$6*F149</f>
        <v/>
      </c>
      <c r="I149" s="10">
        <f>$D$7*F149+Q149</f>
        <v/>
      </c>
      <c r="J149" s="10">
        <f>J148+$D$8*F149+K149-P149</f>
        <v/>
      </c>
      <c r="K149" s="10">
        <f>($D$9/12)*J148</f>
        <v/>
      </c>
      <c r="L149" s="9">
        <f>IF(G149=0,0,J149/(G149*$D$12))</f>
        <v/>
      </c>
      <c r="M149" s="13">
        <f>I149/G149</f>
        <v/>
      </c>
      <c r="N149" s="8">
        <f>INDEX($G$6:$G$30,MIN(INT((A149-1)/12)+1,25))</f>
        <v/>
      </c>
      <c r="O149" s="126">
        <f>G149*$D$12</f>
        <v/>
      </c>
      <c r="P149">
        <f>IF(F149=0,0,MAX(0,0.01*G149-$D$7*F149))</f>
        <v/>
      </c>
    </row>
    <row r="150">
      <c r="A150" s="7" t="n">
        <v>118</v>
      </c>
      <c r="B150" s="98">
        <f>CEILING(0.0101*G149/$D$5,1)</f>
        <v/>
      </c>
      <c r="C150" s="8">
        <f>MAX(0,MIN(MAX(0,FLOOR($D$15*D149*MAX(0,1-D149/(($D$10+SUM($N$33:N149))/$D$5)),1)),IF(A150&gt;=$D$14,IF(AND(D149&gt;0,F149&gt;0),INT(K149*D149/F149),0),1000000000),MIN(IF($D$11&gt;G149,INT(($D$11-G149)/$D$5),0)-D149,MAX(B150,INT(($D$10+SUM($N$33:N149))/$D$5)-D149))))</f>
        <v/>
      </c>
      <c r="D150" s="8">
        <f>D149+C150</f>
        <v/>
      </c>
      <c r="E150" s="8">
        <f>$D$5</f>
        <v/>
      </c>
      <c r="F150" s="8">
        <f>IF(G149&gt;=$D$11,0,MIN(D150*E150,$D$11-G149))</f>
        <v/>
      </c>
      <c r="G150" s="8">
        <f>G149+F150</f>
        <v/>
      </c>
      <c r="H150" s="10">
        <f>H149+$D$6*F150</f>
        <v/>
      </c>
      <c r="I150" s="10">
        <f>$D$7*F150+Q150</f>
        <v/>
      </c>
      <c r="J150" s="10">
        <f>J149+$D$8*F150+K150-P150</f>
        <v/>
      </c>
      <c r="K150" s="10">
        <f>($D$9/12)*J149</f>
        <v/>
      </c>
      <c r="L150" s="9">
        <f>IF(G150=0,0,J150/(G150*$D$12))</f>
        <v/>
      </c>
      <c r="M150" s="13">
        <f>I150/G150</f>
        <v/>
      </c>
      <c r="N150" s="8">
        <f>INDEX($G$6:$G$30,MIN(INT((A150-1)/12)+1,25))</f>
        <v/>
      </c>
      <c r="O150" s="126">
        <f>G150*$D$12</f>
        <v/>
      </c>
      <c r="P150">
        <f>IF(F150=0,0,MAX(0,0.01*G150-$D$7*F150))</f>
        <v/>
      </c>
    </row>
    <row r="151">
      <c r="A151" s="7" t="n">
        <v>119</v>
      </c>
      <c r="B151" s="98">
        <f>CEILING(0.0101*G150/$D$5,1)</f>
        <v/>
      </c>
      <c r="C151" s="8">
        <f>MAX(0,MIN(MAX(0,FLOOR($D$15*D150*MAX(0,1-D150/(($D$10+SUM($N$33:N150))/$D$5)),1)),IF(A151&gt;=$D$14,IF(AND(D150&gt;0,F150&gt;0),INT(K150*D150/F150),0),1000000000),MIN(IF($D$11&gt;G150,INT(($D$11-G150)/$D$5),0)-D150,MAX(B151,INT(($D$10+SUM($N$33:N150))/$D$5)-D150))))</f>
        <v/>
      </c>
      <c r="D151" s="8">
        <f>D150+C151</f>
        <v/>
      </c>
      <c r="E151" s="8">
        <f>$D$5</f>
        <v/>
      </c>
      <c r="F151" s="8">
        <f>IF(G150&gt;=$D$11,0,MIN(D151*E151,$D$11-G150))</f>
        <v/>
      </c>
      <c r="G151" s="8">
        <f>G150+F151</f>
        <v/>
      </c>
      <c r="H151" s="10">
        <f>H150+$D$6*F151</f>
        <v/>
      </c>
      <c r="I151" s="10">
        <f>$D$7*F151+Q151</f>
        <v/>
      </c>
      <c r="J151" s="10">
        <f>J150+$D$8*F151+K151-P151</f>
        <v/>
      </c>
      <c r="K151" s="10">
        <f>($D$9/12)*J150</f>
        <v/>
      </c>
      <c r="L151" s="9">
        <f>IF(G151=0,0,J151/(G151*$D$12))</f>
        <v/>
      </c>
      <c r="M151" s="13">
        <f>I151/G151</f>
        <v/>
      </c>
      <c r="N151" s="8">
        <f>INDEX($G$6:$G$30,MIN(INT((A151-1)/12)+1,25))</f>
        <v/>
      </c>
      <c r="O151" s="126">
        <f>G151*$D$12</f>
        <v/>
      </c>
      <c r="P151">
        <f>IF(F151=0,0,MAX(0,0.01*G151-$D$7*F151))</f>
        <v/>
      </c>
    </row>
    <row r="152">
      <c r="A152" s="7" t="n">
        <v>120</v>
      </c>
      <c r="B152" s="98">
        <f>CEILING(0.0101*G151/$D$5,1)</f>
        <v/>
      </c>
      <c r="C152" s="8">
        <f>MAX(0,MIN(MAX(0,FLOOR($D$15*D151*MAX(0,1-D151/(($D$10+SUM($N$33:N151))/$D$5)),1)),IF(A152&gt;=$D$14,IF(AND(D151&gt;0,F151&gt;0),INT(K151*D151/F151),0),1000000000),MIN(IF($D$11&gt;G151,INT(($D$11-G151)/$D$5),0)-D151,MAX(B152,INT(($D$10+SUM($N$33:N151))/$D$5)-D151))))</f>
        <v/>
      </c>
      <c r="D152" s="8">
        <f>D151+C152</f>
        <v/>
      </c>
      <c r="E152" s="8">
        <f>$D$5</f>
        <v/>
      </c>
      <c r="F152" s="8">
        <f>IF(G151&gt;=$D$11,0,MIN(D152*E152,$D$11-G151))</f>
        <v/>
      </c>
      <c r="G152" s="8">
        <f>G151+F152</f>
        <v/>
      </c>
      <c r="H152" s="10">
        <f>H151+$D$6*F152</f>
        <v/>
      </c>
      <c r="I152" s="10">
        <f>$D$7*F152+Q152</f>
        <v/>
      </c>
      <c r="J152" s="10">
        <f>J151+$D$8*F152+K152-P152</f>
        <v/>
      </c>
      <c r="K152" s="10">
        <f>($D$9/12)*J151</f>
        <v/>
      </c>
      <c r="L152" s="9">
        <f>IF(G152=0,0,J152/(G152*$D$12))</f>
        <v/>
      </c>
      <c r="M152" s="13">
        <f>I152/G152</f>
        <v/>
      </c>
      <c r="N152" s="8">
        <f>INDEX($G$6:$G$30,MIN(INT((A152-1)/12)+1,25))</f>
        <v/>
      </c>
      <c r="O152" s="126">
        <f>G152*$D$12</f>
        <v/>
      </c>
      <c r="P152">
        <f>IF(F152=0,0,MAX(0,0.01*G152-$D$7*F152))</f>
        <v/>
      </c>
    </row>
    <row r="153">
      <c r="A153" s="7" t="n">
        <v>121</v>
      </c>
      <c r="B153" s="98">
        <f>CEILING(0.0101*G152/$D$5,1)</f>
        <v/>
      </c>
      <c r="C153" s="8">
        <f>MAX(0,MIN(MAX(0,FLOOR($D$15*D152*MAX(0,1-D152/(($D$10+SUM($N$33:N152))/$D$5)),1)),IF(A153&gt;=$D$14,IF(AND(D152&gt;0,F152&gt;0),INT(K152*D152/F152),0),1000000000),MIN(IF($D$11&gt;G152,INT(($D$11-G152)/$D$5),0)-D152,MAX(B153,INT(($D$10+SUM($N$33:N152))/$D$5)-D152))))</f>
        <v/>
      </c>
      <c r="D153" s="8">
        <f>D152+C153</f>
        <v/>
      </c>
      <c r="E153" s="8">
        <f>$D$5</f>
        <v/>
      </c>
      <c r="F153" s="8">
        <f>IF(G152&gt;=$D$11,0,MIN(D153*E153,$D$11-G152))</f>
        <v/>
      </c>
      <c r="G153" s="8">
        <f>G152+F153</f>
        <v/>
      </c>
      <c r="H153" s="10">
        <f>H152+$D$6*F153</f>
        <v/>
      </c>
      <c r="I153" s="10">
        <f>$D$7*F153+Q153</f>
        <v/>
      </c>
      <c r="J153" s="10">
        <f>J152+$D$8*F153+K153-P153</f>
        <v/>
      </c>
      <c r="K153" s="10">
        <f>($D$9/12)*J152</f>
        <v/>
      </c>
      <c r="L153" s="9">
        <f>IF(G153=0,0,J153/(G153*$D$12))</f>
        <v/>
      </c>
      <c r="M153" s="13">
        <f>I153/G153</f>
        <v/>
      </c>
      <c r="N153" s="8">
        <f>INDEX($G$6:$G$30,MIN(INT((A153-1)/12)+1,25))</f>
        <v/>
      </c>
      <c r="O153" s="126">
        <f>G153*$D$12</f>
        <v/>
      </c>
      <c r="P153">
        <f>IF(F153=0,0,MAX(0,0.01*G153-$D$7*F153))</f>
        <v/>
      </c>
    </row>
    <row r="154">
      <c r="A154" s="7" t="n">
        <v>122</v>
      </c>
      <c r="B154" s="98">
        <f>CEILING(0.0101*G153/$D$5,1)</f>
        <v/>
      </c>
      <c r="C154" s="8">
        <f>MAX(0,MIN(MAX(0,FLOOR($D$15*D153*MAX(0,1-D153/(($D$10+SUM($N$33:N153))/$D$5)),1)),IF(A154&gt;=$D$14,IF(AND(D153&gt;0,F153&gt;0),INT(K153*D153/F153),0),1000000000),MIN(IF($D$11&gt;G153,INT(($D$11-G153)/$D$5),0)-D153,MAX(B154,INT(($D$10+SUM($N$33:N153))/$D$5)-D153))))</f>
        <v/>
      </c>
      <c r="D154" s="8">
        <f>D153+C154</f>
        <v/>
      </c>
      <c r="E154" s="8">
        <f>$D$5</f>
        <v/>
      </c>
      <c r="F154" s="8">
        <f>IF(G153&gt;=$D$11,0,MIN(D154*E154,$D$11-G153))</f>
        <v/>
      </c>
      <c r="G154" s="8">
        <f>G153+F154</f>
        <v/>
      </c>
      <c r="H154" s="10">
        <f>H153+$D$6*F154</f>
        <v/>
      </c>
      <c r="I154" s="10">
        <f>$D$7*F154+Q154</f>
        <v/>
      </c>
      <c r="J154" s="10">
        <f>J153+$D$8*F154+K154-P154</f>
        <v/>
      </c>
      <c r="K154" s="10">
        <f>($D$9/12)*J153</f>
        <v/>
      </c>
      <c r="L154" s="9">
        <f>IF(G154=0,0,J154/(G154*$D$12))</f>
        <v/>
      </c>
      <c r="M154" s="13">
        <f>I154/G154</f>
        <v/>
      </c>
      <c r="N154" s="8">
        <f>INDEX($G$6:$G$30,MIN(INT((A154-1)/12)+1,25))</f>
        <v/>
      </c>
      <c r="O154" s="126">
        <f>G154*$D$12</f>
        <v/>
      </c>
      <c r="P154">
        <f>IF(F154=0,0,MAX(0,0.01*G154-$D$7*F154))</f>
        <v/>
      </c>
    </row>
    <row r="155">
      <c r="A155" s="7" t="n">
        <v>123</v>
      </c>
      <c r="B155" s="98">
        <f>CEILING(0.0101*G154/$D$5,1)</f>
        <v/>
      </c>
      <c r="C155" s="8">
        <f>MAX(0,MIN(MAX(0,FLOOR($D$15*D154*MAX(0,1-D154/(($D$10+SUM($N$33:N154))/$D$5)),1)),IF(A155&gt;=$D$14,IF(AND(D154&gt;0,F154&gt;0),INT(K154*D154/F154),0),1000000000),MIN(IF($D$11&gt;G154,INT(($D$11-G154)/$D$5),0)-D154,MAX(B155,INT(($D$10+SUM($N$33:N154))/$D$5)-D154))))</f>
        <v/>
      </c>
      <c r="D155" s="8">
        <f>D154+C155</f>
        <v/>
      </c>
      <c r="E155" s="8">
        <f>$D$5</f>
        <v/>
      </c>
      <c r="F155" s="8">
        <f>IF(G154&gt;=$D$11,0,MIN(D155*E155,$D$11-G154))</f>
        <v/>
      </c>
      <c r="G155" s="8">
        <f>G154+F155</f>
        <v/>
      </c>
      <c r="H155" s="10">
        <f>H154+$D$6*F155</f>
        <v/>
      </c>
      <c r="I155" s="10">
        <f>$D$7*F155+Q155</f>
        <v/>
      </c>
      <c r="J155" s="10">
        <f>J154+$D$8*F155+K155-P155</f>
        <v/>
      </c>
      <c r="K155" s="10">
        <f>($D$9/12)*J154</f>
        <v/>
      </c>
      <c r="L155" s="9">
        <f>IF(G155=0,0,J155/(G155*$D$12))</f>
        <v/>
      </c>
      <c r="M155" s="13">
        <f>I155/G155</f>
        <v/>
      </c>
      <c r="N155" s="8">
        <f>INDEX($G$6:$G$30,MIN(INT((A155-1)/12)+1,25))</f>
        <v/>
      </c>
      <c r="O155" s="126">
        <f>G155*$D$12</f>
        <v/>
      </c>
      <c r="P155">
        <f>IF(F155=0,0,MAX(0,0.01*G155-$D$7*F155))</f>
        <v/>
      </c>
    </row>
    <row r="156">
      <c r="A156" s="7" t="n">
        <v>124</v>
      </c>
      <c r="B156" s="98">
        <f>CEILING(0.0101*G155/$D$5,1)</f>
        <v/>
      </c>
      <c r="C156" s="8">
        <f>MAX(0,MIN(MAX(0,FLOOR($D$15*D155*MAX(0,1-D155/(($D$10+SUM($N$33:N155))/$D$5)),1)),IF(A156&gt;=$D$14,IF(AND(D155&gt;0,F155&gt;0),INT(K155*D155/F155),0),1000000000),MIN(IF($D$11&gt;G155,INT(($D$11-G155)/$D$5),0)-D155,MAX(B156,INT(($D$10+SUM($N$33:N155))/$D$5)-D155))))</f>
        <v/>
      </c>
      <c r="D156" s="8">
        <f>D155+C156</f>
        <v/>
      </c>
      <c r="E156" s="8">
        <f>$D$5</f>
        <v/>
      </c>
      <c r="F156" s="8">
        <f>IF(G155&gt;=$D$11,0,MIN(D156*E156,$D$11-G155))</f>
        <v/>
      </c>
      <c r="G156" s="8">
        <f>G155+F156</f>
        <v/>
      </c>
      <c r="H156" s="10">
        <f>H155+$D$6*F156</f>
        <v/>
      </c>
      <c r="I156" s="10">
        <f>$D$7*F156+Q156</f>
        <v/>
      </c>
      <c r="J156" s="10">
        <f>J155+$D$8*F156+K156-P156</f>
        <v/>
      </c>
      <c r="K156" s="10">
        <f>($D$9/12)*J155</f>
        <v/>
      </c>
      <c r="L156" s="9">
        <f>IF(G156=0,0,J156/(G156*$D$12))</f>
        <v/>
      </c>
      <c r="M156" s="13">
        <f>I156/G156</f>
        <v/>
      </c>
      <c r="N156" s="8">
        <f>INDEX($G$6:$G$30,MIN(INT((A156-1)/12)+1,25))</f>
        <v/>
      </c>
      <c r="O156" s="126">
        <f>G156*$D$12</f>
        <v/>
      </c>
      <c r="P156">
        <f>IF(F156=0,0,MAX(0,0.01*G156-$D$7*F156))</f>
        <v/>
      </c>
    </row>
    <row r="157">
      <c r="A157" s="7" t="n">
        <v>125</v>
      </c>
      <c r="B157" s="98">
        <f>CEILING(0.0101*G156/$D$5,1)</f>
        <v/>
      </c>
      <c r="C157" s="8">
        <f>MAX(0,MIN(MAX(0,FLOOR($D$15*D156*MAX(0,1-D156/(($D$10+SUM($N$33:N156))/$D$5)),1)),IF(A157&gt;=$D$14,IF(AND(D156&gt;0,F156&gt;0),INT(K156*D156/F156),0),1000000000),MIN(IF($D$11&gt;G156,INT(($D$11-G156)/$D$5),0)-D156,MAX(B157,INT(($D$10+SUM($N$33:N156))/$D$5)-D156))))</f>
        <v/>
      </c>
      <c r="D157" s="8">
        <f>D156+C157</f>
        <v/>
      </c>
      <c r="E157" s="8">
        <f>$D$5</f>
        <v/>
      </c>
      <c r="F157" s="8">
        <f>IF(G156&gt;=$D$11,0,MIN(D157*E157,$D$11-G156))</f>
        <v/>
      </c>
      <c r="G157" s="8">
        <f>G156+F157</f>
        <v/>
      </c>
      <c r="H157" s="10">
        <f>H156+$D$6*F157</f>
        <v/>
      </c>
      <c r="I157" s="10">
        <f>$D$7*F157+Q157</f>
        <v/>
      </c>
      <c r="J157" s="10">
        <f>J156+$D$8*F157+K157-P157</f>
        <v/>
      </c>
      <c r="K157" s="10">
        <f>($D$9/12)*J156</f>
        <v/>
      </c>
      <c r="L157" s="9">
        <f>IF(G157=0,0,J157/(G157*$D$12))</f>
        <v/>
      </c>
      <c r="M157" s="13">
        <f>I157/G157</f>
        <v/>
      </c>
      <c r="N157" s="8">
        <f>INDEX($G$6:$G$30,MIN(INT((A157-1)/12)+1,25))</f>
        <v/>
      </c>
      <c r="O157" s="126">
        <f>G157*$D$12</f>
        <v/>
      </c>
      <c r="P157">
        <f>IF(F157=0,0,MAX(0,0.01*G157-$D$7*F157))</f>
        <v/>
      </c>
    </row>
    <row r="158">
      <c r="A158" s="7" t="n">
        <v>126</v>
      </c>
      <c r="B158" s="98">
        <f>CEILING(0.0101*G157/$D$5,1)</f>
        <v/>
      </c>
      <c r="C158" s="8">
        <f>MAX(0,MIN(MAX(0,FLOOR($D$15*D157*MAX(0,1-D157/(($D$10+SUM($N$33:N157))/$D$5)),1)),IF(A158&gt;=$D$14,IF(AND(D157&gt;0,F157&gt;0),INT(K157*D157/F157),0),1000000000),MIN(IF($D$11&gt;G157,INT(($D$11-G157)/$D$5),0)-D157,MAX(B158,INT(($D$10+SUM($N$33:N157))/$D$5)-D157))))</f>
        <v/>
      </c>
      <c r="D158" s="8">
        <f>D157+C158</f>
        <v/>
      </c>
      <c r="E158" s="8">
        <f>$D$5</f>
        <v/>
      </c>
      <c r="F158" s="8">
        <f>IF(G157&gt;=$D$11,0,MIN(D158*E158,$D$11-G157))</f>
        <v/>
      </c>
      <c r="G158" s="8">
        <f>G157+F158</f>
        <v/>
      </c>
      <c r="H158" s="10">
        <f>H157+$D$6*F158</f>
        <v/>
      </c>
      <c r="I158" s="10">
        <f>$D$7*F158+Q158</f>
        <v/>
      </c>
      <c r="J158" s="10">
        <f>J157+$D$8*F158+K158-P158</f>
        <v/>
      </c>
      <c r="K158" s="10">
        <f>($D$9/12)*J157</f>
        <v/>
      </c>
      <c r="L158" s="9">
        <f>IF(G158=0,0,J158/(G158*$D$12))</f>
        <v/>
      </c>
      <c r="M158" s="13">
        <f>I158/G158</f>
        <v/>
      </c>
      <c r="N158" s="8">
        <f>INDEX($G$6:$G$30,MIN(INT((A158-1)/12)+1,25))</f>
        <v/>
      </c>
      <c r="O158" s="126">
        <f>G158*$D$12</f>
        <v/>
      </c>
      <c r="P158">
        <f>IF(F158=0,0,MAX(0,0.01*G158-$D$7*F158))</f>
        <v/>
      </c>
    </row>
    <row r="159">
      <c r="A159" s="7" t="n">
        <v>127</v>
      </c>
      <c r="B159" s="98">
        <f>CEILING(0.0101*G158/$D$5,1)</f>
        <v/>
      </c>
      <c r="C159" s="8">
        <f>MAX(0,MIN(MAX(0,FLOOR($D$15*D158*MAX(0,1-D158/(($D$10+SUM($N$33:N158))/$D$5)),1)),IF(A159&gt;=$D$14,IF(AND(D158&gt;0,F158&gt;0),INT(K158*D158/F158),0),1000000000),MIN(IF($D$11&gt;G158,INT(($D$11-G158)/$D$5),0)-D158,MAX(B159,INT(($D$10+SUM($N$33:N158))/$D$5)-D158))))</f>
        <v/>
      </c>
      <c r="D159" s="8">
        <f>D158+C159</f>
        <v/>
      </c>
      <c r="E159" s="8">
        <f>$D$5</f>
        <v/>
      </c>
      <c r="F159" s="8">
        <f>IF(G158&gt;=$D$11,0,MIN(D159*E159,$D$11-G158))</f>
        <v/>
      </c>
      <c r="G159" s="8">
        <f>G158+F159</f>
        <v/>
      </c>
      <c r="H159" s="10">
        <f>H158+$D$6*F159</f>
        <v/>
      </c>
      <c r="I159" s="10">
        <f>$D$7*F159+Q159</f>
        <v/>
      </c>
      <c r="J159" s="10">
        <f>J158+$D$8*F159+K159-P159</f>
        <v/>
      </c>
      <c r="K159" s="10">
        <f>($D$9/12)*J158</f>
        <v/>
      </c>
      <c r="L159" s="9">
        <f>IF(G159=0,0,J159/(G159*$D$12))</f>
        <v/>
      </c>
      <c r="M159" s="13">
        <f>I159/G159</f>
        <v/>
      </c>
      <c r="N159" s="8">
        <f>INDEX($G$6:$G$30,MIN(INT((A159-1)/12)+1,25))</f>
        <v/>
      </c>
      <c r="O159" s="126">
        <f>G159*$D$12</f>
        <v/>
      </c>
      <c r="P159">
        <f>IF(F159=0,0,MAX(0,0.01*G159-$D$7*F159))</f>
        <v/>
      </c>
    </row>
    <row r="160">
      <c r="A160" s="7" t="n">
        <v>128</v>
      </c>
      <c r="B160" s="98">
        <f>CEILING(0.0101*G159/$D$5,1)</f>
        <v/>
      </c>
      <c r="C160" s="8">
        <f>MAX(0,MIN(MAX(0,FLOOR($D$15*D159*MAX(0,1-D159/(($D$10+SUM($N$33:N159))/$D$5)),1)),IF(A160&gt;=$D$14,IF(AND(D159&gt;0,F159&gt;0),INT(K159*D159/F159),0),1000000000),MIN(IF($D$11&gt;G159,INT(($D$11-G159)/$D$5),0)-D159,MAX(B160,INT(($D$10+SUM($N$33:N159))/$D$5)-D159))))</f>
        <v/>
      </c>
      <c r="D160" s="8">
        <f>D159+C160</f>
        <v/>
      </c>
      <c r="E160" s="8">
        <f>$D$5</f>
        <v/>
      </c>
      <c r="F160" s="8">
        <f>IF(G159&gt;=$D$11,0,MIN(D160*E160,$D$11-G159))</f>
        <v/>
      </c>
      <c r="G160" s="8">
        <f>G159+F160</f>
        <v/>
      </c>
      <c r="H160" s="10">
        <f>H159+$D$6*F160</f>
        <v/>
      </c>
      <c r="I160" s="10">
        <f>$D$7*F160+Q160</f>
        <v/>
      </c>
      <c r="J160" s="10">
        <f>J159+$D$8*F160+K160-P160</f>
        <v/>
      </c>
      <c r="K160" s="10">
        <f>($D$9/12)*J159</f>
        <v/>
      </c>
      <c r="L160" s="9">
        <f>IF(G160=0,0,J160/(G160*$D$12))</f>
        <v/>
      </c>
      <c r="M160" s="13">
        <f>I160/G160</f>
        <v/>
      </c>
      <c r="N160" s="8">
        <f>INDEX($G$6:$G$30,MIN(INT((A160-1)/12)+1,25))</f>
        <v/>
      </c>
      <c r="O160" s="126">
        <f>G160*$D$12</f>
        <v/>
      </c>
      <c r="P160">
        <f>IF(F160=0,0,MAX(0,0.01*G160-$D$7*F160))</f>
        <v/>
      </c>
    </row>
    <row r="161">
      <c r="A161" s="7" t="n">
        <v>129</v>
      </c>
      <c r="B161" s="98">
        <f>CEILING(0.0101*G160/$D$5,1)</f>
        <v/>
      </c>
      <c r="C161" s="8">
        <f>MAX(0,MIN(MAX(0,FLOOR($D$15*D160*MAX(0,1-D160/(($D$10+SUM($N$33:N160))/$D$5)),1)),IF(A161&gt;=$D$14,IF(AND(D160&gt;0,F160&gt;0),INT(K160*D160/F160),0),1000000000),MIN(IF($D$11&gt;G160,INT(($D$11-G160)/$D$5),0)-D160,MAX(B161,INT(($D$10+SUM($N$33:N160))/$D$5)-D160))))</f>
        <v/>
      </c>
      <c r="D161" s="8">
        <f>D160+C161</f>
        <v/>
      </c>
      <c r="E161" s="8">
        <f>$D$5</f>
        <v/>
      </c>
      <c r="F161" s="8">
        <f>IF(G160&gt;=$D$11,0,MIN(D161*E161,$D$11-G160))</f>
        <v/>
      </c>
      <c r="G161" s="8">
        <f>G160+F161</f>
        <v/>
      </c>
      <c r="H161" s="10">
        <f>H160+$D$6*F161</f>
        <v/>
      </c>
      <c r="I161" s="10">
        <f>$D$7*F161+Q161</f>
        <v/>
      </c>
      <c r="J161" s="10">
        <f>J160+$D$8*F161+K161-P161</f>
        <v/>
      </c>
      <c r="K161" s="10">
        <f>($D$9/12)*J160</f>
        <v/>
      </c>
      <c r="L161" s="9">
        <f>IF(G161=0,0,J161/(G161*$D$12))</f>
        <v/>
      </c>
      <c r="M161" s="13">
        <f>I161/G161</f>
        <v/>
      </c>
      <c r="N161" s="8">
        <f>INDEX($G$6:$G$30,MIN(INT((A161-1)/12)+1,25))</f>
        <v/>
      </c>
      <c r="O161" s="126">
        <f>G161*$D$12</f>
        <v/>
      </c>
      <c r="P161">
        <f>IF(F161=0,0,MAX(0,0.01*G161-$D$7*F161))</f>
        <v/>
      </c>
    </row>
    <row r="162">
      <c r="A162" s="7" t="n">
        <v>130</v>
      </c>
      <c r="B162" s="98">
        <f>CEILING(0.0101*G161/$D$5,1)</f>
        <v/>
      </c>
      <c r="C162" s="8">
        <f>MAX(0,MIN(MAX(0,FLOOR($D$15*D161*MAX(0,1-D161/(($D$10+SUM($N$33:N161))/$D$5)),1)),IF(A162&gt;=$D$14,IF(AND(D161&gt;0,F161&gt;0),INT(K161*D161/F161),0),1000000000),MIN(IF($D$11&gt;G161,INT(($D$11-G161)/$D$5),0)-D161,MAX(B162,INT(($D$10+SUM($N$33:N161))/$D$5)-D161))))</f>
        <v/>
      </c>
      <c r="D162" s="8">
        <f>D161+C162</f>
        <v/>
      </c>
      <c r="E162" s="8">
        <f>$D$5</f>
        <v/>
      </c>
      <c r="F162" s="8">
        <f>IF(G161&gt;=$D$11,0,MIN(D162*E162,$D$11-G161))</f>
        <v/>
      </c>
      <c r="G162" s="8">
        <f>G161+F162</f>
        <v/>
      </c>
      <c r="H162" s="10">
        <f>H161+$D$6*F162</f>
        <v/>
      </c>
      <c r="I162" s="10">
        <f>$D$7*F162+Q162</f>
        <v/>
      </c>
      <c r="J162" s="10">
        <f>J161+$D$8*F162+K162-P162</f>
        <v/>
      </c>
      <c r="K162" s="10">
        <f>($D$9/12)*J161</f>
        <v/>
      </c>
      <c r="L162" s="9">
        <f>IF(G162=0,0,J162/(G162*$D$12))</f>
        <v/>
      </c>
      <c r="M162" s="13">
        <f>I162/G162</f>
        <v/>
      </c>
      <c r="N162" s="8">
        <f>INDEX($G$6:$G$30,MIN(INT((A162-1)/12)+1,25))</f>
        <v/>
      </c>
      <c r="O162" s="126">
        <f>G162*$D$12</f>
        <v/>
      </c>
      <c r="P162">
        <f>IF(F162=0,0,MAX(0,0.01*G162-$D$7*F162))</f>
        <v/>
      </c>
    </row>
    <row r="163">
      <c r="A163" s="7" t="n">
        <v>131</v>
      </c>
      <c r="B163" s="98">
        <f>CEILING(0.0101*G162/$D$5,1)</f>
        <v/>
      </c>
      <c r="C163" s="8">
        <f>MAX(0,MIN(MAX(0,FLOOR($D$15*D162*MAX(0,1-D162/(($D$10+SUM($N$33:N162))/$D$5)),1)),IF(A163&gt;=$D$14,IF(AND(D162&gt;0,F162&gt;0),INT(K162*D162/F162),0),1000000000),MIN(IF($D$11&gt;G162,INT(($D$11-G162)/$D$5),0)-D162,MAX(B163,INT(($D$10+SUM($N$33:N162))/$D$5)-D162))))</f>
        <v/>
      </c>
      <c r="D163" s="8">
        <f>D162+C163</f>
        <v/>
      </c>
      <c r="E163" s="8">
        <f>$D$5</f>
        <v/>
      </c>
      <c r="F163" s="8">
        <f>IF(G162&gt;=$D$11,0,MIN(D163*E163,$D$11-G162))</f>
        <v/>
      </c>
      <c r="G163" s="8">
        <f>G162+F163</f>
        <v/>
      </c>
      <c r="H163" s="10">
        <f>H162+$D$6*F163</f>
        <v/>
      </c>
      <c r="I163" s="10">
        <f>$D$7*F163+Q163</f>
        <v/>
      </c>
      <c r="J163" s="10">
        <f>J162+$D$8*F163+K163-P163</f>
        <v/>
      </c>
      <c r="K163" s="10">
        <f>($D$9/12)*J162</f>
        <v/>
      </c>
      <c r="L163" s="9">
        <f>IF(G163=0,0,J163/(G163*$D$12))</f>
        <v/>
      </c>
      <c r="M163" s="13">
        <f>I163/G163</f>
        <v/>
      </c>
      <c r="N163" s="8">
        <f>INDEX($G$6:$G$30,MIN(INT((A163-1)/12)+1,25))</f>
        <v/>
      </c>
      <c r="O163" s="126">
        <f>G163*$D$12</f>
        <v/>
      </c>
      <c r="P163">
        <f>IF(F163=0,0,MAX(0,0.01*G163-$D$7*F163))</f>
        <v/>
      </c>
    </row>
    <row r="164">
      <c r="A164" s="7" t="n">
        <v>132</v>
      </c>
      <c r="B164" s="98">
        <f>CEILING(0.0101*G163/$D$5,1)</f>
        <v/>
      </c>
      <c r="C164" s="8">
        <f>MAX(0,MIN(MAX(0,FLOOR($D$15*D163*MAX(0,1-D163/(($D$10+SUM($N$33:N163))/$D$5)),1)),IF(A164&gt;=$D$14,IF(AND(D163&gt;0,F163&gt;0),INT(K163*D163/F163),0),1000000000),MIN(IF($D$11&gt;G163,INT(($D$11-G163)/$D$5),0)-D163,MAX(B164,INT(($D$10+SUM($N$33:N163))/$D$5)-D163))))</f>
        <v/>
      </c>
      <c r="D164" s="8">
        <f>D163+C164</f>
        <v/>
      </c>
      <c r="E164" s="8">
        <f>$D$5</f>
        <v/>
      </c>
      <c r="F164" s="8">
        <f>IF(G163&gt;=$D$11,0,MIN(D164*E164,$D$11-G163))</f>
        <v/>
      </c>
      <c r="G164" s="8">
        <f>G163+F164</f>
        <v/>
      </c>
      <c r="H164" s="10">
        <f>H163+$D$6*F164</f>
        <v/>
      </c>
      <c r="I164" s="10">
        <f>$D$7*F164+Q164</f>
        <v/>
      </c>
      <c r="J164" s="10">
        <f>J163+$D$8*F164+K164-P164</f>
        <v/>
      </c>
      <c r="K164" s="10">
        <f>($D$9/12)*J163</f>
        <v/>
      </c>
      <c r="L164" s="9">
        <f>IF(G164=0,0,J164/(G164*$D$12))</f>
        <v/>
      </c>
      <c r="M164" s="13">
        <f>I164/G164</f>
        <v/>
      </c>
      <c r="N164" s="8">
        <f>INDEX($G$6:$G$30,MIN(INT((A164-1)/12)+1,25))</f>
        <v/>
      </c>
      <c r="O164" s="126">
        <f>G164*$D$12</f>
        <v/>
      </c>
      <c r="P164">
        <f>IF(F164=0,0,MAX(0,0.01*G164-$D$7*F164))</f>
        <v/>
      </c>
    </row>
    <row r="165">
      <c r="A165" s="7" t="n">
        <v>133</v>
      </c>
      <c r="B165" s="98">
        <f>CEILING(0.0101*G164/$D$5,1)</f>
        <v/>
      </c>
      <c r="C165" s="8">
        <f>MAX(0,MIN(MAX(0,FLOOR($D$15*D164*MAX(0,1-D164/(($D$10+SUM($N$33:N164))/$D$5)),1)),IF(A165&gt;=$D$14,IF(AND(D164&gt;0,F164&gt;0),INT(K164*D164/F164),0),1000000000),MIN(IF($D$11&gt;G164,INT(($D$11-G164)/$D$5),0)-D164,MAX(B165,INT(($D$10+SUM($N$33:N164))/$D$5)-D164))))</f>
        <v/>
      </c>
      <c r="D165" s="8">
        <f>D164+C165</f>
        <v/>
      </c>
      <c r="E165" s="8">
        <f>$D$5</f>
        <v/>
      </c>
      <c r="F165" s="8">
        <f>IF(G164&gt;=$D$11,0,MIN(D165*E165,$D$11-G164))</f>
        <v/>
      </c>
      <c r="G165" s="8">
        <f>G164+F165</f>
        <v/>
      </c>
      <c r="H165" s="10">
        <f>H164+$D$6*F165</f>
        <v/>
      </c>
      <c r="I165" s="10">
        <f>$D$7*F165+Q165</f>
        <v/>
      </c>
      <c r="J165" s="10">
        <f>J164+$D$8*F165+K165-P165</f>
        <v/>
      </c>
      <c r="K165" s="10">
        <f>($D$9/12)*J164</f>
        <v/>
      </c>
      <c r="L165" s="9">
        <f>IF(G165=0,0,J165/(G165*$D$12))</f>
        <v/>
      </c>
      <c r="M165" s="13">
        <f>I165/G165</f>
        <v/>
      </c>
      <c r="N165" s="8">
        <f>INDEX($G$6:$G$30,MIN(INT((A165-1)/12)+1,25))</f>
        <v/>
      </c>
      <c r="O165" s="126">
        <f>G165*$D$12</f>
        <v/>
      </c>
      <c r="P165">
        <f>IF(F165=0,0,MAX(0,0.01*G165-$D$7*F165))</f>
        <v/>
      </c>
    </row>
    <row r="166">
      <c r="A166" s="7" t="n">
        <v>134</v>
      </c>
      <c r="B166" s="98">
        <f>CEILING(0.0101*G165/$D$5,1)</f>
        <v/>
      </c>
      <c r="C166" s="8">
        <f>MAX(0,MIN(MAX(0,FLOOR($D$15*D165*MAX(0,1-D165/(($D$10+SUM($N$33:N165))/$D$5)),1)),IF(A166&gt;=$D$14,IF(AND(D165&gt;0,F165&gt;0),INT(K165*D165/F165),0),1000000000),MIN(IF($D$11&gt;G165,INT(($D$11-G165)/$D$5),0)-D165,MAX(B166,INT(($D$10+SUM($N$33:N165))/$D$5)-D165))))</f>
        <v/>
      </c>
      <c r="D166" s="8">
        <f>D165+C166</f>
        <v/>
      </c>
      <c r="E166" s="8">
        <f>$D$5</f>
        <v/>
      </c>
      <c r="F166" s="8">
        <f>IF(G165&gt;=$D$11,0,MIN(D166*E166,$D$11-G165))</f>
        <v/>
      </c>
      <c r="G166" s="8">
        <f>G165+F166</f>
        <v/>
      </c>
      <c r="H166" s="10">
        <f>H165+$D$6*F166</f>
        <v/>
      </c>
      <c r="I166" s="10">
        <f>$D$7*F166+Q166</f>
        <v/>
      </c>
      <c r="J166" s="10">
        <f>J165+$D$8*F166+K166-P166</f>
        <v/>
      </c>
      <c r="K166" s="10">
        <f>($D$9/12)*J165</f>
        <v/>
      </c>
      <c r="L166" s="9">
        <f>IF(G166=0,0,J166/(G166*$D$12))</f>
        <v/>
      </c>
      <c r="M166" s="13">
        <f>I166/G166</f>
        <v/>
      </c>
      <c r="N166" s="8">
        <f>INDEX($G$6:$G$30,MIN(INT((A166-1)/12)+1,25))</f>
        <v/>
      </c>
      <c r="O166" s="126">
        <f>G166*$D$12</f>
        <v/>
      </c>
      <c r="P166">
        <f>IF(F166=0,0,MAX(0,0.01*G166-$D$7*F166))</f>
        <v/>
      </c>
    </row>
    <row r="167">
      <c r="A167" s="7" t="n">
        <v>135</v>
      </c>
      <c r="B167" s="98">
        <f>CEILING(0.0101*G166/$D$5,1)</f>
        <v/>
      </c>
      <c r="C167" s="8">
        <f>MAX(0,MIN(MAX(0,FLOOR($D$15*D166*MAX(0,1-D166/(($D$10+SUM($N$33:N166))/$D$5)),1)),IF(A167&gt;=$D$14,IF(AND(D166&gt;0,F166&gt;0),INT(K166*D166/F166),0),1000000000),MIN(IF($D$11&gt;G166,INT(($D$11-G166)/$D$5),0)-D166,MAX(B167,INT(($D$10+SUM($N$33:N166))/$D$5)-D166))))</f>
        <v/>
      </c>
      <c r="D167" s="8">
        <f>D166+C167</f>
        <v/>
      </c>
      <c r="E167" s="8">
        <f>$D$5</f>
        <v/>
      </c>
      <c r="F167" s="8">
        <f>IF(G166&gt;=$D$11,0,MIN(D167*E167,$D$11-G166))</f>
        <v/>
      </c>
      <c r="G167" s="8">
        <f>G166+F167</f>
        <v/>
      </c>
      <c r="H167" s="10">
        <f>H166+$D$6*F167</f>
        <v/>
      </c>
      <c r="I167" s="10">
        <f>$D$7*F167+Q167</f>
        <v/>
      </c>
      <c r="J167" s="10">
        <f>J166+$D$8*F167+K167-P167</f>
        <v/>
      </c>
      <c r="K167" s="10">
        <f>($D$9/12)*J166</f>
        <v/>
      </c>
      <c r="L167" s="9">
        <f>IF(G167=0,0,J167/(G167*$D$12))</f>
        <v/>
      </c>
      <c r="M167" s="13">
        <f>I167/G167</f>
        <v/>
      </c>
      <c r="N167" s="8">
        <f>INDEX($G$6:$G$30,MIN(INT((A167-1)/12)+1,25))</f>
        <v/>
      </c>
      <c r="O167" s="126">
        <f>G167*$D$12</f>
        <v/>
      </c>
      <c r="P167">
        <f>IF(F167=0,0,MAX(0,0.01*G167-$D$7*F167))</f>
        <v/>
      </c>
    </row>
    <row r="168">
      <c r="A168" s="7" t="n">
        <v>136</v>
      </c>
      <c r="B168" s="98">
        <f>CEILING(0.0101*G167/$D$5,1)</f>
        <v/>
      </c>
      <c r="C168" s="8">
        <f>MAX(0,MIN(MAX(0,FLOOR($D$15*D167*MAX(0,1-D167/(($D$10+SUM($N$33:N167))/$D$5)),1)),IF(A168&gt;=$D$14,IF(AND(D167&gt;0,F167&gt;0),INT(K167*D167/F167),0),1000000000),MIN(IF($D$11&gt;G167,INT(($D$11-G167)/$D$5),0)-D167,MAX(B168,INT(($D$10+SUM($N$33:N167))/$D$5)-D167))))</f>
        <v/>
      </c>
      <c r="D168" s="8">
        <f>D167+C168</f>
        <v/>
      </c>
      <c r="E168" s="8">
        <f>$D$5</f>
        <v/>
      </c>
      <c r="F168" s="8">
        <f>IF(G167&gt;=$D$11,0,MIN(D168*E168,$D$11-G167))</f>
        <v/>
      </c>
      <c r="G168" s="8">
        <f>G167+F168</f>
        <v/>
      </c>
      <c r="H168" s="10">
        <f>H167+$D$6*F168</f>
        <v/>
      </c>
      <c r="I168" s="10">
        <f>$D$7*F168+Q168</f>
        <v/>
      </c>
      <c r="J168" s="10">
        <f>J167+$D$8*F168+K168-P168</f>
        <v/>
      </c>
      <c r="K168" s="10">
        <f>($D$9/12)*J167</f>
        <v/>
      </c>
      <c r="L168" s="9">
        <f>IF(G168=0,0,J168/(G168*$D$12))</f>
        <v/>
      </c>
      <c r="M168" s="13">
        <f>I168/G168</f>
        <v/>
      </c>
      <c r="N168" s="8">
        <f>INDEX($G$6:$G$30,MIN(INT((A168-1)/12)+1,25))</f>
        <v/>
      </c>
      <c r="O168" s="126">
        <f>G168*$D$12</f>
        <v/>
      </c>
      <c r="P168">
        <f>IF(F168=0,0,MAX(0,0.01*G168-$D$7*F168))</f>
        <v/>
      </c>
    </row>
    <row r="169">
      <c r="A169" s="7" t="n">
        <v>137</v>
      </c>
      <c r="B169" s="98">
        <f>CEILING(0.0101*G168/$D$5,1)</f>
        <v/>
      </c>
      <c r="C169" s="8">
        <f>MAX(0,MIN(MAX(0,FLOOR($D$15*D168*MAX(0,1-D168/(($D$10+SUM($N$33:N168))/$D$5)),1)),IF(A169&gt;=$D$14,IF(AND(D168&gt;0,F168&gt;0),INT(K168*D168/F168),0),1000000000),MIN(IF($D$11&gt;G168,INT(($D$11-G168)/$D$5),0)-D168,MAX(B169,INT(($D$10+SUM($N$33:N168))/$D$5)-D168))))</f>
        <v/>
      </c>
      <c r="D169" s="8">
        <f>D168+C169</f>
        <v/>
      </c>
      <c r="E169" s="8">
        <f>$D$5</f>
        <v/>
      </c>
      <c r="F169" s="8">
        <f>IF(G168&gt;=$D$11,0,MIN(D169*E169,$D$11-G168))</f>
        <v/>
      </c>
      <c r="G169" s="8">
        <f>G168+F169</f>
        <v/>
      </c>
      <c r="H169" s="10">
        <f>H168+$D$6*F169</f>
        <v/>
      </c>
      <c r="I169" s="10">
        <f>$D$7*F169+Q169</f>
        <v/>
      </c>
      <c r="J169" s="10">
        <f>J168+$D$8*F169+K169-P169</f>
        <v/>
      </c>
      <c r="K169" s="10">
        <f>($D$9/12)*J168</f>
        <v/>
      </c>
      <c r="L169" s="9">
        <f>IF(G169=0,0,J169/(G169*$D$12))</f>
        <v/>
      </c>
      <c r="M169" s="13">
        <f>I169/G169</f>
        <v/>
      </c>
      <c r="N169" s="8">
        <f>INDEX($G$6:$G$30,MIN(INT((A169-1)/12)+1,25))</f>
        <v/>
      </c>
      <c r="O169" s="126">
        <f>G169*$D$12</f>
        <v/>
      </c>
      <c r="P169">
        <f>IF(F169=0,0,MAX(0,0.01*G169-$D$7*F169))</f>
        <v/>
      </c>
    </row>
    <row r="170">
      <c r="A170" s="7" t="n">
        <v>138</v>
      </c>
      <c r="B170" s="98">
        <f>CEILING(0.0101*G169/$D$5,1)</f>
        <v/>
      </c>
      <c r="C170" s="8">
        <f>MAX(0,MIN(MAX(0,FLOOR($D$15*D169*MAX(0,1-D169/(($D$10+SUM($N$33:N169))/$D$5)),1)),IF(A170&gt;=$D$14,IF(AND(D169&gt;0,F169&gt;0),INT(K169*D169/F169),0),1000000000),MIN(IF($D$11&gt;G169,INT(($D$11-G169)/$D$5),0)-D169,MAX(B170,INT(($D$10+SUM($N$33:N169))/$D$5)-D169))))</f>
        <v/>
      </c>
      <c r="D170" s="8">
        <f>D169+C170</f>
        <v/>
      </c>
      <c r="E170" s="8">
        <f>$D$5</f>
        <v/>
      </c>
      <c r="F170" s="8">
        <f>IF(G169&gt;=$D$11,0,MIN(D170*E170,$D$11-G169))</f>
        <v/>
      </c>
      <c r="G170" s="8">
        <f>G169+F170</f>
        <v/>
      </c>
      <c r="H170" s="10">
        <f>H169+$D$6*F170</f>
        <v/>
      </c>
      <c r="I170" s="10">
        <f>$D$7*F170+Q170</f>
        <v/>
      </c>
      <c r="J170" s="10">
        <f>J169+$D$8*F170+K170-P170</f>
        <v/>
      </c>
      <c r="K170" s="10">
        <f>($D$9/12)*J169</f>
        <v/>
      </c>
      <c r="L170" s="9">
        <f>IF(G170=0,0,J170/(G170*$D$12))</f>
        <v/>
      </c>
      <c r="M170" s="13">
        <f>I170/G170</f>
        <v/>
      </c>
      <c r="N170" s="8">
        <f>INDEX($G$6:$G$30,MIN(INT((A170-1)/12)+1,25))</f>
        <v/>
      </c>
      <c r="O170" s="126">
        <f>G170*$D$12</f>
        <v/>
      </c>
      <c r="P170">
        <f>IF(F170=0,0,MAX(0,0.01*G170-$D$7*F170))</f>
        <v/>
      </c>
    </row>
    <row r="171">
      <c r="A171" s="7" t="n">
        <v>139</v>
      </c>
      <c r="B171" s="98">
        <f>CEILING(0.0101*G170/$D$5,1)</f>
        <v/>
      </c>
      <c r="C171" s="8">
        <f>MAX(0,MIN(MAX(0,FLOOR($D$15*D170*MAX(0,1-D170/(($D$10+SUM($N$33:N170))/$D$5)),1)),IF(A171&gt;=$D$14,IF(AND(D170&gt;0,F170&gt;0),INT(K170*D170/F170),0),1000000000),MIN(IF($D$11&gt;G170,INT(($D$11-G170)/$D$5),0)-D170,MAX(B171,INT(($D$10+SUM($N$33:N170))/$D$5)-D170))))</f>
        <v/>
      </c>
      <c r="D171" s="8">
        <f>D170+C171</f>
        <v/>
      </c>
      <c r="E171" s="8">
        <f>$D$5</f>
        <v/>
      </c>
      <c r="F171" s="8">
        <f>IF(G170&gt;=$D$11,0,MIN(D171*E171,$D$11-G170))</f>
        <v/>
      </c>
      <c r="G171" s="8">
        <f>G170+F171</f>
        <v/>
      </c>
      <c r="H171" s="10">
        <f>H170+$D$6*F171</f>
        <v/>
      </c>
      <c r="I171" s="10">
        <f>$D$7*F171+Q171</f>
        <v/>
      </c>
      <c r="J171" s="10">
        <f>J170+$D$8*F171+K171-P171</f>
        <v/>
      </c>
      <c r="K171" s="10">
        <f>($D$9/12)*J170</f>
        <v/>
      </c>
      <c r="L171" s="9">
        <f>IF(G171=0,0,J171/(G171*$D$12))</f>
        <v/>
      </c>
      <c r="M171" s="13">
        <f>I171/G171</f>
        <v/>
      </c>
      <c r="N171" s="8">
        <f>INDEX($G$6:$G$30,MIN(INT((A171-1)/12)+1,25))</f>
        <v/>
      </c>
      <c r="O171" s="126">
        <f>G171*$D$12</f>
        <v/>
      </c>
      <c r="P171">
        <f>IF(F171=0,0,MAX(0,0.01*G171-$D$7*F171))</f>
        <v/>
      </c>
    </row>
    <row r="172">
      <c r="A172" s="7" t="n">
        <v>140</v>
      </c>
      <c r="B172" s="98">
        <f>CEILING(0.0101*G171/$D$5,1)</f>
        <v/>
      </c>
      <c r="C172" s="8">
        <f>MAX(0,MIN(MAX(0,FLOOR($D$15*D171*MAX(0,1-D171/(($D$10+SUM($N$33:N171))/$D$5)),1)),IF(A172&gt;=$D$14,IF(AND(D171&gt;0,F171&gt;0),INT(K171*D171/F171),0),1000000000),MIN(IF($D$11&gt;G171,INT(($D$11-G171)/$D$5),0)-D171,MAX(B172,INT(($D$10+SUM($N$33:N171))/$D$5)-D171))))</f>
        <v/>
      </c>
      <c r="D172" s="8">
        <f>D171+C172</f>
        <v/>
      </c>
      <c r="E172" s="8">
        <f>$D$5</f>
        <v/>
      </c>
      <c r="F172" s="8">
        <f>IF(G171&gt;=$D$11,0,MIN(D172*E172,$D$11-G171))</f>
        <v/>
      </c>
      <c r="G172" s="8">
        <f>G171+F172</f>
        <v/>
      </c>
      <c r="H172" s="10">
        <f>H171+$D$6*F172</f>
        <v/>
      </c>
      <c r="I172" s="10">
        <f>$D$7*F172+Q172</f>
        <v/>
      </c>
      <c r="J172" s="10">
        <f>J171+$D$8*F172+K172-P172</f>
        <v/>
      </c>
      <c r="K172" s="10">
        <f>($D$9/12)*J171</f>
        <v/>
      </c>
      <c r="L172" s="9">
        <f>IF(G172=0,0,J172/(G172*$D$12))</f>
        <v/>
      </c>
      <c r="M172" s="13">
        <f>I172/G172</f>
        <v/>
      </c>
      <c r="N172" s="8">
        <f>INDEX($G$6:$G$30,MIN(INT((A172-1)/12)+1,25))</f>
        <v/>
      </c>
      <c r="O172" s="126">
        <f>G172*$D$12</f>
        <v/>
      </c>
      <c r="P172">
        <f>IF(F172=0,0,MAX(0,0.01*G172-$D$7*F172))</f>
        <v/>
      </c>
    </row>
    <row r="173">
      <c r="A173" s="7" t="n">
        <v>141</v>
      </c>
      <c r="B173" s="98">
        <f>CEILING(0.0101*G172/$D$5,1)</f>
        <v/>
      </c>
      <c r="C173" s="8">
        <f>MAX(0,MIN(MAX(0,FLOOR($D$15*D172*MAX(0,1-D172/(($D$10+SUM($N$33:N172))/$D$5)),1)),IF(A173&gt;=$D$14,IF(AND(D172&gt;0,F172&gt;0),INT(K172*D172/F172),0),1000000000),MIN(IF($D$11&gt;G172,INT(($D$11-G172)/$D$5),0)-D172,MAX(B173,INT(($D$10+SUM($N$33:N172))/$D$5)-D172))))</f>
        <v/>
      </c>
      <c r="D173" s="8">
        <f>D172+C173</f>
        <v/>
      </c>
      <c r="E173" s="8">
        <f>$D$5</f>
        <v/>
      </c>
      <c r="F173" s="8">
        <f>IF(G172&gt;=$D$11,0,MIN(D173*E173,$D$11-G172))</f>
        <v/>
      </c>
      <c r="G173" s="8">
        <f>G172+F173</f>
        <v/>
      </c>
      <c r="H173" s="10">
        <f>H172+$D$6*F173</f>
        <v/>
      </c>
      <c r="I173" s="10">
        <f>$D$7*F173+Q173</f>
        <v/>
      </c>
      <c r="J173" s="10">
        <f>J172+$D$8*F173+K173-P173</f>
        <v/>
      </c>
      <c r="K173" s="10">
        <f>($D$9/12)*J172</f>
        <v/>
      </c>
      <c r="L173" s="9">
        <f>IF(G173=0,0,J173/(G173*$D$12))</f>
        <v/>
      </c>
      <c r="M173" s="13">
        <f>I173/G173</f>
        <v/>
      </c>
      <c r="N173" s="8">
        <f>INDEX($G$6:$G$30,MIN(INT((A173-1)/12)+1,25))</f>
        <v/>
      </c>
      <c r="O173" s="126">
        <f>G173*$D$12</f>
        <v/>
      </c>
      <c r="P173">
        <f>IF(F173=0,0,MAX(0,0.01*G173-$D$7*F173))</f>
        <v/>
      </c>
    </row>
    <row r="174">
      <c r="A174" s="7" t="n">
        <v>142</v>
      </c>
      <c r="B174" s="98">
        <f>CEILING(0.0101*G173/$D$5,1)</f>
        <v/>
      </c>
      <c r="C174" s="8">
        <f>MAX(0,MIN(MAX(0,FLOOR($D$15*D173*MAX(0,1-D173/(($D$10+SUM($N$33:N173))/$D$5)),1)),IF(A174&gt;=$D$14,IF(AND(D173&gt;0,F173&gt;0),INT(K173*D173/F173),0),1000000000),MIN(IF($D$11&gt;G173,INT(($D$11-G173)/$D$5),0)-D173,MAX(B174,INT(($D$10+SUM($N$33:N173))/$D$5)-D173))))</f>
        <v/>
      </c>
      <c r="D174" s="8">
        <f>D173+C174</f>
        <v/>
      </c>
      <c r="E174" s="8">
        <f>$D$5</f>
        <v/>
      </c>
      <c r="F174" s="8">
        <f>IF(G173&gt;=$D$11,0,MIN(D174*E174,$D$11-G173))</f>
        <v/>
      </c>
      <c r="G174" s="8">
        <f>G173+F174</f>
        <v/>
      </c>
      <c r="H174" s="10">
        <f>H173+$D$6*F174</f>
        <v/>
      </c>
      <c r="I174" s="10">
        <f>$D$7*F174+Q174</f>
        <v/>
      </c>
      <c r="J174" s="10">
        <f>J173+$D$8*F174+K174-P174</f>
        <v/>
      </c>
      <c r="K174" s="10">
        <f>($D$9/12)*J173</f>
        <v/>
      </c>
      <c r="L174" s="9">
        <f>IF(G174=0,0,J174/(G174*$D$12))</f>
        <v/>
      </c>
      <c r="M174" s="13">
        <f>I174/G174</f>
        <v/>
      </c>
      <c r="N174" s="8">
        <f>INDEX($G$6:$G$30,MIN(INT((A174-1)/12)+1,25))</f>
        <v/>
      </c>
      <c r="O174" s="126">
        <f>G174*$D$12</f>
        <v/>
      </c>
      <c r="P174">
        <f>IF(F174=0,0,MAX(0,0.01*G174-$D$7*F174))</f>
        <v/>
      </c>
    </row>
    <row r="175">
      <c r="A175" s="7" t="n">
        <v>143</v>
      </c>
      <c r="B175" s="98">
        <f>CEILING(0.0101*G174/$D$5,1)</f>
        <v/>
      </c>
      <c r="C175" s="8">
        <f>MAX(0,MIN(MAX(0,FLOOR($D$15*D174*MAX(0,1-D174/(($D$10+SUM($N$33:N174))/$D$5)),1)),IF(A175&gt;=$D$14,IF(AND(D174&gt;0,F174&gt;0),INT(K174*D174/F174),0),1000000000),MIN(IF($D$11&gt;G174,INT(($D$11-G174)/$D$5),0)-D174,MAX(B175,INT(($D$10+SUM($N$33:N174))/$D$5)-D174))))</f>
        <v/>
      </c>
      <c r="D175" s="8">
        <f>D174+C175</f>
        <v/>
      </c>
      <c r="E175" s="8">
        <f>$D$5</f>
        <v/>
      </c>
      <c r="F175" s="8">
        <f>IF(G174&gt;=$D$11,0,MIN(D175*E175,$D$11-G174))</f>
        <v/>
      </c>
      <c r="G175" s="8">
        <f>G174+F175</f>
        <v/>
      </c>
      <c r="H175" s="10">
        <f>H174+$D$6*F175</f>
        <v/>
      </c>
      <c r="I175" s="10">
        <f>$D$7*F175+Q175</f>
        <v/>
      </c>
      <c r="J175" s="10">
        <f>J174+$D$8*F175+K175-P175</f>
        <v/>
      </c>
      <c r="K175" s="10">
        <f>($D$9/12)*J174</f>
        <v/>
      </c>
      <c r="L175" s="9">
        <f>IF(G175=0,0,J175/(G175*$D$12))</f>
        <v/>
      </c>
      <c r="M175" s="13">
        <f>I175/G175</f>
        <v/>
      </c>
      <c r="N175" s="8">
        <f>INDEX($G$6:$G$30,MIN(INT((A175-1)/12)+1,25))</f>
        <v/>
      </c>
      <c r="O175" s="126">
        <f>G175*$D$12</f>
        <v/>
      </c>
      <c r="P175">
        <f>IF(F175=0,0,MAX(0,0.01*G175-$D$7*F175))</f>
        <v/>
      </c>
    </row>
    <row r="176">
      <c r="A176" s="7" t="n">
        <v>144</v>
      </c>
      <c r="B176" s="98">
        <f>CEILING(0.0101*G175/$D$5,1)</f>
        <v/>
      </c>
      <c r="C176" s="8">
        <f>MAX(0,MIN(MAX(0,FLOOR($D$15*D175*MAX(0,1-D175/(($D$10+SUM($N$33:N175))/$D$5)),1)),IF(A176&gt;=$D$14,IF(AND(D175&gt;0,F175&gt;0),INT(K175*D175/F175),0),1000000000),MIN(IF($D$11&gt;G175,INT(($D$11-G175)/$D$5),0)-D175,MAX(B176,INT(($D$10+SUM($N$33:N175))/$D$5)-D175))))</f>
        <v/>
      </c>
      <c r="D176" s="8">
        <f>D175+C176</f>
        <v/>
      </c>
      <c r="E176" s="8">
        <f>$D$5</f>
        <v/>
      </c>
      <c r="F176" s="8">
        <f>IF(G175&gt;=$D$11,0,MIN(D176*E176,$D$11-G175))</f>
        <v/>
      </c>
      <c r="G176" s="8">
        <f>G175+F176</f>
        <v/>
      </c>
      <c r="H176" s="10">
        <f>H175+$D$6*F176</f>
        <v/>
      </c>
      <c r="I176" s="10">
        <f>$D$7*F176+Q176</f>
        <v/>
      </c>
      <c r="J176" s="10">
        <f>J175+$D$8*F176+K176-P176</f>
        <v/>
      </c>
      <c r="K176" s="10">
        <f>($D$9/12)*J175</f>
        <v/>
      </c>
      <c r="L176" s="9">
        <f>IF(G176=0,0,J176/(G176*$D$12))</f>
        <v/>
      </c>
      <c r="M176" s="13">
        <f>I176/G176</f>
        <v/>
      </c>
      <c r="N176" s="8">
        <f>INDEX($G$6:$G$30,MIN(INT((A176-1)/12)+1,25))</f>
        <v/>
      </c>
      <c r="O176" s="126">
        <f>G176*$D$12</f>
        <v/>
      </c>
      <c r="P176">
        <f>IF(F176=0,0,MAX(0,0.01*G176-$D$7*F176))</f>
        <v/>
      </c>
    </row>
    <row r="177">
      <c r="A177" s="7" t="n">
        <v>145</v>
      </c>
      <c r="B177" s="98">
        <f>CEILING(0.0101*G176/$D$5,1)</f>
        <v/>
      </c>
      <c r="C177" s="8">
        <f>MAX(0,MIN(MAX(0,FLOOR($D$15*D176*MAX(0,1-D176/(($D$10+SUM($N$33:N176))/$D$5)),1)),IF(A177&gt;=$D$14,IF(AND(D176&gt;0,F176&gt;0),INT(K176*D176/F176),0),1000000000),MIN(IF($D$11&gt;G176,INT(($D$11-G176)/$D$5),0)-D176,MAX(B177,INT(($D$10+SUM($N$33:N176))/$D$5)-D176))))</f>
        <v/>
      </c>
      <c r="D177" s="8">
        <f>D176+C177</f>
        <v/>
      </c>
      <c r="E177" s="8">
        <f>$D$5</f>
        <v/>
      </c>
      <c r="F177" s="8">
        <f>IF(G176&gt;=$D$11,0,MIN(D177*E177,$D$11-G176))</f>
        <v/>
      </c>
      <c r="G177" s="8">
        <f>G176+F177</f>
        <v/>
      </c>
      <c r="H177" s="10">
        <f>H176+$D$6*F177</f>
        <v/>
      </c>
      <c r="I177" s="10">
        <f>$D$7*F177+Q177</f>
        <v/>
      </c>
      <c r="J177" s="10">
        <f>J176+$D$8*F177+K177-P177</f>
        <v/>
      </c>
      <c r="K177" s="10">
        <f>($D$9/12)*J176</f>
        <v/>
      </c>
      <c r="L177" s="9">
        <f>IF(G177=0,0,J177/(G177*$D$12))</f>
        <v/>
      </c>
      <c r="M177" s="13">
        <f>I177/G177</f>
        <v/>
      </c>
      <c r="N177" s="8">
        <f>INDEX($G$6:$G$30,MIN(INT((A177-1)/12)+1,25))</f>
        <v/>
      </c>
      <c r="O177" s="126">
        <f>G177*$D$12</f>
        <v/>
      </c>
      <c r="P177">
        <f>IF(F177=0,0,MAX(0,0.01*G177-$D$7*F177))</f>
        <v/>
      </c>
    </row>
    <row r="178">
      <c r="A178" s="7" t="n">
        <v>146</v>
      </c>
      <c r="B178" s="98">
        <f>CEILING(0.0101*G177/$D$5,1)</f>
        <v/>
      </c>
      <c r="C178" s="8">
        <f>MAX(0,MIN(MAX(0,FLOOR($D$15*D177*MAX(0,1-D177/(($D$10+SUM($N$33:N177))/$D$5)),1)),IF(A178&gt;=$D$14,IF(AND(D177&gt;0,F177&gt;0),INT(K177*D177/F177),0),1000000000),MIN(IF($D$11&gt;G177,INT(($D$11-G177)/$D$5),0)-D177,MAX(B178,INT(($D$10+SUM($N$33:N177))/$D$5)-D177))))</f>
        <v/>
      </c>
      <c r="D178" s="8">
        <f>D177+C178</f>
        <v/>
      </c>
      <c r="E178" s="8">
        <f>$D$5</f>
        <v/>
      </c>
      <c r="F178" s="8">
        <f>IF(G177&gt;=$D$11,0,MIN(D178*E178,$D$11-G177))</f>
        <v/>
      </c>
      <c r="G178" s="8">
        <f>G177+F178</f>
        <v/>
      </c>
      <c r="H178" s="10">
        <f>H177+$D$6*F178</f>
        <v/>
      </c>
      <c r="I178" s="10">
        <f>$D$7*F178+Q178</f>
        <v/>
      </c>
      <c r="J178" s="10">
        <f>J177+$D$8*F178+K178-P178</f>
        <v/>
      </c>
      <c r="K178" s="10">
        <f>($D$9/12)*J177</f>
        <v/>
      </c>
      <c r="L178" s="9">
        <f>IF(G178=0,0,J178/(G178*$D$12))</f>
        <v/>
      </c>
      <c r="M178" s="13">
        <f>I178/G178</f>
        <v/>
      </c>
      <c r="N178" s="8">
        <f>INDEX($G$6:$G$30,MIN(INT((A178-1)/12)+1,25))</f>
        <v/>
      </c>
      <c r="O178" s="126">
        <f>G178*$D$12</f>
        <v/>
      </c>
      <c r="P178">
        <f>IF(F178=0,0,MAX(0,0.01*G178-$D$7*F178))</f>
        <v/>
      </c>
    </row>
    <row r="179">
      <c r="A179" s="7" t="n">
        <v>147</v>
      </c>
      <c r="B179" s="98">
        <f>CEILING(0.0101*G178/$D$5,1)</f>
        <v/>
      </c>
      <c r="C179" s="8">
        <f>MAX(0,MIN(MAX(0,FLOOR($D$15*D178*MAX(0,1-D178/(($D$10+SUM($N$33:N178))/$D$5)),1)),IF(A179&gt;=$D$14,IF(AND(D178&gt;0,F178&gt;0),INT(K178*D178/F178),0),1000000000),MIN(IF($D$11&gt;G178,INT(($D$11-G178)/$D$5),0)-D178,MAX(B179,INT(($D$10+SUM($N$33:N178))/$D$5)-D178))))</f>
        <v/>
      </c>
      <c r="D179" s="8">
        <f>D178+C179</f>
        <v/>
      </c>
      <c r="E179" s="8">
        <f>$D$5</f>
        <v/>
      </c>
      <c r="F179" s="8">
        <f>IF(G178&gt;=$D$11,0,MIN(D179*E179,$D$11-G178))</f>
        <v/>
      </c>
      <c r="G179" s="8">
        <f>G178+F179</f>
        <v/>
      </c>
      <c r="H179" s="10">
        <f>H178+$D$6*F179</f>
        <v/>
      </c>
      <c r="I179" s="10">
        <f>$D$7*F179+Q179</f>
        <v/>
      </c>
      <c r="J179" s="10">
        <f>J178+$D$8*F179+K179-P179</f>
        <v/>
      </c>
      <c r="K179" s="10">
        <f>($D$9/12)*J178</f>
        <v/>
      </c>
      <c r="L179" s="9">
        <f>IF(G179=0,0,J179/(G179*$D$12))</f>
        <v/>
      </c>
      <c r="M179" s="13">
        <f>I179/G179</f>
        <v/>
      </c>
      <c r="N179" s="8">
        <f>INDEX($G$6:$G$30,MIN(INT((A179-1)/12)+1,25))</f>
        <v/>
      </c>
      <c r="O179" s="126">
        <f>G179*$D$12</f>
        <v/>
      </c>
      <c r="P179">
        <f>IF(F179=0,0,MAX(0,0.01*G179-$D$7*F179))</f>
        <v/>
      </c>
    </row>
    <row r="180">
      <c r="A180" s="7" t="n">
        <v>148</v>
      </c>
      <c r="B180" s="98">
        <f>CEILING(0.0101*G179/$D$5,1)</f>
        <v/>
      </c>
      <c r="C180" s="8">
        <f>MAX(0,MIN(MAX(0,FLOOR($D$15*D179*MAX(0,1-D179/(($D$10+SUM($N$33:N179))/$D$5)),1)),IF(A180&gt;=$D$14,IF(AND(D179&gt;0,F179&gt;0),INT(K179*D179/F179),0),1000000000),MIN(IF($D$11&gt;G179,INT(($D$11-G179)/$D$5),0)-D179,MAX(B180,INT(($D$10+SUM($N$33:N179))/$D$5)-D179))))</f>
        <v/>
      </c>
      <c r="D180" s="8">
        <f>D179+C180</f>
        <v/>
      </c>
      <c r="E180" s="8">
        <f>$D$5</f>
        <v/>
      </c>
      <c r="F180" s="8">
        <f>IF(G179&gt;=$D$11,0,MIN(D180*E180,$D$11-G179))</f>
        <v/>
      </c>
      <c r="G180" s="8">
        <f>G179+F180</f>
        <v/>
      </c>
      <c r="H180" s="10">
        <f>H179+$D$6*F180</f>
        <v/>
      </c>
      <c r="I180" s="10">
        <f>$D$7*F180+Q180</f>
        <v/>
      </c>
      <c r="J180" s="10">
        <f>J179+$D$8*F180+K180-P180</f>
        <v/>
      </c>
      <c r="K180" s="10">
        <f>($D$9/12)*J179</f>
        <v/>
      </c>
      <c r="L180" s="9">
        <f>IF(G180=0,0,J180/(G180*$D$12))</f>
        <v/>
      </c>
      <c r="M180" s="13">
        <f>I180/G180</f>
        <v/>
      </c>
      <c r="N180" s="8">
        <f>INDEX($G$6:$G$30,MIN(INT((A180-1)/12)+1,25))</f>
        <v/>
      </c>
      <c r="O180" s="126">
        <f>G180*$D$12</f>
        <v/>
      </c>
      <c r="P180">
        <f>IF(F180=0,0,MAX(0,0.01*G180-$D$7*F180))</f>
        <v/>
      </c>
    </row>
    <row r="181">
      <c r="A181" s="7" t="n">
        <v>149</v>
      </c>
      <c r="B181" s="98">
        <f>CEILING(0.0101*G180/$D$5,1)</f>
        <v/>
      </c>
      <c r="C181" s="8">
        <f>MAX(0,MIN(MAX(0,FLOOR($D$15*D180*MAX(0,1-D180/(($D$10+SUM($N$33:N180))/$D$5)),1)),IF(A181&gt;=$D$14,IF(AND(D180&gt;0,F180&gt;0),INT(K180*D180/F180),0),1000000000),MIN(IF($D$11&gt;G180,INT(($D$11-G180)/$D$5),0)-D180,MAX(B181,INT(($D$10+SUM($N$33:N180))/$D$5)-D180))))</f>
        <v/>
      </c>
      <c r="D181" s="8">
        <f>D180+C181</f>
        <v/>
      </c>
      <c r="E181" s="8">
        <f>$D$5</f>
        <v/>
      </c>
      <c r="F181" s="8">
        <f>IF(G180&gt;=$D$11,0,MIN(D181*E181,$D$11-G180))</f>
        <v/>
      </c>
      <c r="G181" s="8">
        <f>G180+F181</f>
        <v/>
      </c>
      <c r="H181" s="10">
        <f>H180+$D$6*F181</f>
        <v/>
      </c>
      <c r="I181" s="10">
        <f>$D$7*F181+Q181</f>
        <v/>
      </c>
      <c r="J181" s="10">
        <f>J180+$D$8*F181+K181-P181</f>
        <v/>
      </c>
      <c r="K181" s="10">
        <f>($D$9/12)*J180</f>
        <v/>
      </c>
      <c r="L181" s="9">
        <f>IF(G181=0,0,J181/(G181*$D$12))</f>
        <v/>
      </c>
      <c r="M181" s="13">
        <f>I181/G181</f>
        <v/>
      </c>
      <c r="N181" s="8">
        <f>INDEX($G$6:$G$30,MIN(INT((A181-1)/12)+1,25))</f>
        <v/>
      </c>
      <c r="O181" s="126">
        <f>G181*$D$12</f>
        <v/>
      </c>
      <c r="P181">
        <f>IF(F181=0,0,MAX(0,0.01*G181-$D$7*F181))</f>
        <v/>
      </c>
    </row>
    <row r="182">
      <c r="A182" s="7" t="n">
        <v>150</v>
      </c>
      <c r="B182" s="98">
        <f>CEILING(0.0101*G181/$D$5,1)</f>
        <v/>
      </c>
      <c r="C182" s="8">
        <f>MAX(0,MIN(MAX(0,FLOOR($D$15*D181*MAX(0,1-D181/(($D$10+SUM($N$33:N181))/$D$5)),1)),IF(A182&gt;=$D$14,IF(AND(D181&gt;0,F181&gt;0),INT(K181*D181/F181),0),1000000000),MIN(IF($D$11&gt;G181,INT(($D$11-G181)/$D$5),0)-D181,MAX(B182,INT(($D$10+SUM($N$33:N181))/$D$5)-D181))))</f>
        <v/>
      </c>
      <c r="D182" s="8">
        <f>D181+C182</f>
        <v/>
      </c>
      <c r="E182" s="8">
        <f>$D$5</f>
        <v/>
      </c>
      <c r="F182" s="8">
        <f>IF(G181&gt;=$D$11,0,MIN(D182*E182,$D$11-G181))</f>
        <v/>
      </c>
      <c r="G182" s="8">
        <f>G181+F182</f>
        <v/>
      </c>
      <c r="H182" s="10">
        <f>H181+$D$6*F182</f>
        <v/>
      </c>
      <c r="I182" s="10">
        <f>$D$7*F182+Q182</f>
        <v/>
      </c>
      <c r="J182" s="10">
        <f>J181+$D$8*F182+K182-P182</f>
        <v/>
      </c>
      <c r="K182" s="10">
        <f>($D$9/12)*J181</f>
        <v/>
      </c>
      <c r="L182" s="9">
        <f>IF(G182=0,0,J182/(G182*$D$12))</f>
        <v/>
      </c>
      <c r="M182" s="13">
        <f>I182/G182</f>
        <v/>
      </c>
      <c r="N182" s="8">
        <f>INDEX($G$6:$G$30,MIN(INT((A182-1)/12)+1,25))</f>
        <v/>
      </c>
      <c r="O182" s="126">
        <f>G182*$D$12</f>
        <v/>
      </c>
      <c r="P182">
        <f>IF(F182=0,0,MAX(0,0.01*G182-$D$7*F182))</f>
        <v/>
      </c>
    </row>
    <row r="183">
      <c r="A183" s="7" t="n">
        <v>151</v>
      </c>
      <c r="B183" s="98">
        <f>CEILING(0.0101*G182/$D$5,1)</f>
        <v/>
      </c>
      <c r="C183" s="8">
        <f>MAX(0,MIN(MAX(0,FLOOR($D$15*D182*MAX(0,1-D182/(($D$10+SUM($N$33:N182))/$D$5)),1)),IF(A183&gt;=$D$14,IF(AND(D182&gt;0,F182&gt;0),INT(K182*D182/F182),0),1000000000),MIN(IF($D$11&gt;G182,INT(($D$11-G182)/$D$5),0)-D182,MAX(B183,INT(($D$10+SUM($N$33:N182))/$D$5)-D182))))</f>
        <v/>
      </c>
      <c r="D183" s="8">
        <f>D182+C183</f>
        <v/>
      </c>
      <c r="E183" s="8">
        <f>$D$5</f>
        <v/>
      </c>
      <c r="F183" s="8">
        <f>IF(G182&gt;=$D$11,0,MIN(D183*E183,$D$11-G182))</f>
        <v/>
      </c>
      <c r="G183" s="8">
        <f>G182+F183</f>
        <v/>
      </c>
      <c r="H183" s="10">
        <f>H182+$D$6*F183</f>
        <v/>
      </c>
      <c r="I183" s="10">
        <f>$D$7*F183+Q183</f>
        <v/>
      </c>
      <c r="J183" s="10">
        <f>J182+$D$8*F183+K183-P183</f>
        <v/>
      </c>
      <c r="K183" s="10">
        <f>($D$9/12)*J182</f>
        <v/>
      </c>
      <c r="L183" s="9">
        <f>IF(G183=0,0,J183/(G183*$D$12))</f>
        <v/>
      </c>
      <c r="M183" s="13">
        <f>I183/G183</f>
        <v/>
      </c>
      <c r="N183" s="8">
        <f>INDEX($G$6:$G$30,MIN(INT((A183-1)/12)+1,25))</f>
        <v/>
      </c>
      <c r="O183" s="126">
        <f>G183*$D$12</f>
        <v/>
      </c>
      <c r="P183">
        <f>IF(F183=0,0,MAX(0,0.01*G183-$D$7*F183))</f>
        <v/>
      </c>
    </row>
    <row r="184">
      <c r="A184" s="7" t="n">
        <v>152</v>
      </c>
      <c r="B184" s="98">
        <f>CEILING(0.0101*G183/$D$5,1)</f>
        <v/>
      </c>
      <c r="C184" s="8">
        <f>MAX(0,MIN(MAX(0,FLOOR($D$15*D183*MAX(0,1-D183/(($D$10+SUM($N$33:N183))/$D$5)),1)),IF(A184&gt;=$D$14,IF(AND(D183&gt;0,F183&gt;0),INT(K183*D183/F183),0),1000000000),MIN(IF($D$11&gt;G183,INT(($D$11-G183)/$D$5),0)-D183,MAX(B184,INT(($D$10+SUM($N$33:N183))/$D$5)-D183))))</f>
        <v/>
      </c>
      <c r="D184" s="8">
        <f>D183+C184</f>
        <v/>
      </c>
      <c r="E184" s="8">
        <f>$D$5</f>
        <v/>
      </c>
      <c r="F184" s="8">
        <f>IF(G183&gt;=$D$11,0,MIN(D184*E184,$D$11-G183))</f>
        <v/>
      </c>
      <c r="G184" s="8">
        <f>G183+F184</f>
        <v/>
      </c>
      <c r="H184" s="10">
        <f>H183+$D$6*F184</f>
        <v/>
      </c>
      <c r="I184" s="10">
        <f>$D$7*F184+Q184</f>
        <v/>
      </c>
      <c r="J184" s="10">
        <f>J183+$D$8*F184+K184-P184</f>
        <v/>
      </c>
      <c r="K184" s="10">
        <f>($D$9/12)*J183</f>
        <v/>
      </c>
      <c r="L184" s="9">
        <f>IF(G184=0,0,J184/(G184*$D$12))</f>
        <v/>
      </c>
      <c r="M184" s="13">
        <f>I184/G184</f>
        <v/>
      </c>
      <c r="N184" s="8">
        <f>INDEX($G$6:$G$30,MIN(INT((A184-1)/12)+1,25))</f>
        <v/>
      </c>
      <c r="O184" s="126">
        <f>G184*$D$12</f>
        <v/>
      </c>
      <c r="P184">
        <f>IF(F184=0,0,MAX(0,0.01*G184-$D$7*F184))</f>
        <v/>
      </c>
    </row>
    <row r="185">
      <c r="A185" s="7" t="n">
        <v>153</v>
      </c>
      <c r="B185" s="98">
        <f>CEILING(0.0101*G184/$D$5,1)</f>
        <v/>
      </c>
      <c r="C185" s="8">
        <f>MAX(0,MIN(MAX(0,FLOOR($D$15*D184*MAX(0,1-D184/(($D$10+SUM($N$33:N184))/$D$5)),1)),IF(A185&gt;=$D$14,IF(AND(D184&gt;0,F184&gt;0),INT(K184*D184/F184),0),1000000000),MIN(IF($D$11&gt;G184,INT(($D$11-G184)/$D$5),0)-D184,MAX(B185,INT(($D$10+SUM($N$33:N184))/$D$5)-D184))))</f>
        <v/>
      </c>
      <c r="D185" s="8">
        <f>D184+C185</f>
        <v/>
      </c>
      <c r="E185" s="8">
        <f>$D$5</f>
        <v/>
      </c>
      <c r="F185" s="8">
        <f>IF(G184&gt;=$D$11,0,MIN(D185*E185,$D$11-G184))</f>
        <v/>
      </c>
      <c r="G185" s="8">
        <f>G184+F185</f>
        <v/>
      </c>
      <c r="H185" s="10">
        <f>H184+$D$6*F185</f>
        <v/>
      </c>
      <c r="I185" s="10">
        <f>$D$7*F185+Q185</f>
        <v/>
      </c>
      <c r="J185" s="10">
        <f>J184+$D$8*F185+K185-P185</f>
        <v/>
      </c>
      <c r="K185" s="10">
        <f>($D$9/12)*J184</f>
        <v/>
      </c>
      <c r="L185" s="9">
        <f>IF(G185=0,0,J185/(G185*$D$12))</f>
        <v/>
      </c>
      <c r="M185" s="13">
        <f>I185/G185</f>
        <v/>
      </c>
      <c r="N185" s="8">
        <f>INDEX($G$6:$G$30,MIN(INT((A185-1)/12)+1,25))</f>
        <v/>
      </c>
      <c r="O185" s="126">
        <f>G185*$D$12</f>
        <v/>
      </c>
      <c r="P185">
        <f>IF(F185=0,0,MAX(0,0.01*G185-$D$7*F185))</f>
        <v/>
      </c>
    </row>
    <row r="186">
      <c r="A186" s="7" t="n">
        <v>154</v>
      </c>
      <c r="B186" s="98">
        <f>CEILING(0.0101*G185/$D$5,1)</f>
        <v/>
      </c>
      <c r="C186" s="8">
        <f>MAX(0,MIN(MAX(0,FLOOR($D$15*D185*MAX(0,1-D185/(($D$10+SUM($N$33:N185))/$D$5)),1)),IF(A186&gt;=$D$14,IF(AND(D185&gt;0,F185&gt;0),INT(K185*D185/F185),0),1000000000),MIN(IF($D$11&gt;G185,INT(($D$11-G185)/$D$5),0)-D185,MAX(B186,INT(($D$10+SUM($N$33:N185))/$D$5)-D185))))</f>
        <v/>
      </c>
      <c r="D186" s="8">
        <f>D185+C186</f>
        <v/>
      </c>
      <c r="E186" s="8">
        <f>$D$5</f>
        <v/>
      </c>
      <c r="F186" s="8">
        <f>IF(G185&gt;=$D$11,0,MIN(D186*E186,$D$11-G185))</f>
        <v/>
      </c>
      <c r="G186" s="8">
        <f>G185+F186</f>
        <v/>
      </c>
      <c r="H186" s="10">
        <f>H185+$D$6*F186</f>
        <v/>
      </c>
      <c r="I186" s="10">
        <f>$D$7*F186+Q186</f>
        <v/>
      </c>
      <c r="J186" s="10">
        <f>J185+$D$8*F186+K186-P186</f>
        <v/>
      </c>
      <c r="K186" s="10">
        <f>($D$9/12)*J185</f>
        <v/>
      </c>
      <c r="L186" s="9">
        <f>IF(G186=0,0,J186/(G186*$D$12))</f>
        <v/>
      </c>
      <c r="M186" s="13">
        <f>I186/G186</f>
        <v/>
      </c>
      <c r="N186" s="8">
        <f>INDEX($G$6:$G$30,MIN(INT((A186-1)/12)+1,25))</f>
        <v/>
      </c>
      <c r="O186" s="126">
        <f>G186*$D$12</f>
        <v/>
      </c>
      <c r="P186">
        <f>IF(F186=0,0,MAX(0,0.01*G186-$D$7*F186))</f>
        <v/>
      </c>
    </row>
    <row r="187">
      <c r="A187" s="7" t="n">
        <v>155</v>
      </c>
      <c r="B187" s="98">
        <f>CEILING(0.0101*G186/$D$5,1)</f>
        <v/>
      </c>
      <c r="C187" s="8">
        <f>MAX(0,MIN(MAX(0,FLOOR($D$15*D186*MAX(0,1-D186/(($D$10+SUM($N$33:N186))/$D$5)),1)),IF(A187&gt;=$D$14,IF(AND(D186&gt;0,F186&gt;0),INT(K186*D186/F186),0),1000000000),MIN(IF($D$11&gt;G186,INT(($D$11-G186)/$D$5),0)-D186,MAX(B187,INT(($D$10+SUM($N$33:N186))/$D$5)-D186))))</f>
        <v/>
      </c>
      <c r="D187" s="8">
        <f>D186+C187</f>
        <v/>
      </c>
      <c r="E187" s="8">
        <f>$D$5</f>
        <v/>
      </c>
      <c r="F187" s="8">
        <f>IF(G186&gt;=$D$11,0,MIN(D187*E187,$D$11-G186))</f>
        <v/>
      </c>
      <c r="G187" s="8">
        <f>G186+F187</f>
        <v/>
      </c>
      <c r="H187" s="10">
        <f>H186+$D$6*F187</f>
        <v/>
      </c>
      <c r="I187" s="10">
        <f>$D$7*F187+Q187</f>
        <v/>
      </c>
      <c r="J187" s="10">
        <f>J186+$D$8*F187+K187-P187</f>
        <v/>
      </c>
      <c r="K187" s="10">
        <f>($D$9/12)*J186</f>
        <v/>
      </c>
      <c r="L187" s="9">
        <f>IF(G187=0,0,J187/(G187*$D$12))</f>
        <v/>
      </c>
      <c r="M187" s="13">
        <f>I187/G187</f>
        <v/>
      </c>
      <c r="N187" s="8">
        <f>INDEX($G$6:$G$30,MIN(INT((A187-1)/12)+1,25))</f>
        <v/>
      </c>
      <c r="O187" s="126">
        <f>G187*$D$12</f>
        <v/>
      </c>
      <c r="P187">
        <f>IF(F187=0,0,MAX(0,0.01*G187-$D$7*F187))</f>
        <v/>
      </c>
    </row>
    <row r="188">
      <c r="A188" s="7" t="n">
        <v>156</v>
      </c>
      <c r="B188" s="98">
        <f>CEILING(0.0101*G187/$D$5,1)</f>
        <v/>
      </c>
      <c r="C188" s="8">
        <f>MAX(0,MIN(MAX(0,FLOOR($D$15*D187*MAX(0,1-D187/(($D$10+SUM($N$33:N187))/$D$5)),1)),IF(A188&gt;=$D$14,IF(AND(D187&gt;0,F187&gt;0),INT(K187*D187/F187),0),1000000000),MIN(IF($D$11&gt;G187,INT(($D$11-G187)/$D$5),0)-D187,MAX(B188,INT(($D$10+SUM($N$33:N187))/$D$5)-D187))))</f>
        <v/>
      </c>
      <c r="D188" s="8">
        <f>D187+C188</f>
        <v/>
      </c>
      <c r="E188" s="8">
        <f>$D$5</f>
        <v/>
      </c>
      <c r="F188" s="8">
        <f>IF(G187&gt;=$D$11,0,MIN(D188*E188,$D$11-G187))</f>
        <v/>
      </c>
      <c r="G188" s="8">
        <f>G187+F188</f>
        <v/>
      </c>
      <c r="H188" s="10">
        <f>H187+$D$6*F188</f>
        <v/>
      </c>
      <c r="I188" s="10">
        <f>$D$7*F188+Q188</f>
        <v/>
      </c>
      <c r="J188" s="10">
        <f>J187+$D$8*F188+K188-P188</f>
        <v/>
      </c>
      <c r="K188" s="10">
        <f>($D$9/12)*J187</f>
        <v/>
      </c>
      <c r="L188" s="9">
        <f>IF(G188=0,0,J188/(G188*$D$12))</f>
        <v/>
      </c>
      <c r="M188" s="13">
        <f>I188/G188</f>
        <v/>
      </c>
      <c r="N188" s="8">
        <f>INDEX($G$6:$G$30,MIN(INT((A188-1)/12)+1,25))</f>
        <v/>
      </c>
      <c r="O188" s="126">
        <f>G188*$D$12</f>
        <v/>
      </c>
      <c r="P188">
        <f>IF(F188=0,0,MAX(0,0.01*G188-$D$7*F188))</f>
        <v/>
      </c>
    </row>
    <row r="189">
      <c r="A189" s="7" t="n">
        <v>157</v>
      </c>
      <c r="B189" s="98">
        <f>CEILING(0.0101*G188/$D$5,1)</f>
        <v/>
      </c>
      <c r="C189" s="8">
        <f>MAX(0,MIN(MAX(0,FLOOR($D$15*D188*MAX(0,1-D188/(($D$10+SUM($N$33:N188))/$D$5)),1)),IF(A189&gt;=$D$14,IF(AND(D188&gt;0,F188&gt;0),INT(K188*D188/F188),0),1000000000),MIN(IF($D$11&gt;G188,INT(($D$11-G188)/$D$5),0)-D188,MAX(B189,INT(($D$10+SUM($N$33:N188))/$D$5)-D188))))</f>
        <v/>
      </c>
      <c r="D189" s="8">
        <f>D188+C189</f>
        <v/>
      </c>
      <c r="E189" s="8">
        <f>$D$5</f>
        <v/>
      </c>
      <c r="F189" s="8">
        <f>IF(G188&gt;=$D$11,0,MIN(D189*E189,$D$11-G188))</f>
        <v/>
      </c>
      <c r="G189" s="8">
        <f>G188+F189</f>
        <v/>
      </c>
      <c r="H189" s="10">
        <f>H188+$D$6*F189</f>
        <v/>
      </c>
      <c r="I189" s="10">
        <f>$D$7*F189+Q189</f>
        <v/>
      </c>
      <c r="J189" s="10">
        <f>J188+$D$8*F189+K189-P189</f>
        <v/>
      </c>
      <c r="K189" s="10">
        <f>($D$9/12)*J188</f>
        <v/>
      </c>
      <c r="L189" s="9">
        <f>IF(G189=0,0,J189/(G189*$D$12))</f>
        <v/>
      </c>
      <c r="M189" s="13">
        <f>I189/G189</f>
        <v/>
      </c>
      <c r="N189" s="8">
        <f>INDEX($G$6:$G$30,MIN(INT((A189-1)/12)+1,25))</f>
        <v/>
      </c>
      <c r="O189" s="126">
        <f>G189*$D$12</f>
        <v/>
      </c>
      <c r="P189">
        <f>IF(F189=0,0,MAX(0,0.01*G189-$D$7*F189))</f>
        <v/>
      </c>
    </row>
    <row r="190">
      <c r="A190" s="7" t="n">
        <v>158</v>
      </c>
      <c r="B190" s="98">
        <f>CEILING(0.0101*G189/$D$5,1)</f>
        <v/>
      </c>
      <c r="C190" s="8">
        <f>MAX(0,MIN(MAX(0,FLOOR($D$15*D189*MAX(0,1-D189/(($D$10+SUM($N$33:N189))/$D$5)),1)),IF(A190&gt;=$D$14,IF(AND(D189&gt;0,F189&gt;0),INT(K189*D189/F189),0),1000000000),MIN(IF($D$11&gt;G189,INT(($D$11-G189)/$D$5),0)-D189,MAX(B190,INT(($D$10+SUM($N$33:N189))/$D$5)-D189))))</f>
        <v/>
      </c>
      <c r="D190" s="8">
        <f>D189+C190</f>
        <v/>
      </c>
      <c r="E190" s="8">
        <f>$D$5</f>
        <v/>
      </c>
      <c r="F190" s="8">
        <f>IF(G189&gt;=$D$11,0,MIN(D190*E190,$D$11-G189))</f>
        <v/>
      </c>
      <c r="G190" s="8">
        <f>G189+F190</f>
        <v/>
      </c>
      <c r="H190" s="10">
        <f>H189+$D$6*F190</f>
        <v/>
      </c>
      <c r="I190" s="10">
        <f>$D$7*F190+Q190</f>
        <v/>
      </c>
      <c r="J190" s="10">
        <f>J189+$D$8*F190+K190-P190</f>
        <v/>
      </c>
      <c r="K190" s="10">
        <f>($D$9/12)*J189</f>
        <v/>
      </c>
      <c r="L190" s="9">
        <f>IF(G190=0,0,J190/(G190*$D$12))</f>
        <v/>
      </c>
      <c r="M190" s="13">
        <f>I190/G190</f>
        <v/>
      </c>
      <c r="N190" s="8">
        <f>INDEX($G$6:$G$30,MIN(INT((A190-1)/12)+1,25))</f>
        <v/>
      </c>
      <c r="O190" s="126">
        <f>G190*$D$12</f>
        <v/>
      </c>
      <c r="P190">
        <f>IF(F190=0,0,MAX(0,0.01*G190-$D$7*F190))</f>
        <v/>
      </c>
    </row>
    <row r="191">
      <c r="A191" s="7" t="n">
        <v>159</v>
      </c>
      <c r="B191" s="98">
        <f>CEILING(0.0101*G190/$D$5,1)</f>
        <v/>
      </c>
      <c r="C191" s="8">
        <f>MAX(0,MIN(MAX(0,FLOOR($D$15*D190*MAX(0,1-D190/(($D$10+SUM($N$33:N190))/$D$5)),1)),IF(A191&gt;=$D$14,IF(AND(D190&gt;0,F190&gt;0),INT(K190*D190/F190),0),1000000000),MIN(IF($D$11&gt;G190,INT(($D$11-G190)/$D$5),0)-D190,MAX(B191,INT(($D$10+SUM($N$33:N190))/$D$5)-D190))))</f>
        <v/>
      </c>
      <c r="D191" s="8">
        <f>D190+C191</f>
        <v/>
      </c>
      <c r="E191" s="8">
        <f>$D$5</f>
        <v/>
      </c>
      <c r="F191" s="8">
        <f>IF(G190&gt;=$D$11,0,MIN(D191*E191,$D$11-G190))</f>
        <v/>
      </c>
      <c r="G191" s="8">
        <f>G190+F191</f>
        <v/>
      </c>
      <c r="H191" s="10">
        <f>H190+$D$6*F191</f>
        <v/>
      </c>
      <c r="I191" s="10">
        <f>$D$7*F191+Q191</f>
        <v/>
      </c>
      <c r="J191" s="10">
        <f>J190+$D$8*F191+K191-P191</f>
        <v/>
      </c>
      <c r="K191" s="10">
        <f>($D$9/12)*J190</f>
        <v/>
      </c>
      <c r="L191" s="9">
        <f>IF(G191=0,0,J191/(G191*$D$12))</f>
        <v/>
      </c>
      <c r="M191" s="13">
        <f>I191/G191</f>
        <v/>
      </c>
      <c r="N191" s="8">
        <f>INDEX($G$6:$G$30,MIN(INT((A191-1)/12)+1,25))</f>
        <v/>
      </c>
      <c r="O191" s="126">
        <f>G191*$D$12</f>
        <v/>
      </c>
      <c r="P191">
        <f>IF(F191=0,0,MAX(0,0.01*G191-$D$7*F191))</f>
        <v/>
      </c>
    </row>
    <row r="192">
      <c r="A192" s="7" t="n">
        <v>160</v>
      </c>
      <c r="B192" s="98">
        <f>CEILING(0.0101*G191/$D$5,1)</f>
        <v/>
      </c>
      <c r="C192" s="8">
        <f>MAX(0,MIN(MAX(0,FLOOR($D$15*D191*MAX(0,1-D191/(($D$10+SUM($N$33:N191))/$D$5)),1)),IF(A192&gt;=$D$14,IF(AND(D191&gt;0,F191&gt;0),INT(K191*D191/F191),0),1000000000),MIN(IF($D$11&gt;G191,INT(($D$11-G191)/$D$5),0)-D191,MAX(B192,INT(($D$10+SUM($N$33:N191))/$D$5)-D191))))</f>
        <v/>
      </c>
      <c r="D192" s="8">
        <f>D191+C192</f>
        <v/>
      </c>
      <c r="E192" s="8">
        <f>$D$5</f>
        <v/>
      </c>
      <c r="F192" s="8">
        <f>IF(G191&gt;=$D$11,0,MIN(D192*E192,$D$11-G191))</f>
        <v/>
      </c>
      <c r="G192" s="8">
        <f>G191+F192</f>
        <v/>
      </c>
      <c r="H192" s="10">
        <f>H191+$D$6*F192</f>
        <v/>
      </c>
      <c r="I192" s="10">
        <f>$D$7*F192+Q192</f>
        <v/>
      </c>
      <c r="J192" s="10">
        <f>J191+$D$8*F192+K192-P192</f>
        <v/>
      </c>
      <c r="K192" s="10">
        <f>($D$9/12)*J191</f>
        <v/>
      </c>
      <c r="L192" s="9">
        <f>IF(G192=0,0,J192/(G192*$D$12))</f>
        <v/>
      </c>
      <c r="M192" s="13">
        <f>I192/G192</f>
        <v/>
      </c>
      <c r="N192" s="8">
        <f>INDEX($G$6:$G$30,MIN(INT((A192-1)/12)+1,25))</f>
        <v/>
      </c>
      <c r="O192" s="126">
        <f>G192*$D$12</f>
        <v/>
      </c>
      <c r="P192">
        <f>IF(F192=0,0,MAX(0,0.01*G192-$D$7*F192))</f>
        <v/>
      </c>
    </row>
    <row r="193">
      <c r="A193" s="7" t="n">
        <v>161</v>
      </c>
      <c r="B193" s="98">
        <f>CEILING(0.0101*G192/$D$5,1)</f>
        <v/>
      </c>
      <c r="C193" s="8">
        <f>MAX(0,MIN(MAX(0,FLOOR($D$15*D192*MAX(0,1-D192/(($D$10+SUM($N$33:N192))/$D$5)),1)),IF(A193&gt;=$D$14,IF(AND(D192&gt;0,F192&gt;0),INT(K192*D192/F192),0),1000000000),MIN(IF($D$11&gt;G192,INT(($D$11-G192)/$D$5),0)-D192,MAX(B193,INT(($D$10+SUM($N$33:N192))/$D$5)-D192))))</f>
        <v/>
      </c>
      <c r="D193" s="8">
        <f>D192+C193</f>
        <v/>
      </c>
      <c r="E193" s="8">
        <f>$D$5</f>
        <v/>
      </c>
      <c r="F193" s="8">
        <f>IF(G192&gt;=$D$11,0,MIN(D193*E193,$D$11-G192))</f>
        <v/>
      </c>
      <c r="G193" s="8">
        <f>G192+F193</f>
        <v/>
      </c>
      <c r="H193" s="10">
        <f>H192+$D$6*F193</f>
        <v/>
      </c>
      <c r="I193" s="10">
        <f>$D$7*F193+Q193</f>
        <v/>
      </c>
      <c r="J193" s="10">
        <f>J192+$D$8*F193+K193-P193</f>
        <v/>
      </c>
      <c r="K193" s="10">
        <f>($D$9/12)*J192</f>
        <v/>
      </c>
      <c r="L193" s="9">
        <f>IF(G193=0,0,J193/(G193*$D$12))</f>
        <v/>
      </c>
      <c r="M193" s="13">
        <f>I193/G193</f>
        <v/>
      </c>
      <c r="N193" s="8">
        <f>INDEX($G$6:$G$30,MIN(INT((A193-1)/12)+1,25))</f>
        <v/>
      </c>
      <c r="O193" s="126">
        <f>G193*$D$12</f>
        <v/>
      </c>
      <c r="P193">
        <f>IF(F193=0,0,MAX(0,0.01*G193-$D$7*F193))</f>
        <v/>
      </c>
    </row>
    <row r="194">
      <c r="A194" s="7" t="n">
        <v>162</v>
      </c>
      <c r="B194" s="98">
        <f>CEILING(0.0101*G193/$D$5,1)</f>
        <v/>
      </c>
      <c r="C194" s="8">
        <f>MAX(0,MIN(MAX(0,FLOOR($D$15*D193*MAX(0,1-D193/(($D$10+SUM($N$33:N193))/$D$5)),1)),IF(A194&gt;=$D$14,IF(AND(D193&gt;0,F193&gt;0),INT(K193*D193/F193),0),1000000000),MIN(IF($D$11&gt;G193,INT(($D$11-G193)/$D$5),0)-D193,MAX(B194,INT(($D$10+SUM($N$33:N193))/$D$5)-D193))))</f>
        <v/>
      </c>
      <c r="D194" s="8">
        <f>D193+C194</f>
        <v/>
      </c>
      <c r="E194" s="8">
        <f>$D$5</f>
        <v/>
      </c>
      <c r="F194" s="8">
        <f>IF(G193&gt;=$D$11,0,MIN(D194*E194,$D$11-G193))</f>
        <v/>
      </c>
      <c r="G194" s="8">
        <f>G193+F194</f>
        <v/>
      </c>
      <c r="H194" s="10">
        <f>H193+$D$6*F194</f>
        <v/>
      </c>
      <c r="I194" s="10">
        <f>$D$7*F194+Q194</f>
        <v/>
      </c>
      <c r="J194" s="10">
        <f>J193+$D$8*F194+K194-P194</f>
        <v/>
      </c>
      <c r="K194" s="10">
        <f>($D$9/12)*J193</f>
        <v/>
      </c>
      <c r="L194" s="9">
        <f>IF(G194=0,0,J194/(G194*$D$12))</f>
        <v/>
      </c>
      <c r="M194" s="13">
        <f>I194/G194</f>
        <v/>
      </c>
      <c r="N194" s="8">
        <f>INDEX($G$6:$G$30,MIN(INT((A194-1)/12)+1,25))</f>
        <v/>
      </c>
      <c r="O194" s="126">
        <f>G194*$D$12</f>
        <v/>
      </c>
      <c r="P194">
        <f>IF(F194=0,0,MAX(0,0.01*G194-$D$7*F194))</f>
        <v/>
      </c>
    </row>
    <row r="195">
      <c r="A195" s="7" t="n">
        <v>163</v>
      </c>
      <c r="B195" s="98">
        <f>CEILING(0.0101*G194/$D$5,1)</f>
        <v/>
      </c>
      <c r="C195" s="8">
        <f>MAX(0,MIN(MAX(0,FLOOR($D$15*D194*MAX(0,1-D194/(($D$10+SUM($N$33:N194))/$D$5)),1)),IF(A195&gt;=$D$14,IF(AND(D194&gt;0,F194&gt;0),INT(K194*D194/F194),0),1000000000),MIN(IF($D$11&gt;G194,INT(($D$11-G194)/$D$5),0)-D194,MAX(B195,INT(($D$10+SUM($N$33:N194))/$D$5)-D194))))</f>
        <v/>
      </c>
      <c r="D195" s="8">
        <f>D194+C195</f>
        <v/>
      </c>
      <c r="E195" s="8">
        <f>$D$5</f>
        <v/>
      </c>
      <c r="F195" s="8">
        <f>IF(G194&gt;=$D$11,0,MIN(D195*E195,$D$11-G194))</f>
        <v/>
      </c>
      <c r="G195" s="8">
        <f>G194+F195</f>
        <v/>
      </c>
      <c r="H195" s="10">
        <f>H194+$D$6*F195</f>
        <v/>
      </c>
      <c r="I195" s="10">
        <f>$D$7*F195+Q195</f>
        <v/>
      </c>
      <c r="J195" s="10">
        <f>J194+$D$8*F195+K195-P195</f>
        <v/>
      </c>
      <c r="K195" s="10">
        <f>($D$9/12)*J194</f>
        <v/>
      </c>
      <c r="L195" s="9">
        <f>IF(G195=0,0,J195/(G195*$D$12))</f>
        <v/>
      </c>
      <c r="M195" s="13">
        <f>I195/G195</f>
        <v/>
      </c>
      <c r="N195" s="8">
        <f>INDEX($G$6:$G$30,MIN(INT((A195-1)/12)+1,25))</f>
        <v/>
      </c>
      <c r="O195" s="126">
        <f>G195*$D$12</f>
        <v/>
      </c>
      <c r="P195">
        <f>IF(F195=0,0,MAX(0,0.01*G195-$D$7*F195))</f>
        <v/>
      </c>
    </row>
    <row r="196">
      <c r="A196" s="7" t="n">
        <v>164</v>
      </c>
      <c r="B196" s="98">
        <f>CEILING(0.0101*G195/$D$5,1)</f>
        <v/>
      </c>
      <c r="C196" s="8">
        <f>MAX(0,MIN(MAX(0,FLOOR($D$15*D195*MAX(0,1-D195/(($D$10+SUM($N$33:N195))/$D$5)),1)),IF(A196&gt;=$D$14,IF(AND(D195&gt;0,F195&gt;0),INT(K195*D195/F195),0),1000000000),MIN(IF($D$11&gt;G195,INT(($D$11-G195)/$D$5),0)-D195,MAX(B196,INT(($D$10+SUM($N$33:N195))/$D$5)-D195))))</f>
        <v/>
      </c>
      <c r="D196" s="8">
        <f>D195+C196</f>
        <v/>
      </c>
      <c r="E196" s="8">
        <f>$D$5</f>
        <v/>
      </c>
      <c r="F196" s="8">
        <f>IF(G195&gt;=$D$11,0,MIN(D196*E196,$D$11-G195))</f>
        <v/>
      </c>
      <c r="G196" s="8">
        <f>G195+F196</f>
        <v/>
      </c>
      <c r="H196" s="10">
        <f>H195+$D$6*F196</f>
        <v/>
      </c>
      <c r="I196" s="10">
        <f>$D$7*F196+Q196</f>
        <v/>
      </c>
      <c r="J196" s="10">
        <f>J195+$D$8*F196+K196-P196</f>
        <v/>
      </c>
      <c r="K196" s="10">
        <f>($D$9/12)*J195</f>
        <v/>
      </c>
      <c r="L196" s="9">
        <f>IF(G196=0,0,J196/(G196*$D$12))</f>
        <v/>
      </c>
      <c r="M196" s="13">
        <f>I196/G196</f>
        <v/>
      </c>
      <c r="N196" s="8">
        <f>INDEX($G$6:$G$30,MIN(INT((A196-1)/12)+1,25))</f>
        <v/>
      </c>
      <c r="O196" s="126">
        <f>G196*$D$12</f>
        <v/>
      </c>
      <c r="P196">
        <f>IF(F196=0,0,MAX(0,0.01*G196-$D$7*F196))</f>
        <v/>
      </c>
    </row>
    <row r="197">
      <c r="A197" s="7" t="n">
        <v>165</v>
      </c>
      <c r="B197" s="98">
        <f>CEILING(0.0101*G196/$D$5,1)</f>
        <v/>
      </c>
      <c r="C197" s="8">
        <f>MAX(0,MIN(MAX(0,FLOOR($D$15*D196*MAX(0,1-D196/(($D$10+SUM($N$33:N196))/$D$5)),1)),IF(A197&gt;=$D$14,IF(AND(D196&gt;0,F196&gt;0),INT(K196*D196/F196),0),1000000000),MIN(IF($D$11&gt;G196,INT(($D$11-G196)/$D$5),0)-D196,MAX(B197,INT(($D$10+SUM($N$33:N196))/$D$5)-D196))))</f>
        <v/>
      </c>
      <c r="D197" s="8">
        <f>D196+C197</f>
        <v/>
      </c>
      <c r="E197" s="8">
        <f>$D$5</f>
        <v/>
      </c>
      <c r="F197" s="8">
        <f>IF(G196&gt;=$D$11,0,MIN(D197*E197,$D$11-G196))</f>
        <v/>
      </c>
      <c r="G197" s="8">
        <f>G196+F197</f>
        <v/>
      </c>
      <c r="H197" s="10">
        <f>H196+$D$6*F197</f>
        <v/>
      </c>
      <c r="I197" s="10">
        <f>$D$7*F197+Q197</f>
        <v/>
      </c>
      <c r="J197" s="10">
        <f>J196+$D$8*F197+K197-P197</f>
        <v/>
      </c>
      <c r="K197" s="10">
        <f>($D$9/12)*J196</f>
        <v/>
      </c>
      <c r="L197" s="9">
        <f>IF(G197=0,0,J197/(G197*$D$12))</f>
        <v/>
      </c>
      <c r="M197" s="13">
        <f>I197/G197</f>
        <v/>
      </c>
      <c r="N197" s="8">
        <f>INDEX($G$6:$G$30,MIN(INT((A197-1)/12)+1,25))</f>
        <v/>
      </c>
      <c r="O197" s="126">
        <f>G197*$D$12</f>
        <v/>
      </c>
      <c r="P197">
        <f>IF(F197=0,0,MAX(0,0.01*G197-$D$7*F197))</f>
        <v/>
      </c>
    </row>
    <row r="198">
      <c r="A198" s="7" t="n">
        <v>166</v>
      </c>
      <c r="B198" s="98">
        <f>CEILING(0.0101*G197/$D$5,1)</f>
        <v/>
      </c>
      <c r="C198" s="8">
        <f>MAX(0,MIN(MAX(0,FLOOR($D$15*D197*MAX(0,1-D197/(($D$10+SUM($N$33:N197))/$D$5)),1)),IF(A198&gt;=$D$14,IF(AND(D197&gt;0,F197&gt;0),INT(K197*D197/F197),0),1000000000),MIN(IF($D$11&gt;G197,INT(($D$11-G197)/$D$5),0)-D197,MAX(B198,INT(($D$10+SUM($N$33:N197))/$D$5)-D197))))</f>
        <v/>
      </c>
      <c r="D198" s="8">
        <f>D197+C198</f>
        <v/>
      </c>
      <c r="E198" s="8">
        <f>$D$5</f>
        <v/>
      </c>
      <c r="F198" s="8">
        <f>IF(G197&gt;=$D$11,0,MIN(D198*E198,$D$11-G197))</f>
        <v/>
      </c>
      <c r="G198" s="8">
        <f>G197+F198</f>
        <v/>
      </c>
      <c r="H198" s="10">
        <f>H197+$D$6*F198</f>
        <v/>
      </c>
      <c r="I198" s="10">
        <f>$D$7*F198+Q198</f>
        <v/>
      </c>
      <c r="J198" s="10">
        <f>J197+$D$8*F198+K198-P198</f>
        <v/>
      </c>
      <c r="K198" s="10">
        <f>($D$9/12)*J197</f>
        <v/>
      </c>
      <c r="L198" s="9">
        <f>IF(G198=0,0,J198/(G198*$D$12))</f>
        <v/>
      </c>
      <c r="M198" s="13">
        <f>I198/G198</f>
        <v/>
      </c>
      <c r="N198" s="8">
        <f>INDEX($G$6:$G$30,MIN(INT((A198-1)/12)+1,25))</f>
        <v/>
      </c>
      <c r="O198" s="126">
        <f>G198*$D$12</f>
        <v/>
      </c>
      <c r="P198">
        <f>IF(F198=0,0,MAX(0,0.01*G198-$D$7*F198))</f>
        <v/>
      </c>
    </row>
    <row r="199">
      <c r="A199" s="7" t="n">
        <v>167</v>
      </c>
      <c r="B199" s="98">
        <f>CEILING(0.0101*G198/$D$5,1)</f>
        <v/>
      </c>
      <c r="C199" s="8">
        <f>MAX(0,MIN(MAX(0,FLOOR($D$15*D198*MAX(0,1-D198/(($D$10+SUM($N$33:N198))/$D$5)),1)),IF(A199&gt;=$D$14,IF(AND(D198&gt;0,F198&gt;0),INT(K198*D198/F198),0),1000000000),MIN(IF($D$11&gt;G198,INT(($D$11-G198)/$D$5),0)-D198,MAX(B199,INT(($D$10+SUM($N$33:N198))/$D$5)-D198))))</f>
        <v/>
      </c>
      <c r="D199" s="8">
        <f>D198+C199</f>
        <v/>
      </c>
      <c r="E199" s="8">
        <f>$D$5</f>
        <v/>
      </c>
      <c r="F199" s="8">
        <f>IF(G198&gt;=$D$11,0,MIN(D199*E199,$D$11-G198))</f>
        <v/>
      </c>
      <c r="G199" s="8">
        <f>G198+F199</f>
        <v/>
      </c>
      <c r="H199" s="10">
        <f>H198+$D$6*F199</f>
        <v/>
      </c>
      <c r="I199" s="10">
        <f>$D$7*F199+Q199</f>
        <v/>
      </c>
      <c r="J199" s="10">
        <f>J198+$D$8*F199+K199-P199</f>
        <v/>
      </c>
      <c r="K199" s="10">
        <f>($D$9/12)*J198</f>
        <v/>
      </c>
      <c r="L199" s="9">
        <f>IF(G199=0,0,J199/(G199*$D$12))</f>
        <v/>
      </c>
      <c r="M199" s="13">
        <f>I199/G199</f>
        <v/>
      </c>
      <c r="N199" s="8">
        <f>INDEX($G$6:$G$30,MIN(INT((A199-1)/12)+1,25))</f>
        <v/>
      </c>
      <c r="O199" s="126">
        <f>G199*$D$12</f>
        <v/>
      </c>
      <c r="P199">
        <f>IF(F199=0,0,MAX(0,0.01*G199-$D$7*F199))</f>
        <v/>
      </c>
    </row>
    <row r="200">
      <c r="A200" s="7" t="n">
        <v>168</v>
      </c>
      <c r="B200" s="98">
        <f>CEILING(0.0101*G199/$D$5,1)</f>
        <v/>
      </c>
      <c r="C200" s="8">
        <f>MAX(0,MIN(MAX(0,FLOOR($D$15*D199*MAX(0,1-D199/(($D$10+SUM($N$33:N199))/$D$5)),1)),IF(A200&gt;=$D$14,IF(AND(D199&gt;0,F199&gt;0),INT(K199*D199/F199),0),1000000000),MIN(IF($D$11&gt;G199,INT(($D$11-G199)/$D$5),0)-D199,MAX(B200,INT(($D$10+SUM($N$33:N199))/$D$5)-D199))))</f>
        <v/>
      </c>
      <c r="D200" s="8">
        <f>D199+C200</f>
        <v/>
      </c>
      <c r="E200" s="8">
        <f>$D$5</f>
        <v/>
      </c>
      <c r="F200" s="8">
        <f>IF(G199&gt;=$D$11,0,MIN(D200*E200,$D$11-G199))</f>
        <v/>
      </c>
      <c r="G200" s="8">
        <f>G199+F200</f>
        <v/>
      </c>
      <c r="H200" s="10">
        <f>H199+$D$6*F200</f>
        <v/>
      </c>
      <c r="I200" s="10">
        <f>$D$7*F200+Q200</f>
        <v/>
      </c>
      <c r="J200" s="10">
        <f>J199+$D$8*F200+K200-P200</f>
        <v/>
      </c>
      <c r="K200" s="10">
        <f>($D$9/12)*J199</f>
        <v/>
      </c>
      <c r="L200" s="9">
        <f>IF(G200=0,0,J200/(G200*$D$12))</f>
        <v/>
      </c>
      <c r="M200" s="13">
        <f>I200/G200</f>
        <v/>
      </c>
      <c r="N200" s="8">
        <f>INDEX($G$6:$G$30,MIN(INT((A200-1)/12)+1,25))</f>
        <v/>
      </c>
      <c r="O200" s="126">
        <f>G200*$D$12</f>
        <v/>
      </c>
      <c r="P200">
        <f>IF(F200=0,0,MAX(0,0.01*G200-$D$7*F200))</f>
        <v/>
      </c>
    </row>
    <row r="201">
      <c r="A201" s="7" t="n">
        <v>169</v>
      </c>
      <c r="B201" s="98">
        <f>CEILING(0.0101*G200/$D$5,1)</f>
        <v/>
      </c>
      <c r="C201" s="8">
        <f>MAX(0,MIN(MAX(0,FLOOR($D$15*D200*MAX(0,1-D200/(($D$10+SUM($N$33:N200))/$D$5)),1)),IF(A201&gt;=$D$14,IF(AND(D200&gt;0,F200&gt;0),INT(K200*D200/F200),0),1000000000),MIN(IF($D$11&gt;G200,INT(($D$11-G200)/$D$5),0)-D200,MAX(B201,INT(($D$10+SUM($N$33:N200))/$D$5)-D200))))</f>
        <v/>
      </c>
      <c r="D201" s="8">
        <f>D200+C201</f>
        <v/>
      </c>
      <c r="E201" s="8">
        <f>$D$5</f>
        <v/>
      </c>
      <c r="F201" s="8">
        <f>IF(G200&gt;=$D$11,0,MIN(D201*E201,$D$11-G200))</f>
        <v/>
      </c>
      <c r="G201" s="8">
        <f>G200+F201</f>
        <v/>
      </c>
      <c r="H201" s="10">
        <f>H200+$D$6*F201</f>
        <v/>
      </c>
      <c r="I201" s="10">
        <f>$D$7*F201+Q201</f>
        <v/>
      </c>
      <c r="J201" s="10">
        <f>J200+$D$8*F201+K201-P201</f>
        <v/>
      </c>
      <c r="K201" s="10">
        <f>($D$9/12)*J200</f>
        <v/>
      </c>
      <c r="L201" s="9">
        <f>IF(G201=0,0,J201/(G201*$D$12))</f>
        <v/>
      </c>
      <c r="M201" s="13">
        <f>I201/G201</f>
        <v/>
      </c>
      <c r="N201" s="8">
        <f>INDEX($G$6:$G$30,MIN(INT((A201-1)/12)+1,25))</f>
        <v/>
      </c>
      <c r="O201" s="126">
        <f>G201*$D$12</f>
        <v/>
      </c>
      <c r="P201">
        <f>IF(F201=0,0,MAX(0,0.01*G201-$D$7*F201))</f>
        <v/>
      </c>
    </row>
    <row r="202">
      <c r="A202" s="7" t="n">
        <v>170</v>
      </c>
      <c r="B202" s="98">
        <f>CEILING(0.0101*G201/$D$5,1)</f>
        <v/>
      </c>
      <c r="C202" s="8">
        <f>MAX(0,MIN(MAX(0,FLOOR($D$15*D201*MAX(0,1-D201/(($D$10+SUM($N$33:N201))/$D$5)),1)),IF(A202&gt;=$D$14,IF(AND(D201&gt;0,F201&gt;0),INT(K201*D201/F201),0),1000000000),MIN(IF($D$11&gt;G201,INT(($D$11-G201)/$D$5),0)-D201,MAX(B202,INT(($D$10+SUM($N$33:N201))/$D$5)-D201))))</f>
        <v/>
      </c>
      <c r="D202" s="8">
        <f>D201+C202</f>
        <v/>
      </c>
      <c r="E202" s="8">
        <f>$D$5</f>
        <v/>
      </c>
      <c r="F202" s="8">
        <f>IF(G201&gt;=$D$11,0,MIN(D202*E202,$D$11-G201))</f>
        <v/>
      </c>
      <c r="G202" s="8">
        <f>G201+F202</f>
        <v/>
      </c>
      <c r="H202" s="10">
        <f>H201+$D$6*F202</f>
        <v/>
      </c>
      <c r="I202" s="10">
        <f>$D$7*F202+Q202</f>
        <v/>
      </c>
      <c r="J202" s="10">
        <f>J201+$D$8*F202+K202-P202</f>
        <v/>
      </c>
      <c r="K202" s="10">
        <f>($D$9/12)*J201</f>
        <v/>
      </c>
      <c r="L202" s="9">
        <f>IF(G202=0,0,J202/(G202*$D$12))</f>
        <v/>
      </c>
      <c r="M202" s="13">
        <f>I202/G202</f>
        <v/>
      </c>
      <c r="N202" s="8">
        <f>INDEX($G$6:$G$30,MIN(INT((A202-1)/12)+1,25))</f>
        <v/>
      </c>
      <c r="O202" s="126">
        <f>G202*$D$12</f>
        <v/>
      </c>
      <c r="P202">
        <f>IF(F202=0,0,MAX(0,0.01*G202-$D$7*F202))</f>
        <v/>
      </c>
    </row>
    <row r="203">
      <c r="A203" s="7" t="n">
        <v>171</v>
      </c>
      <c r="B203" s="98">
        <f>CEILING(0.0101*G202/$D$5,1)</f>
        <v/>
      </c>
      <c r="C203" s="8">
        <f>MAX(0,MIN(MAX(0,FLOOR($D$15*D202*MAX(0,1-D202/(($D$10+SUM($N$33:N202))/$D$5)),1)),IF(A203&gt;=$D$14,IF(AND(D202&gt;0,F202&gt;0),INT(K202*D202/F202),0),1000000000),MIN(IF($D$11&gt;G202,INT(($D$11-G202)/$D$5),0)-D202,MAX(B203,INT(($D$10+SUM($N$33:N202))/$D$5)-D202))))</f>
        <v/>
      </c>
      <c r="D203" s="8">
        <f>D202+C203</f>
        <v/>
      </c>
      <c r="E203" s="8">
        <f>$D$5</f>
        <v/>
      </c>
      <c r="F203" s="8">
        <f>IF(G202&gt;=$D$11,0,MIN(D203*E203,$D$11-G202))</f>
        <v/>
      </c>
      <c r="G203" s="8">
        <f>G202+F203</f>
        <v/>
      </c>
      <c r="H203" s="10">
        <f>H202+$D$6*F203</f>
        <v/>
      </c>
      <c r="I203" s="10">
        <f>$D$7*F203+Q203</f>
        <v/>
      </c>
      <c r="J203" s="10">
        <f>J202+$D$8*F203+K203-P203</f>
        <v/>
      </c>
      <c r="K203" s="10">
        <f>($D$9/12)*J202</f>
        <v/>
      </c>
      <c r="L203" s="9">
        <f>IF(G203=0,0,J203/(G203*$D$12))</f>
        <v/>
      </c>
      <c r="M203" s="13">
        <f>I203/G203</f>
        <v/>
      </c>
      <c r="N203" s="8">
        <f>INDEX($G$6:$G$30,MIN(INT((A203-1)/12)+1,25))</f>
        <v/>
      </c>
      <c r="O203" s="126">
        <f>G203*$D$12</f>
        <v/>
      </c>
      <c r="P203">
        <f>IF(F203=0,0,MAX(0,0.01*G203-$D$7*F203))</f>
        <v/>
      </c>
    </row>
    <row r="204">
      <c r="A204" s="7" t="n">
        <v>172</v>
      </c>
      <c r="B204" s="98">
        <f>CEILING(0.0101*G203/$D$5,1)</f>
        <v/>
      </c>
      <c r="C204" s="8">
        <f>MAX(0,MIN(MAX(0,FLOOR($D$15*D203*MAX(0,1-D203/(($D$10+SUM($N$33:N203))/$D$5)),1)),IF(A204&gt;=$D$14,IF(AND(D203&gt;0,F203&gt;0),INT(K203*D203/F203),0),1000000000),MIN(IF($D$11&gt;G203,INT(($D$11-G203)/$D$5),0)-D203,MAX(B204,INT(($D$10+SUM($N$33:N203))/$D$5)-D203))))</f>
        <v/>
      </c>
      <c r="D204" s="8">
        <f>D203+C204</f>
        <v/>
      </c>
      <c r="E204" s="8">
        <f>$D$5</f>
        <v/>
      </c>
      <c r="F204" s="8">
        <f>IF(G203&gt;=$D$11,0,MIN(D204*E204,$D$11-G203))</f>
        <v/>
      </c>
      <c r="G204" s="8">
        <f>G203+F204</f>
        <v/>
      </c>
      <c r="H204" s="10">
        <f>H203+$D$6*F204</f>
        <v/>
      </c>
      <c r="I204" s="10">
        <f>$D$7*F204+Q204</f>
        <v/>
      </c>
      <c r="J204" s="10">
        <f>J203+$D$8*F204+K204-P204</f>
        <v/>
      </c>
      <c r="K204" s="10">
        <f>($D$9/12)*J203</f>
        <v/>
      </c>
      <c r="L204" s="9">
        <f>IF(G204=0,0,J204/(G204*$D$12))</f>
        <v/>
      </c>
      <c r="M204" s="13">
        <f>I204/G204</f>
        <v/>
      </c>
      <c r="N204" s="8">
        <f>INDEX($G$6:$G$30,MIN(INT((A204-1)/12)+1,25))</f>
        <v/>
      </c>
      <c r="O204" s="126">
        <f>G204*$D$12</f>
        <v/>
      </c>
      <c r="P204">
        <f>IF(F204=0,0,MAX(0,0.01*G204-$D$7*F204))</f>
        <v/>
      </c>
    </row>
    <row r="205">
      <c r="A205" s="7" t="n">
        <v>173</v>
      </c>
      <c r="B205" s="98">
        <f>CEILING(0.0101*G204/$D$5,1)</f>
        <v/>
      </c>
      <c r="C205" s="8">
        <f>MAX(0,MIN(MAX(0,FLOOR($D$15*D204*MAX(0,1-D204/(($D$10+SUM($N$33:N204))/$D$5)),1)),IF(A205&gt;=$D$14,IF(AND(D204&gt;0,F204&gt;0),INT(K204*D204/F204),0),1000000000),MIN(IF($D$11&gt;G204,INT(($D$11-G204)/$D$5),0)-D204,MAX(B205,INT(($D$10+SUM($N$33:N204))/$D$5)-D204))))</f>
        <v/>
      </c>
      <c r="D205" s="8">
        <f>D204+C205</f>
        <v/>
      </c>
      <c r="E205" s="8">
        <f>$D$5</f>
        <v/>
      </c>
      <c r="F205" s="8">
        <f>IF(G204&gt;=$D$11,0,MIN(D205*E205,$D$11-G204))</f>
        <v/>
      </c>
      <c r="G205" s="8">
        <f>G204+F205</f>
        <v/>
      </c>
      <c r="H205" s="10">
        <f>H204+$D$6*F205</f>
        <v/>
      </c>
      <c r="I205" s="10">
        <f>$D$7*F205+Q205</f>
        <v/>
      </c>
      <c r="J205" s="10">
        <f>J204+$D$8*F205+K205-P205</f>
        <v/>
      </c>
      <c r="K205" s="10">
        <f>($D$9/12)*J204</f>
        <v/>
      </c>
      <c r="L205" s="9">
        <f>IF(G205=0,0,J205/(G205*$D$12))</f>
        <v/>
      </c>
      <c r="M205" s="13">
        <f>I205/G205</f>
        <v/>
      </c>
      <c r="N205" s="8">
        <f>INDEX($G$6:$G$30,MIN(INT((A205-1)/12)+1,25))</f>
        <v/>
      </c>
      <c r="O205" s="126">
        <f>G205*$D$12</f>
        <v/>
      </c>
      <c r="P205">
        <f>IF(F205=0,0,MAX(0,0.01*G205-$D$7*F205))</f>
        <v/>
      </c>
    </row>
    <row r="206">
      <c r="A206" s="7" t="n">
        <v>174</v>
      </c>
      <c r="B206" s="98">
        <f>CEILING(0.0101*G205/$D$5,1)</f>
        <v/>
      </c>
      <c r="C206" s="8">
        <f>MAX(0,MIN(MAX(0,FLOOR($D$15*D205*MAX(0,1-D205/(($D$10+SUM($N$33:N205))/$D$5)),1)),IF(A206&gt;=$D$14,IF(AND(D205&gt;0,F205&gt;0),INT(K205*D205/F205),0),1000000000),MIN(IF($D$11&gt;G205,INT(($D$11-G205)/$D$5),0)-D205,MAX(B206,INT(($D$10+SUM($N$33:N205))/$D$5)-D205))))</f>
        <v/>
      </c>
      <c r="D206" s="8">
        <f>D205+C206</f>
        <v/>
      </c>
      <c r="E206" s="8">
        <f>$D$5</f>
        <v/>
      </c>
      <c r="F206" s="8">
        <f>IF(G205&gt;=$D$11,0,MIN(D206*E206,$D$11-G205))</f>
        <v/>
      </c>
      <c r="G206" s="8">
        <f>G205+F206</f>
        <v/>
      </c>
      <c r="H206" s="10">
        <f>H205+$D$6*F206</f>
        <v/>
      </c>
      <c r="I206" s="10">
        <f>$D$7*F206+Q206</f>
        <v/>
      </c>
      <c r="J206" s="10">
        <f>J205+$D$8*F206+K206-P206</f>
        <v/>
      </c>
      <c r="K206" s="10">
        <f>($D$9/12)*J205</f>
        <v/>
      </c>
      <c r="L206" s="9">
        <f>IF(G206=0,0,J206/(G206*$D$12))</f>
        <v/>
      </c>
      <c r="M206" s="13">
        <f>I206/G206</f>
        <v/>
      </c>
      <c r="N206" s="8">
        <f>INDEX($G$6:$G$30,MIN(INT((A206-1)/12)+1,25))</f>
        <v/>
      </c>
      <c r="O206" s="126">
        <f>G206*$D$12</f>
        <v/>
      </c>
      <c r="P206">
        <f>IF(F206=0,0,MAX(0,0.01*G206-$D$7*F206))</f>
        <v/>
      </c>
    </row>
    <row r="207">
      <c r="A207" s="7" t="n">
        <v>175</v>
      </c>
      <c r="B207" s="98">
        <f>CEILING(0.0101*G206/$D$5,1)</f>
        <v/>
      </c>
      <c r="C207" s="8">
        <f>MAX(0,MIN(MAX(0,FLOOR($D$15*D206*MAX(0,1-D206/(($D$10+SUM($N$33:N206))/$D$5)),1)),IF(A207&gt;=$D$14,IF(AND(D206&gt;0,F206&gt;0),INT(K206*D206/F206),0),1000000000),MIN(IF($D$11&gt;G206,INT(($D$11-G206)/$D$5),0)-D206,MAX(B207,INT(($D$10+SUM($N$33:N206))/$D$5)-D206))))</f>
        <v/>
      </c>
      <c r="D207" s="8">
        <f>D206+C207</f>
        <v/>
      </c>
      <c r="E207" s="8">
        <f>$D$5</f>
        <v/>
      </c>
      <c r="F207" s="8">
        <f>IF(G206&gt;=$D$11,0,MIN(D207*E207,$D$11-G206))</f>
        <v/>
      </c>
      <c r="G207" s="8">
        <f>G206+F207</f>
        <v/>
      </c>
      <c r="H207" s="10">
        <f>H206+$D$6*F207</f>
        <v/>
      </c>
      <c r="I207" s="10">
        <f>$D$7*F207+Q207</f>
        <v/>
      </c>
      <c r="J207" s="10">
        <f>J206+$D$8*F207+K207-P207</f>
        <v/>
      </c>
      <c r="K207" s="10">
        <f>($D$9/12)*J206</f>
        <v/>
      </c>
      <c r="L207" s="9">
        <f>IF(G207=0,0,J207/(G207*$D$12))</f>
        <v/>
      </c>
      <c r="M207" s="13">
        <f>I207/G207</f>
        <v/>
      </c>
      <c r="N207" s="8">
        <f>INDEX($G$6:$G$30,MIN(INT((A207-1)/12)+1,25))</f>
        <v/>
      </c>
      <c r="O207" s="126">
        <f>G207*$D$12</f>
        <v/>
      </c>
      <c r="P207">
        <f>IF(F207=0,0,MAX(0,0.01*G207-$D$7*F207))</f>
        <v/>
      </c>
    </row>
    <row r="208">
      <c r="A208" s="7" t="n">
        <v>176</v>
      </c>
      <c r="B208" s="98">
        <f>CEILING(0.0101*G207/$D$5,1)</f>
        <v/>
      </c>
      <c r="C208" s="8">
        <f>MAX(0,MIN(MAX(0,FLOOR($D$15*D207*MAX(0,1-D207/(($D$10+SUM($N$33:N207))/$D$5)),1)),IF(A208&gt;=$D$14,IF(AND(D207&gt;0,F207&gt;0),INT(K207*D207/F207),0),1000000000),MIN(IF($D$11&gt;G207,INT(($D$11-G207)/$D$5),0)-D207,MAX(B208,INT(($D$10+SUM($N$33:N207))/$D$5)-D207))))</f>
        <v/>
      </c>
      <c r="D208" s="8">
        <f>D207+C208</f>
        <v/>
      </c>
      <c r="E208" s="8">
        <f>$D$5</f>
        <v/>
      </c>
      <c r="F208" s="8">
        <f>IF(G207&gt;=$D$11,0,MIN(D208*E208,$D$11-G207))</f>
        <v/>
      </c>
      <c r="G208" s="8">
        <f>G207+F208</f>
        <v/>
      </c>
      <c r="H208" s="10">
        <f>H207+$D$6*F208</f>
        <v/>
      </c>
      <c r="I208" s="10">
        <f>$D$7*F208+Q208</f>
        <v/>
      </c>
      <c r="J208" s="10">
        <f>J207+$D$8*F208+K208-P208</f>
        <v/>
      </c>
      <c r="K208" s="10">
        <f>($D$9/12)*J207</f>
        <v/>
      </c>
      <c r="L208" s="9">
        <f>IF(G208=0,0,J208/(G208*$D$12))</f>
        <v/>
      </c>
      <c r="M208" s="13">
        <f>I208/G208</f>
        <v/>
      </c>
      <c r="N208" s="8">
        <f>INDEX($G$6:$G$30,MIN(INT((A208-1)/12)+1,25))</f>
        <v/>
      </c>
      <c r="O208" s="126">
        <f>G208*$D$12</f>
        <v/>
      </c>
      <c r="P208">
        <f>IF(F208=0,0,MAX(0,0.01*G208-$D$7*F208))</f>
        <v/>
      </c>
    </row>
    <row r="209">
      <c r="A209" s="7" t="n">
        <v>177</v>
      </c>
      <c r="B209" s="98">
        <f>CEILING(0.0101*G208/$D$5,1)</f>
        <v/>
      </c>
      <c r="C209" s="8">
        <f>MAX(0,MIN(MAX(0,FLOOR($D$15*D208*MAX(0,1-D208/(($D$10+SUM($N$33:N208))/$D$5)),1)),IF(A209&gt;=$D$14,IF(AND(D208&gt;0,F208&gt;0),INT(K208*D208/F208),0),1000000000),MIN(IF($D$11&gt;G208,INT(($D$11-G208)/$D$5),0)-D208,MAX(B209,INT(($D$10+SUM($N$33:N208))/$D$5)-D208))))</f>
        <v/>
      </c>
      <c r="D209" s="8">
        <f>D208+C209</f>
        <v/>
      </c>
      <c r="E209" s="8">
        <f>$D$5</f>
        <v/>
      </c>
      <c r="F209" s="8">
        <f>IF(G208&gt;=$D$11,0,MIN(D209*E209,$D$11-G208))</f>
        <v/>
      </c>
      <c r="G209" s="8">
        <f>G208+F209</f>
        <v/>
      </c>
      <c r="H209" s="10">
        <f>H208+$D$6*F209</f>
        <v/>
      </c>
      <c r="I209" s="10">
        <f>$D$7*F209+Q209</f>
        <v/>
      </c>
      <c r="J209" s="10">
        <f>J208+$D$8*F209+K209-P209</f>
        <v/>
      </c>
      <c r="K209" s="10">
        <f>($D$9/12)*J208</f>
        <v/>
      </c>
      <c r="L209" s="9">
        <f>IF(G209=0,0,J209/(G209*$D$12))</f>
        <v/>
      </c>
      <c r="M209" s="13">
        <f>I209/G209</f>
        <v/>
      </c>
      <c r="N209" s="8">
        <f>INDEX($G$6:$G$30,MIN(INT((A209-1)/12)+1,25))</f>
        <v/>
      </c>
      <c r="O209" s="126">
        <f>G209*$D$12</f>
        <v/>
      </c>
      <c r="P209">
        <f>IF(F209=0,0,MAX(0,0.01*G209-$D$7*F209))</f>
        <v/>
      </c>
    </row>
    <row r="210">
      <c r="A210" s="7" t="n">
        <v>178</v>
      </c>
      <c r="B210" s="98">
        <f>CEILING(0.0101*G209/$D$5,1)</f>
        <v/>
      </c>
      <c r="C210" s="8">
        <f>MAX(0,MIN(MAX(0,FLOOR($D$15*D209*MAX(0,1-D209/(($D$10+SUM($N$33:N209))/$D$5)),1)),IF(A210&gt;=$D$14,IF(AND(D209&gt;0,F209&gt;0),INT(K209*D209/F209),0),1000000000),MIN(IF($D$11&gt;G209,INT(($D$11-G209)/$D$5),0)-D209,MAX(B210,INT(($D$10+SUM($N$33:N209))/$D$5)-D209))))</f>
        <v/>
      </c>
      <c r="D210" s="8">
        <f>D209+C210</f>
        <v/>
      </c>
      <c r="E210" s="8">
        <f>$D$5</f>
        <v/>
      </c>
      <c r="F210" s="8">
        <f>IF(G209&gt;=$D$11,0,MIN(D210*E210,$D$11-G209))</f>
        <v/>
      </c>
      <c r="G210" s="8">
        <f>G209+F210</f>
        <v/>
      </c>
      <c r="H210" s="10">
        <f>H209+$D$6*F210</f>
        <v/>
      </c>
      <c r="I210" s="10">
        <f>$D$7*F210+Q210</f>
        <v/>
      </c>
      <c r="J210" s="10">
        <f>J209+$D$8*F210+K210-P210</f>
        <v/>
      </c>
      <c r="K210" s="10">
        <f>($D$9/12)*J209</f>
        <v/>
      </c>
      <c r="L210" s="9">
        <f>IF(G210=0,0,J210/(G210*$D$12))</f>
        <v/>
      </c>
      <c r="M210" s="13">
        <f>I210/G210</f>
        <v/>
      </c>
      <c r="N210" s="8">
        <f>INDEX($G$6:$G$30,MIN(INT((A210-1)/12)+1,25))</f>
        <v/>
      </c>
      <c r="O210" s="126">
        <f>G210*$D$12</f>
        <v/>
      </c>
      <c r="P210">
        <f>IF(F210=0,0,MAX(0,0.01*G210-$D$7*F210))</f>
        <v/>
      </c>
    </row>
    <row r="211">
      <c r="A211" s="7" t="n">
        <v>179</v>
      </c>
      <c r="B211" s="98">
        <f>CEILING(0.0101*G210/$D$5,1)</f>
        <v/>
      </c>
      <c r="C211" s="8">
        <f>MAX(0,MIN(MAX(0,FLOOR($D$15*D210*MAX(0,1-D210/(($D$10+SUM($N$33:N210))/$D$5)),1)),IF(A211&gt;=$D$14,IF(AND(D210&gt;0,F210&gt;0),INT(K210*D210/F210),0),1000000000),MIN(IF($D$11&gt;G210,INT(($D$11-G210)/$D$5),0)-D210,MAX(B211,INT(($D$10+SUM($N$33:N210))/$D$5)-D210))))</f>
        <v/>
      </c>
      <c r="D211" s="8">
        <f>D210+C211</f>
        <v/>
      </c>
      <c r="E211" s="8">
        <f>$D$5</f>
        <v/>
      </c>
      <c r="F211" s="8">
        <f>IF(G210&gt;=$D$11,0,MIN(D211*E211,$D$11-G210))</f>
        <v/>
      </c>
      <c r="G211" s="8">
        <f>G210+F211</f>
        <v/>
      </c>
      <c r="H211" s="10">
        <f>H210+$D$6*F211</f>
        <v/>
      </c>
      <c r="I211" s="10">
        <f>$D$7*F211+Q211</f>
        <v/>
      </c>
      <c r="J211" s="10">
        <f>J210+$D$8*F211+K211-P211</f>
        <v/>
      </c>
      <c r="K211" s="10">
        <f>($D$9/12)*J210</f>
        <v/>
      </c>
      <c r="L211" s="9">
        <f>IF(G211=0,0,J211/(G211*$D$12))</f>
        <v/>
      </c>
      <c r="M211" s="13">
        <f>I211/G211</f>
        <v/>
      </c>
      <c r="N211" s="8">
        <f>INDEX($G$6:$G$30,MIN(INT((A211-1)/12)+1,25))</f>
        <v/>
      </c>
      <c r="O211" s="126">
        <f>G211*$D$12</f>
        <v/>
      </c>
      <c r="P211">
        <f>IF(F211=0,0,MAX(0,0.01*G211-$D$7*F211))</f>
        <v/>
      </c>
    </row>
    <row r="212">
      <c r="A212" s="7" t="n">
        <v>180</v>
      </c>
      <c r="B212" s="98">
        <f>CEILING(0.0101*G211/$D$5,1)</f>
        <v/>
      </c>
      <c r="C212" s="8">
        <f>MAX(0,MIN(MAX(0,FLOOR($D$15*D211*MAX(0,1-D211/(($D$10+SUM($N$33:N211))/$D$5)),1)),IF(A212&gt;=$D$14,IF(AND(D211&gt;0,F211&gt;0),INT(K211*D211/F211),0),1000000000),MIN(IF($D$11&gt;G211,INT(($D$11-G211)/$D$5),0)-D211,MAX(B212,INT(($D$10+SUM($N$33:N211))/$D$5)-D211))))</f>
        <v/>
      </c>
      <c r="D212" s="8">
        <f>D211+C212</f>
        <v/>
      </c>
      <c r="E212" s="8">
        <f>$D$5</f>
        <v/>
      </c>
      <c r="F212" s="8">
        <f>IF(G211&gt;=$D$11,0,MIN(D212*E212,$D$11-G211))</f>
        <v/>
      </c>
      <c r="G212" s="8">
        <f>G211+F212</f>
        <v/>
      </c>
      <c r="H212" s="10">
        <f>H211+$D$6*F212</f>
        <v/>
      </c>
      <c r="I212" s="10">
        <f>$D$7*F212+Q212</f>
        <v/>
      </c>
      <c r="J212" s="10">
        <f>J211+$D$8*F212+K212-P212</f>
        <v/>
      </c>
      <c r="K212" s="10">
        <f>($D$9/12)*J211</f>
        <v/>
      </c>
      <c r="L212" s="9">
        <f>IF(G212=0,0,J212/(G212*$D$12))</f>
        <v/>
      </c>
      <c r="M212" s="13">
        <f>I212/G212</f>
        <v/>
      </c>
      <c r="N212" s="8">
        <f>INDEX($G$6:$G$30,MIN(INT((A212-1)/12)+1,25))</f>
        <v/>
      </c>
      <c r="O212" s="126">
        <f>G212*$D$12</f>
        <v/>
      </c>
      <c r="P212">
        <f>IF(F212=0,0,MAX(0,0.01*G212-$D$7*F212))</f>
        <v/>
      </c>
    </row>
    <row r="213">
      <c r="A213" s="7" t="n">
        <v>181</v>
      </c>
      <c r="B213" s="98">
        <f>CEILING(0.0101*G212/$D$5,1)</f>
        <v/>
      </c>
      <c r="C213" s="8">
        <f>MAX(0,MIN(MAX(0,FLOOR($D$15*D212*MAX(0,1-D212/(($D$10+SUM($N$33:N212))/$D$5)),1)),IF(A213&gt;=$D$14,IF(AND(D212&gt;0,F212&gt;0),INT(K212*D212/F212),0),1000000000),MIN(IF($D$11&gt;G212,INT(($D$11-G212)/$D$5),0)-D212,MAX(B213,INT(($D$10+SUM($N$33:N212))/$D$5)-D212))))</f>
        <v/>
      </c>
      <c r="D213" s="8">
        <f>D212+C213</f>
        <v/>
      </c>
      <c r="E213" s="8">
        <f>$D$5</f>
        <v/>
      </c>
      <c r="F213" s="8">
        <f>IF(G212&gt;=$D$11,0,MIN(D213*E213,$D$11-G212))</f>
        <v/>
      </c>
      <c r="G213" s="8">
        <f>G212+F213</f>
        <v/>
      </c>
      <c r="H213" s="10">
        <f>H212+$D$6*F213</f>
        <v/>
      </c>
      <c r="I213" s="10">
        <f>$D$7*F213+Q213</f>
        <v/>
      </c>
      <c r="J213" s="10">
        <f>J212+$D$8*F213+K213-P213</f>
        <v/>
      </c>
      <c r="K213" s="10">
        <f>($D$9/12)*J212</f>
        <v/>
      </c>
      <c r="L213" s="9">
        <f>IF(G213=0,0,J213/(G213*$D$12))</f>
        <v/>
      </c>
      <c r="M213" s="13">
        <f>I213/G213</f>
        <v/>
      </c>
      <c r="N213" s="8">
        <f>INDEX($G$6:$G$30,MIN(INT((A213-1)/12)+1,25))</f>
        <v/>
      </c>
      <c r="O213" s="126">
        <f>G213*$D$12</f>
        <v/>
      </c>
      <c r="P213">
        <f>IF(F213=0,0,MAX(0,0.01*G213-$D$7*F213))</f>
        <v/>
      </c>
    </row>
    <row r="214">
      <c r="A214" s="7" t="n">
        <v>182</v>
      </c>
      <c r="B214" s="98">
        <f>CEILING(0.0101*G213/$D$5,1)</f>
        <v/>
      </c>
      <c r="C214" s="8">
        <f>MAX(0,MIN(MAX(0,FLOOR($D$15*D213*MAX(0,1-D213/(($D$10+SUM($N$33:N213))/$D$5)),1)),IF(A214&gt;=$D$14,IF(AND(D213&gt;0,F213&gt;0),INT(K213*D213/F213),0),1000000000),MIN(IF($D$11&gt;G213,INT(($D$11-G213)/$D$5),0)-D213,MAX(B214,INT(($D$10+SUM($N$33:N213))/$D$5)-D213))))</f>
        <v/>
      </c>
      <c r="D214" s="8">
        <f>D213+C214</f>
        <v/>
      </c>
      <c r="E214" s="8">
        <f>$D$5</f>
        <v/>
      </c>
      <c r="F214" s="8">
        <f>IF(G213&gt;=$D$11,0,MIN(D214*E214,$D$11-G213))</f>
        <v/>
      </c>
      <c r="G214" s="8">
        <f>G213+F214</f>
        <v/>
      </c>
      <c r="H214" s="10">
        <f>H213+$D$6*F214</f>
        <v/>
      </c>
      <c r="I214" s="10">
        <f>$D$7*F214+Q214</f>
        <v/>
      </c>
      <c r="J214" s="10">
        <f>J213+$D$8*F214+K214-P214</f>
        <v/>
      </c>
      <c r="K214" s="10">
        <f>($D$9/12)*J213</f>
        <v/>
      </c>
      <c r="L214" s="9">
        <f>IF(G214=0,0,J214/(G214*$D$12))</f>
        <v/>
      </c>
      <c r="M214" s="13">
        <f>I214/G214</f>
        <v/>
      </c>
      <c r="N214" s="8">
        <f>INDEX($G$6:$G$30,MIN(INT((A214-1)/12)+1,25))</f>
        <v/>
      </c>
      <c r="O214" s="126">
        <f>G214*$D$12</f>
        <v/>
      </c>
      <c r="P214">
        <f>IF(F214=0,0,MAX(0,0.01*G214-$D$7*F214))</f>
        <v/>
      </c>
    </row>
    <row r="215">
      <c r="A215" s="7" t="n">
        <v>183</v>
      </c>
      <c r="B215" s="98">
        <f>CEILING(0.0101*G214/$D$5,1)</f>
        <v/>
      </c>
      <c r="C215" s="8">
        <f>MAX(0,MIN(MAX(0,FLOOR($D$15*D214*MAX(0,1-D214/(($D$10+SUM($N$33:N214))/$D$5)),1)),IF(A215&gt;=$D$14,IF(AND(D214&gt;0,F214&gt;0),INT(K214*D214/F214),0),1000000000),MIN(IF($D$11&gt;G214,INT(($D$11-G214)/$D$5),0)-D214,MAX(B215,INT(($D$10+SUM($N$33:N214))/$D$5)-D214))))</f>
        <v/>
      </c>
      <c r="D215" s="8">
        <f>D214+C215</f>
        <v/>
      </c>
      <c r="E215" s="8">
        <f>$D$5</f>
        <v/>
      </c>
      <c r="F215" s="8">
        <f>IF(G214&gt;=$D$11,0,MIN(D215*E215,$D$11-G214))</f>
        <v/>
      </c>
      <c r="G215" s="8">
        <f>G214+F215</f>
        <v/>
      </c>
      <c r="H215" s="10">
        <f>H214+$D$6*F215</f>
        <v/>
      </c>
      <c r="I215" s="10">
        <f>$D$7*F215+Q215</f>
        <v/>
      </c>
      <c r="J215" s="10">
        <f>J214+$D$8*F215+K215-P215</f>
        <v/>
      </c>
      <c r="K215" s="10">
        <f>($D$9/12)*J214</f>
        <v/>
      </c>
      <c r="L215" s="9">
        <f>IF(G215=0,0,J215/(G215*$D$12))</f>
        <v/>
      </c>
      <c r="M215" s="13">
        <f>I215/G215</f>
        <v/>
      </c>
      <c r="N215" s="8">
        <f>INDEX($G$6:$G$30,MIN(INT((A215-1)/12)+1,25))</f>
        <v/>
      </c>
      <c r="O215" s="126">
        <f>G215*$D$12</f>
        <v/>
      </c>
      <c r="P215">
        <f>IF(F215=0,0,MAX(0,0.01*G215-$D$7*F215))</f>
        <v/>
      </c>
    </row>
    <row r="216">
      <c r="A216" s="7" t="n">
        <v>184</v>
      </c>
      <c r="B216" s="98">
        <f>CEILING(0.0101*G215/$D$5,1)</f>
        <v/>
      </c>
      <c r="C216" s="8">
        <f>MAX(0,MIN(MAX(0,FLOOR($D$15*D215*MAX(0,1-D215/(($D$10+SUM($N$33:N215))/$D$5)),1)),IF(A216&gt;=$D$14,IF(AND(D215&gt;0,F215&gt;0),INT(K215*D215/F215),0),1000000000),MIN(IF($D$11&gt;G215,INT(($D$11-G215)/$D$5),0)-D215,MAX(B216,INT(($D$10+SUM($N$33:N215))/$D$5)-D215))))</f>
        <v/>
      </c>
      <c r="D216" s="8">
        <f>D215+C216</f>
        <v/>
      </c>
      <c r="E216" s="8">
        <f>$D$5</f>
        <v/>
      </c>
      <c r="F216" s="8">
        <f>IF(G215&gt;=$D$11,0,MIN(D216*E216,$D$11-G215))</f>
        <v/>
      </c>
      <c r="G216" s="8">
        <f>G215+F216</f>
        <v/>
      </c>
      <c r="H216" s="10">
        <f>H215+$D$6*F216</f>
        <v/>
      </c>
      <c r="I216" s="10">
        <f>$D$7*F216+Q216</f>
        <v/>
      </c>
      <c r="J216" s="10">
        <f>J215+$D$8*F216+K216-P216</f>
        <v/>
      </c>
      <c r="K216" s="10">
        <f>($D$9/12)*J215</f>
        <v/>
      </c>
      <c r="L216" s="9">
        <f>IF(G216=0,0,J216/(G216*$D$12))</f>
        <v/>
      </c>
      <c r="M216" s="13">
        <f>I216/G216</f>
        <v/>
      </c>
      <c r="N216" s="8">
        <f>INDEX($G$6:$G$30,MIN(INT((A216-1)/12)+1,25))</f>
        <v/>
      </c>
      <c r="O216" s="126">
        <f>G216*$D$12</f>
        <v/>
      </c>
      <c r="P216">
        <f>IF(F216=0,0,MAX(0,0.01*G216-$D$7*F216))</f>
        <v/>
      </c>
    </row>
    <row r="217">
      <c r="A217" s="7" t="n">
        <v>185</v>
      </c>
      <c r="B217" s="98">
        <f>CEILING(0.0101*G216/$D$5,1)</f>
        <v/>
      </c>
      <c r="C217" s="8">
        <f>MAX(0,MIN(MAX(0,FLOOR($D$15*D216*MAX(0,1-D216/(($D$10+SUM($N$33:N216))/$D$5)),1)),IF(A217&gt;=$D$14,IF(AND(D216&gt;0,F216&gt;0),INT(K216*D216/F216),0),1000000000),MIN(IF($D$11&gt;G216,INT(($D$11-G216)/$D$5),0)-D216,MAX(B217,INT(($D$10+SUM($N$33:N216))/$D$5)-D216))))</f>
        <v/>
      </c>
      <c r="D217" s="8">
        <f>D216+C217</f>
        <v/>
      </c>
      <c r="E217" s="8">
        <f>$D$5</f>
        <v/>
      </c>
      <c r="F217" s="8">
        <f>IF(G216&gt;=$D$11,0,MIN(D217*E217,$D$11-G216))</f>
        <v/>
      </c>
      <c r="G217" s="8">
        <f>G216+F217</f>
        <v/>
      </c>
      <c r="H217" s="10">
        <f>H216+$D$6*F217</f>
        <v/>
      </c>
      <c r="I217" s="10">
        <f>$D$7*F217+Q217</f>
        <v/>
      </c>
      <c r="J217" s="10">
        <f>J216+$D$8*F217+K217-P217</f>
        <v/>
      </c>
      <c r="K217" s="10">
        <f>($D$9/12)*J216</f>
        <v/>
      </c>
      <c r="L217" s="9">
        <f>IF(G217=0,0,J217/(G217*$D$12))</f>
        <v/>
      </c>
      <c r="M217" s="13">
        <f>I217/G217</f>
        <v/>
      </c>
      <c r="N217" s="8">
        <f>INDEX($G$6:$G$30,MIN(INT((A217-1)/12)+1,25))</f>
        <v/>
      </c>
      <c r="O217" s="126">
        <f>G217*$D$12</f>
        <v/>
      </c>
      <c r="P217">
        <f>IF(F217=0,0,MAX(0,0.01*G217-$D$7*F217))</f>
        <v/>
      </c>
    </row>
    <row r="218">
      <c r="A218" s="7" t="n">
        <v>186</v>
      </c>
      <c r="B218" s="98">
        <f>CEILING(0.0101*G217/$D$5,1)</f>
        <v/>
      </c>
      <c r="C218" s="8">
        <f>MAX(0,MIN(MAX(0,FLOOR($D$15*D217*MAX(0,1-D217/(($D$10+SUM($N$33:N217))/$D$5)),1)),IF(A218&gt;=$D$14,IF(AND(D217&gt;0,F217&gt;0),INT(K217*D217/F217),0),1000000000),MIN(IF($D$11&gt;G217,INT(($D$11-G217)/$D$5),0)-D217,MAX(B218,INT(($D$10+SUM($N$33:N217))/$D$5)-D217))))</f>
        <v/>
      </c>
      <c r="D218" s="8">
        <f>D217+C218</f>
        <v/>
      </c>
      <c r="E218" s="8">
        <f>$D$5</f>
        <v/>
      </c>
      <c r="F218" s="8">
        <f>IF(G217&gt;=$D$11,0,MIN(D218*E218,$D$11-G217))</f>
        <v/>
      </c>
      <c r="G218" s="8">
        <f>G217+F218</f>
        <v/>
      </c>
      <c r="H218" s="10">
        <f>H217+$D$6*F218</f>
        <v/>
      </c>
      <c r="I218" s="10">
        <f>$D$7*F218+Q218</f>
        <v/>
      </c>
      <c r="J218" s="10">
        <f>J217+$D$8*F218+K218-P218</f>
        <v/>
      </c>
      <c r="K218" s="10">
        <f>($D$9/12)*J217</f>
        <v/>
      </c>
      <c r="L218" s="9">
        <f>IF(G218=0,0,J218/(G218*$D$12))</f>
        <v/>
      </c>
      <c r="M218" s="13">
        <f>I218/G218</f>
        <v/>
      </c>
      <c r="N218" s="8">
        <f>INDEX($G$6:$G$30,MIN(INT((A218-1)/12)+1,25))</f>
        <v/>
      </c>
      <c r="O218" s="126">
        <f>G218*$D$12</f>
        <v/>
      </c>
      <c r="P218">
        <f>IF(F218=0,0,MAX(0,0.01*G218-$D$7*F218))</f>
        <v/>
      </c>
    </row>
    <row r="219">
      <c r="A219" s="7" t="n">
        <v>187</v>
      </c>
      <c r="B219" s="98">
        <f>CEILING(0.0101*G218/$D$5,1)</f>
        <v/>
      </c>
      <c r="C219" s="8">
        <f>MAX(0,MIN(MAX(0,FLOOR($D$15*D218*MAX(0,1-D218/(($D$10+SUM($N$33:N218))/$D$5)),1)),IF(A219&gt;=$D$14,IF(AND(D218&gt;0,F218&gt;0),INT(K218*D218/F218),0),1000000000),MIN(IF($D$11&gt;G218,INT(($D$11-G218)/$D$5),0)-D218,MAX(B219,INT(($D$10+SUM($N$33:N218))/$D$5)-D218))))</f>
        <v/>
      </c>
      <c r="D219" s="8">
        <f>D218+C219</f>
        <v/>
      </c>
      <c r="E219" s="8">
        <f>$D$5</f>
        <v/>
      </c>
      <c r="F219" s="8">
        <f>IF(G218&gt;=$D$11,0,MIN(D219*E219,$D$11-G218))</f>
        <v/>
      </c>
      <c r="G219" s="8">
        <f>G218+F219</f>
        <v/>
      </c>
      <c r="H219" s="10">
        <f>H218+$D$6*F219</f>
        <v/>
      </c>
      <c r="I219" s="10">
        <f>$D$7*F219+Q219</f>
        <v/>
      </c>
      <c r="J219" s="10">
        <f>J218+$D$8*F219+K219-P219</f>
        <v/>
      </c>
      <c r="K219" s="10">
        <f>($D$9/12)*J218</f>
        <v/>
      </c>
      <c r="L219" s="9">
        <f>IF(G219=0,0,J219/(G219*$D$12))</f>
        <v/>
      </c>
      <c r="M219" s="13">
        <f>I219/G219</f>
        <v/>
      </c>
      <c r="N219" s="8">
        <f>INDEX($G$6:$G$30,MIN(INT((A219-1)/12)+1,25))</f>
        <v/>
      </c>
      <c r="O219" s="126">
        <f>G219*$D$12</f>
        <v/>
      </c>
      <c r="P219">
        <f>IF(F219=0,0,MAX(0,0.01*G219-$D$7*F219))</f>
        <v/>
      </c>
    </row>
    <row r="220">
      <c r="A220" s="7" t="n">
        <v>188</v>
      </c>
      <c r="B220" s="98">
        <f>CEILING(0.0101*G219/$D$5,1)</f>
        <v/>
      </c>
      <c r="C220" s="8">
        <f>MAX(0,MIN(MAX(0,FLOOR($D$15*D219*MAX(0,1-D219/(($D$10+SUM($N$33:N219))/$D$5)),1)),IF(A220&gt;=$D$14,IF(AND(D219&gt;0,F219&gt;0),INT(K219*D219/F219),0),1000000000),MIN(IF($D$11&gt;G219,INT(($D$11-G219)/$D$5),0)-D219,MAX(B220,INT(($D$10+SUM($N$33:N219))/$D$5)-D219))))</f>
        <v/>
      </c>
      <c r="D220" s="8">
        <f>D219+C220</f>
        <v/>
      </c>
      <c r="E220" s="8">
        <f>$D$5</f>
        <v/>
      </c>
      <c r="F220" s="8">
        <f>IF(G219&gt;=$D$11,0,MIN(D220*E220,$D$11-G219))</f>
        <v/>
      </c>
      <c r="G220" s="8">
        <f>G219+F220</f>
        <v/>
      </c>
      <c r="H220" s="10">
        <f>H219+$D$6*F220</f>
        <v/>
      </c>
      <c r="I220" s="10">
        <f>$D$7*F220+Q220</f>
        <v/>
      </c>
      <c r="J220" s="10">
        <f>J219+$D$8*F220+K220-P220</f>
        <v/>
      </c>
      <c r="K220" s="10">
        <f>($D$9/12)*J219</f>
        <v/>
      </c>
      <c r="L220" s="9">
        <f>IF(G220=0,0,J220/(G220*$D$12))</f>
        <v/>
      </c>
      <c r="M220" s="13">
        <f>I220/G220</f>
        <v/>
      </c>
      <c r="N220" s="8">
        <f>INDEX($G$6:$G$30,MIN(INT((A220-1)/12)+1,25))</f>
        <v/>
      </c>
      <c r="O220" s="126">
        <f>G220*$D$12</f>
        <v/>
      </c>
      <c r="P220">
        <f>IF(F220=0,0,MAX(0,0.01*G220-$D$7*F220))</f>
        <v/>
      </c>
    </row>
    <row r="221">
      <c r="A221" s="7" t="n">
        <v>189</v>
      </c>
      <c r="B221" s="98">
        <f>CEILING(0.0101*G220/$D$5,1)</f>
        <v/>
      </c>
      <c r="C221" s="8">
        <f>MAX(0,MIN(MAX(0,FLOOR($D$15*D220*MAX(0,1-D220/(($D$10+SUM($N$33:N220))/$D$5)),1)),IF(A221&gt;=$D$14,IF(AND(D220&gt;0,F220&gt;0),INT(K220*D220/F220),0),1000000000),MIN(IF($D$11&gt;G220,INT(($D$11-G220)/$D$5),0)-D220,MAX(B221,INT(($D$10+SUM($N$33:N220))/$D$5)-D220))))</f>
        <v/>
      </c>
      <c r="D221" s="8">
        <f>D220+C221</f>
        <v/>
      </c>
      <c r="E221" s="8">
        <f>$D$5</f>
        <v/>
      </c>
      <c r="F221" s="8">
        <f>IF(G220&gt;=$D$11,0,MIN(D221*E221,$D$11-G220))</f>
        <v/>
      </c>
      <c r="G221" s="8">
        <f>G220+F221</f>
        <v/>
      </c>
      <c r="H221" s="10">
        <f>H220+$D$6*F221</f>
        <v/>
      </c>
      <c r="I221" s="10">
        <f>$D$7*F221+Q221</f>
        <v/>
      </c>
      <c r="J221" s="10">
        <f>J220+$D$8*F221+K221-P221</f>
        <v/>
      </c>
      <c r="K221" s="10">
        <f>($D$9/12)*J220</f>
        <v/>
      </c>
      <c r="L221" s="9">
        <f>IF(G221=0,0,J221/(G221*$D$12))</f>
        <v/>
      </c>
      <c r="M221" s="13">
        <f>I221/G221</f>
        <v/>
      </c>
      <c r="N221" s="8">
        <f>INDEX($G$6:$G$30,MIN(INT((A221-1)/12)+1,25))</f>
        <v/>
      </c>
      <c r="O221" s="126">
        <f>G221*$D$12</f>
        <v/>
      </c>
      <c r="P221">
        <f>IF(F221=0,0,MAX(0,0.01*G221-$D$7*F221))</f>
        <v/>
      </c>
    </row>
    <row r="222">
      <c r="A222" s="7" t="n">
        <v>190</v>
      </c>
      <c r="B222" s="98">
        <f>CEILING(0.0101*G221/$D$5,1)</f>
        <v/>
      </c>
      <c r="C222" s="8">
        <f>MAX(0,MIN(MAX(0,FLOOR($D$15*D221*MAX(0,1-D221/(($D$10+SUM($N$33:N221))/$D$5)),1)),IF(A222&gt;=$D$14,IF(AND(D221&gt;0,F221&gt;0),INT(K221*D221/F221),0),1000000000),MIN(IF($D$11&gt;G221,INT(($D$11-G221)/$D$5),0)-D221,MAX(B222,INT(($D$10+SUM($N$33:N221))/$D$5)-D221))))</f>
        <v/>
      </c>
      <c r="D222" s="8">
        <f>D221+C222</f>
        <v/>
      </c>
      <c r="E222" s="8">
        <f>$D$5</f>
        <v/>
      </c>
      <c r="F222" s="8">
        <f>IF(G221&gt;=$D$11,0,MIN(D222*E222,$D$11-G221))</f>
        <v/>
      </c>
      <c r="G222" s="8">
        <f>G221+F222</f>
        <v/>
      </c>
      <c r="H222" s="10">
        <f>H221+$D$6*F222</f>
        <v/>
      </c>
      <c r="I222" s="10">
        <f>$D$7*F222+Q222</f>
        <v/>
      </c>
      <c r="J222" s="10">
        <f>J221+$D$8*F222+K222-P222</f>
        <v/>
      </c>
      <c r="K222" s="10">
        <f>($D$9/12)*J221</f>
        <v/>
      </c>
      <c r="L222" s="9">
        <f>IF(G222=0,0,J222/(G222*$D$12))</f>
        <v/>
      </c>
      <c r="M222" s="13">
        <f>I222/G222</f>
        <v/>
      </c>
      <c r="N222" s="8">
        <f>INDEX($G$6:$G$30,MIN(INT((A222-1)/12)+1,25))</f>
        <v/>
      </c>
      <c r="O222" s="126">
        <f>G222*$D$12</f>
        <v/>
      </c>
      <c r="P222">
        <f>IF(F222=0,0,MAX(0,0.01*G222-$D$7*F222))</f>
        <v/>
      </c>
    </row>
    <row r="223">
      <c r="A223" s="7" t="n">
        <v>191</v>
      </c>
      <c r="B223" s="98">
        <f>CEILING(0.0101*G222/$D$5,1)</f>
        <v/>
      </c>
      <c r="C223" s="8">
        <f>MAX(0,MIN(MAX(0,FLOOR($D$15*D222*MAX(0,1-D222/(($D$10+SUM($N$33:N222))/$D$5)),1)),IF(A223&gt;=$D$14,IF(AND(D222&gt;0,F222&gt;0),INT(K222*D222/F222),0),1000000000),MIN(IF($D$11&gt;G222,INT(($D$11-G222)/$D$5),0)-D222,MAX(B223,INT(($D$10+SUM($N$33:N222))/$D$5)-D222))))</f>
        <v/>
      </c>
      <c r="D223" s="8">
        <f>D222+C223</f>
        <v/>
      </c>
      <c r="E223" s="8">
        <f>$D$5</f>
        <v/>
      </c>
      <c r="F223" s="8">
        <f>IF(G222&gt;=$D$11,0,MIN(D223*E223,$D$11-G222))</f>
        <v/>
      </c>
      <c r="G223" s="8">
        <f>G222+F223</f>
        <v/>
      </c>
      <c r="H223" s="10">
        <f>H222+$D$6*F223</f>
        <v/>
      </c>
      <c r="I223" s="10">
        <f>$D$7*F223+Q223</f>
        <v/>
      </c>
      <c r="J223" s="10">
        <f>J222+$D$8*F223+K223-P223</f>
        <v/>
      </c>
      <c r="K223" s="10">
        <f>($D$9/12)*J222</f>
        <v/>
      </c>
      <c r="L223" s="9">
        <f>IF(G223=0,0,J223/(G223*$D$12))</f>
        <v/>
      </c>
      <c r="M223" s="13">
        <f>I223/G223</f>
        <v/>
      </c>
      <c r="N223" s="8">
        <f>INDEX($G$6:$G$30,MIN(INT((A223-1)/12)+1,25))</f>
        <v/>
      </c>
      <c r="O223" s="126">
        <f>G223*$D$12</f>
        <v/>
      </c>
      <c r="P223">
        <f>IF(F223=0,0,MAX(0,0.01*G223-$D$7*F223))</f>
        <v/>
      </c>
    </row>
    <row r="224">
      <c r="A224" s="7" t="n">
        <v>192</v>
      </c>
      <c r="B224" s="98">
        <f>CEILING(0.0101*G223/$D$5,1)</f>
        <v/>
      </c>
      <c r="C224" s="8">
        <f>MAX(0,MIN(MAX(0,FLOOR($D$15*D223*MAX(0,1-D223/(($D$10+SUM($N$33:N223))/$D$5)),1)),IF(A224&gt;=$D$14,IF(AND(D223&gt;0,F223&gt;0),INT(K223*D223/F223),0),1000000000),MIN(IF($D$11&gt;G223,INT(($D$11-G223)/$D$5),0)-D223,MAX(B224,INT(($D$10+SUM($N$33:N223))/$D$5)-D223))))</f>
        <v/>
      </c>
      <c r="D224" s="8">
        <f>D223+C224</f>
        <v/>
      </c>
      <c r="E224" s="8">
        <f>$D$5</f>
        <v/>
      </c>
      <c r="F224" s="8">
        <f>IF(G223&gt;=$D$11,0,MIN(D224*E224,$D$11-G223))</f>
        <v/>
      </c>
      <c r="G224" s="8">
        <f>G223+F224</f>
        <v/>
      </c>
      <c r="H224" s="10">
        <f>H223+$D$6*F224</f>
        <v/>
      </c>
      <c r="I224" s="10">
        <f>$D$7*F224+Q224</f>
        <v/>
      </c>
      <c r="J224" s="10">
        <f>J223+$D$8*F224+K224-P224</f>
        <v/>
      </c>
      <c r="K224" s="10">
        <f>($D$9/12)*J223</f>
        <v/>
      </c>
      <c r="L224" s="9">
        <f>IF(G224=0,0,J224/(G224*$D$12))</f>
        <v/>
      </c>
      <c r="M224" s="13">
        <f>I224/G224</f>
        <v/>
      </c>
      <c r="N224" s="8">
        <f>INDEX($G$6:$G$30,MIN(INT((A224-1)/12)+1,25))</f>
        <v/>
      </c>
      <c r="O224" s="126">
        <f>G224*$D$12</f>
        <v/>
      </c>
      <c r="P224">
        <f>IF(F224=0,0,MAX(0,0.01*G224-$D$7*F224))</f>
        <v/>
      </c>
    </row>
    <row r="225">
      <c r="A225" s="7" t="n">
        <v>193</v>
      </c>
      <c r="B225" s="98">
        <f>CEILING(0.0101*G224/$D$5,1)</f>
        <v/>
      </c>
      <c r="C225" s="8">
        <f>MAX(0,MIN(MAX(0,FLOOR($D$15*D224*MAX(0,1-D224/(($D$10+SUM($N$33:N224))/$D$5)),1)),IF(A225&gt;=$D$14,IF(AND(D224&gt;0,F224&gt;0),INT(K224*D224/F224),0),1000000000),MIN(IF($D$11&gt;G224,INT(($D$11-G224)/$D$5),0)-D224,MAX(B225,INT(($D$10+SUM($N$33:N224))/$D$5)-D224))))</f>
        <v/>
      </c>
      <c r="D225" s="8">
        <f>D224+C225</f>
        <v/>
      </c>
      <c r="E225" s="8">
        <f>$D$5</f>
        <v/>
      </c>
      <c r="F225" s="8">
        <f>IF(G224&gt;=$D$11,0,MIN(D225*E225,$D$11-G224))</f>
        <v/>
      </c>
      <c r="G225" s="8">
        <f>G224+F225</f>
        <v/>
      </c>
      <c r="H225" s="10">
        <f>H224+$D$6*F225</f>
        <v/>
      </c>
      <c r="I225" s="10">
        <f>$D$7*F225+Q225</f>
        <v/>
      </c>
      <c r="J225" s="10">
        <f>J224+$D$8*F225+K225-P225</f>
        <v/>
      </c>
      <c r="K225" s="10">
        <f>($D$9/12)*J224</f>
        <v/>
      </c>
      <c r="L225" s="9">
        <f>IF(G225=0,0,J225/(G225*$D$12))</f>
        <v/>
      </c>
      <c r="M225" s="13">
        <f>I225/G225</f>
        <v/>
      </c>
      <c r="N225" s="8">
        <f>INDEX($G$6:$G$30,MIN(INT((A225-1)/12)+1,25))</f>
        <v/>
      </c>
      <c r="O225" s="126">
        <f>G225*$D$12</f>
        <v/>
      </c>
      <c r="P225">
        <f>IF(F225=0,0,MAX(0,0.01*G225-$D$7*F225))</f>
        <v/>
      </c>
    </row>
    <row r="226">
      <c r="A226" s="7" t="n">
        <v>194</v>
      </c>
      <c r="B226" s="98">
        <f>CEILING(0.0101*G225/$D$5,1)</f>
        <v/>
      </c>
      <c r="C226" s="8">
        <f>MAX(0,MIN(MAX(0,FLOOR($D$15*D225*MAX(0,1-D225/(($D$10+SUM($N$33:N225))/$D$5)),1)),IF(A226&gt;=$D$14,IF(AND(D225&gt;0,F225&gt;0),INT(K225*D225/F225),0),1000000000),MIN(IF($D$11&gt;G225,INT(($D$11-G225)/$D$5),0)-D225,MAX(B226,INT(($D$10+SUM($N$33:N225))/$D$5)-D225))))</f>
        <v/>
      </c>
      <c r="D226" s="8">
        <f>D225+C226</f>
        <v/>
      </c>
      <c r="E226" s="8">
        <f>$D$5</f>
        <v/>
      </c>
      <c r="F226" s="8">
        <f>IF(G225&gt;=$D$11,0,MIN(D226*E226,$D$11-G225))</f>
        <v/>
      </c>
      <c r="G226" s="8">
        <f>G225+F226</f>
        <v/>
      </c>
      <c r="H226" s="10">
        <f>H225+$D$6*F226</f>
        <v/>
      </c>
      <c r="I226" s="10">
        <f>$D$7*F226+Q226</f>
        <v/>
      </c>
      <c r="J226" s="10">
        <f>J225+$D$8*F226+K226-P226</f>
        <v/>
      </c>
      <c r="K226" s="10">
        <f>($D$9/12)*J225</f>
        <v/>
      </c>
      <c r="L226" s="9">
        <f>IF(G226=0,0,J226/(G226*$D$12))</f>
        <v/>
      </c>
      <c r="M226" s="13">
        <f>I226/G226</f>
        <v/>
      </c>
      <c r="N226" s="8">
        <f>INDEX($G$6:$G$30,MIN(INT((A226-1)/12)+1,25))</f>
        <v/>
      </c>
      <c r="O226" s="126">
        <f>G226*$D$12</f>
        <v/>
      </c>
      <c r="P226">
        <f>IF(F226=0,0,MAX(0,0.01*G226-$D$7*F226))</f>
        <v/>
      </c>
    </row>
    <row r="227">
      <c r="A227" s="7" t="n">
        <v>195</v>
      </c>
      <c r="B227" s="98">
        <f>CEILING(0.0101*G226/$D$5,1)</f>
        <v/>
      </c>
      <c r="C227" s="8">
        <f>MAX(0,MIN(MAX(0,FLOOR($D$15*D226*MAX(0,1-D226/(($D$10+SUM($N$33:N226))/$D$5)),1)),IF(A227&gt;=$D$14,IF(AND(D226&gt;0,F226&gt;0),INT(K226*D226/F226),0),1000000000),MIN(IF($D$11&gt;G226,INT(($D$11-G226)/$D$5),0)-D226,MAX(B227,INT(($D$10+SUM($N$33:N226))/$D$5)-D226))))</f>
        <v/>
      </c>
      <c r="D227" s="8">
        <f>D226+C227</f>
        <v/>
      </c>
      <c r="E227" s="8">
        <f>$D$5</f>
        <v/>
      </c>
      <c r="F227" s="8">
        <f>IF(G226&gt;=$D$11,0,MIN(D227*E227,$D$11-G226))</f>
        <v/>
      </c>
      <c r="G227" s="8">
        <f>G226+F227</f>
        <v/>
      </c>
      <c r="H227" s="10">
        <f>H226+$D$6*F227</f>
        <v/>
      </c>
      <c r="I227" s="10">
        <f>$D$7*F227+Q227</f>
        <v/>
      </c>
      <c r="J227" s="10">
        <f>J226+$D$8*F227+K227-P227</f>
        <v/>
      </c>
      <c r="K227" s="10">
        <f>($D$9/12)*J226</f>
        <v/>
      </c>
      <c r="L227" s="9">
        <f>IF(G227=0,0,J227/(G227*$D$12))</f>
        <v/>
      </c>
      <c r="M227" s="13">
        <f>I227/G227</f>
        <v/>
      </c>
      <c r="N227" s="8">
        <f>INDEX($G$6:$G$30,MIN(INT((A227-1)/12)+1,25))</f>
        <v/>
      </c>
      <c r="O227" s="126">
        <f>G227*$D$12</f>
        <v/>
      </c>
      <c r="P227">
        <f>IF(F227=0,0,MAX(0,0.01*G227-$D$7*F227))</f>
        <v/>
      </c>
    </row>
    <row r="228">
      <c r="A228" s="7" t="n">
        <v>196</v>
      </c>
      <c r="B228" s="98">
        <f>CEILING(0.0101*G227/$D$5,1)</f>
        <v/>
      </c>
      <c r="C228" s="8">
        <f>MAX(0,MIN(MAX(0,FLOOR($D$15*D227*MAX(0,1-D227/(($D$10+SUM($N$33:N227))/$D$5)),1)),IF(A228&gt;=$D$14,IF(AND(D227&gt;0,F227&gt;0),INT(K227*D227/F227),0),1000000000),MIN(IF($D$11&gt;G227,INT(($D$11-G227)/$D$5),0)-D227,MAX(B228,INT(($D$10+SUM($N$33:N227))/$D$5)-D227))))</f>
        <v/>
      </c>
      <c r="D228" s="8">
        <f>D227+C228</f>
        <v/>
      </c>
      <c r="E228" s="8">
        <f>$D$5</f>
        <v/>
      </c>
      <c r="F228" s="8">
        <f>IF(G227&gt;=$D$11,0,MIN(D228*E228,$D$11-G227))</f>
        <v/>
      </c>
      <c r="G228" s="8">
        <f>G227+F228</f>
        <v/>
      </c>
      <c r="H228" s="10">
        <f>H227+$D$6*F228</f>
        <v/>
      </c>
      <c r="I228" s="10">
        <f>$D$7*F228+Q228</f>
        <v/>
      </c>
      <c r="J228" s="10">
        <f>J227+$D$8*F228+K228-P228</f>
        <v/>
      </c>
      <c r="K228" s="10">
        <f>($D$9/12)*J227</f>
        <v/>
      </c>
      <c r="L228" s="9">
        <f>IF(G228=0,0,J228/(G228*$D$12))</f>
        <v/>
      </c>
      <c r="M228" s="13">
        <f>I228/G228</f>
        <v/>
      </c>
      <c r="N228" s="8">
        <f>INDEX($G$6:$G$30,MIN(INT((A228-1)/12)+1,25))</f>
        <v/>
      </c>
      <c r="O228" s="126">
        <f>G228*$D$12</f>
        <v/>
      </c>
      <c r="P228">
        <f>IF(F228=0,0,MAX(0,0.01*G228-$D$7*F228))</f>
        <v/>
      </c>
    </row>
    <row r="229">
      <c r="A229" s="7" t="n">
        <v>197</v>
      </c>
      <c r="B229" s="98">
        <f>CEILING(0.0101*G228/$D$5,1)</f>
        <v/>
      </c>
      <c r="C229" s="8">
        <f>MAX(0,MIN(MAX(0,FLOOR($D$15*D228*MAX(0,1-D228/(($D$10+SUM($N$33:N228))/$D$5)),1)),IF(A229&gt;=$D$14,IF(AND(D228&gt;0,F228&gt;0),INT(K228*D228/F228),0),1000000000),MIN(IF($D$11&gt;G228,INT(($D$11-G228)/$D$5),0)-D228,MAX(B229,INT(($D$10+SUM($N$33:N228))/$D$5)-D228))))</f>
        <v/>
      </c>
      <c r="D229" s="8">
        <f>D228+C229</f>
        <v/>
      </c>
      <c r="E229" s="8">
        <f>$D$5</f>
        <v/>
      </c>
      <c r="F229" s="8">
        <f>IF(G228&gt;=$D$11,0,MIN(D229*E229,$D$11-G228))</f>
        <v/>
      </c>
      <c r="G229" s="8">
        <f>G228+F229</f>
        <v/>
      </c>
      <c r="H229" s="10">
        <f>H228+$D$6*F229</f>
        <v/>
      </c>
      <c r="I229" s="10">
        <f>$D$7*F229+Q229</f>
        <v/>
      </c>
      <c r="J229" s="10">
        <f>J228+$D$8*F229+K229-P229</f>
        <v/>
      </c>
      <c r="K229" s="10">
        <f>($D$9/12)*J228</f>
        <v/>
      </c>
      <c r="L229" s="9">
        <f>IF(G229=0,0,J229/(G229*$D$12))</f>
        <v/>
      </c>
      <c r="M229" s="13">
        <f>I229/G229</f>
        <v/>
      </c>
      <c r="N229" s="8">
        <f>INDEX($G$6:$G$30,MIN(INT((A229-1)/12)+1,25))</f>
        <v/>
      </c>
      <c r="O229" s="126">
        <f>G229*$D$12</f>
        <v/>
      </c>
      <c r="P229">
        <f>IF(F229=0,0,MAX(0,0.01*G229-$D$7*F229))</f>
        <v/>
      </c>
    </row>
    <row r="230">
      <c r="A230" s="7" t="n">
        <v>198</v>
      </c>
      <c r="B230" s="98">
        <f>CEILING(0.0101*G229/$D$5,1)</f>
        <v/>
      </c>
      <c r="C230" s="8">
        <f>MAX(0,MIN(MAX(0,FLOOR($D$15*D229*MAX(0,1-D229/(($D$10+SUM($N$33:N229))/$D$5)),1)),IF(A230&gt;=$D$14,IF(AND(D229&gt;0,F229&gt;0),INT(K229*D229/F229),0),1000000000),MIN(IF($D$11&gt;G229,INT(($D$11-G229)/$D$5),0)-D229,MAX(B230,INT(($D$10+SUM($N$33:N229))/$D$5)-D229))))</f>
        <v/>
      </c>
      <c r="D230" s="8">
        <f>D229+C230</f>
        <v/>
      </c>
      <c r="E230" s="8">
        <f>$D$5</f>
        <v/>
      </c>
      <c r="F230" s="8">
        <f>IF(G229&gt;=$D$11,0,MIN(D230*E230,$D$11-G229))</f>
        <v/>
      </c>
      <c r="G230" s="8">
        <f>G229+F230</f>
        <v/>
      </c>
      <c r="H230" s="10">
        <f>H229+$D$6*F230</f>
        <v/>
      </c>
      <c r="I230" s="10">
        <f>$D$7*F230+Q230</f>
        <v/>
      </c>
      <c r="J230" s="10">
        <f>J229+$D$8*F230+K230-P230</f>
        <v/>
      </c>
      <c r="K230" s="10">
        <f>($D$9/12)*J229</f>
        <v/>
      </c>
      <c r="L230" s="9">
        <f>IF(G230=0,0,J230/(G230*$D$12))</f>
        <v/>
      </c>
      <c r="M230" s="13">
        <f>I230/G230</f>
        <v/>
      </c>
      <c r="N230" s="8">
        <f>INDEX($G$6:$G$30,MIN(INT((A230-1)/12)+1,25))</f>
        <v/>
      </c>
      <c r="O230" s="126">
        <f>G230*$D$12</f>
        <v/>
      </c>
      <c r="P230">
        <f>IF(F230=0,0,MAX(0,0.01*G230-$D$7*F230))</f>
        <v/>
      </c>
    </row>
    <row r="231">
      <c r="A231" s="7" t="n">
        <v>199</v>
      </c>
      <c r="B231" s="98">
        <f>CEILING(0.0101*G230/$D$5,1)</f>
        <v/>
      </c>
      <c r="C231" s="8">
        <f>MAX(0,MIN(MAX(0,FLOOR($D$15*D230*MAX(0,1-D230/(($D$10+SUM($N$33:N230))/$D$5)),1)),IF(A231&gt;=$D$14,IF(AND(D230&gt;0,F230&gt;0),INT(K230*D230/F230),0),1000000000),MIN(IF($D$11&gt;G230,INT(($D$11-G230)/$D$5),0)-D230,MAX(B231,INT(($D$10+SUM($N$33:N230))/$D$5)-D230))))</f>
        <v/>
      </c>
      <c r="D231" s="8">
        <f>D230+C231</f>
        <v/>
      </c>
      <c r="E231" s="8">
        <f>$D$5</f>
        <v/>
      </c>
      <c r="F231" s="8">
        <f>IF(G230&gt;=$D$11,0,MIN(D231*E231,$D$11-G230))</f>
        <v/>
      </c>
      <c r="G231" s="8">
        <f>G230+F231</f>
        <v/>
      </c>
      <c r="H231" s="10">
        <f>H230+$D$6*F231</f>
        <v/>
      </c>
      <c r="I231" s="10">
        <f>$D$7*F231+Q231</f>
        <v/>
      </c>
      <c r="J231" s="10">
        <f>J230+$D$8*F231+K231-P231</f>
        <v/>
      </c>
      <c r="K231" s="10">
        <f>($D$9/12)*J230</f>
        <v/>
      </c>
      <c r="L231" s="9">
        <f>IF(G231=0,0,J231/(G231*$D$12))</f>
        <v/>
      </c>
      <c r="M231" s="13">
        <f>I231/G231</f>
        <v/>
      </c>
      <c r="N231" s="8">
        <f>INDEX($G$6:$G$30,MIN(INT((A231-1)/12)+1,25))</f>
        <v/>
      </c>
      <c r="O231" s="126">
        <f>G231*$D$12</f>
        <v/>
      </c>
      <c r="P231">
        <f>IF(F231=0,0,MAX(0,0.01*G231-$D$7*F231))</f>
        <v/>
      </c>
    </row>
    <row r="232">
      <c r="A232" s="7" t="n">
        <v>200</v>
      </c>
      <c r="B232" s="98">
        <f>CEILING(0.0101*G231/$D$5,1)</f>
        <v/>
      </c>
      <c r="C232" s="8">
        <f>MAX(0,MIN(MAX(0,FLOOR($D$15*D231*MAX(0,1-D231/(($D$10+SUM($N$33:N231))/$D$5)),1)),IF(A232&gt;=$D$14,IF(AND(D231&gt;0,F231&gt;0),INT(K231*D231/F231),0),1000000000),MIN(IF($D$11&gt;G231,INT(($D$11-G231)/$D$5),0)-D231,MAX(B232,INT(($D$10+SUM($N$33:N231))/$D$5)-D231))))</f>
        <v/>
      </c>
      <c r="D232" s="8">
        <f>D231+C232</f>
        <v/>
      </c>
      <c r="E232" s="8">
        <f>$D$5</f>
        <v/>
      </c>
      <c r="F232" s="8">
        <f>IF(G231&gt;=$D$11,0,MIN(D232*E232,$D$11-G231))</f>
        <v/>
      </c>
      <c r="G232" s="8">
        <f>G231+F232</f>
        <v/>
      </c>
      <c r="H232" s="10">
        <f>H231+$D$6*F232</f>
        <v/>
      </c>
      <c r="I232" s="10">
        <f>$D$7*F232+Q232</f>
        <v/>
      </c>
      <c r="J232" s="10">
        <f>J231+$D$8*F232+K232-P232</f>
        <v/>
      </c>
      <c r="K232" s="10">
        <f>($D$9/12)*J231</f>
        <v/>
      </c>
      <c r="L232" s="9">
        <f>IF(G232=0,0,J232/(G232*$D$12))</f>
        <v/>
      </c>
      <c r="M232" s="13">
        <f>I232/G232</f>
        <v/>
      </c>
      <c r="N232" s="8">
        <f>INDEX($G$6:$G$30,MIN(INT((A232-1)/12)+1,25))</f>
        <v/>
      </c>
      <c r="O232" s="126">
        <f>G232*$D$12</f>
        <v/>
      </c>
      <c r="P232">
        <f>IF(F232=0,0,MAX(0,0.01*G232-$D$7*F232))</f>
        <v/>
      </c>
    </row>
    <row r="233">
      <c r="A233" s="7" t="n">
        <v>201</v>
      </c>
      <c r="B233" s="98">
        <f>CEILING(0.0101*G232/$D$5,1)</f>
        <v/>
      </c>
      <c r="C233" s="8">
        <f>MAX(0,MIN(MAX(0,FLOOR($D$15*D232*MAX(0,1-D232/(($D$10+SUM($N$33:N232))/$D$5)),1)),IF(A233&gt;=$D$14,IF(AND(D232&gt;0,F232&gt;0),INT(K232*D232/F232),0),1000000000),MIN(IF($D$11&gt;G232,INT(($D$11-G232)/$D$5),0)-D232,MAX(B233,INT(($D$10+SUM($N$33:N232))/$D$5)-D232))))</f>
        <v/>
      </c>
      <c r="D233" s="8">
        <f>D232+C233</f>
        <v/>
      </c>
      <c r="E233" s="8">
        <f>$D$5</f>
        <v/>
      </c>
      <c r="F233" s="8">
        <f>IF(G232&gt;=$D$11,0,MIN(D233*E233,$D$11-G232))</f>
        <v/>
      </c>
      <c r="G233" s="8">
        <f>G232+F233</f>
        <v/>
      </c>
      <c r="H233" s="10">
        <f>H232+$D$6*F233</f>
        <v/>
      </c>
      <c r="I233" s="10">
        <f>$D$7*F233+Q233</f>
        <v/>
      </c>
      <c r="J233" s="10">
        <f>J232+$D$8*F233+K233-P233</f>
        <v/>
      </c>
      <c r="K233" s="10">
        <f>($D$9/12)*J232</f>
        <v/>
      </c>
      <c r="L233" s="9">
        <f>IF(G233=0,0,J233/(G233*$D$12))</f>
        <v/>
      </c>
      <c r="M233" s="13">
        <f>I233/G233</f>
        <v/>
      </c>
      <c r="N233" s="8">
        <f>INDEX($G$6:$G$30,MIN(INT((A233-1)/12)+1,25))</f>
        <v/>
      </c>
      <c r="O233" s="126">
        <f>G233*$D$12</f>
        <v/>
      </c>
      <c r="P233">
        <f>IF(F233=0,0,MAX(0,0.01*G233-$D$7*F233))</f>
        <v/>
      </c>
    </row>
    <row r="234">
      <c r="A234" s="7" t="n">
        <v>202</v>
      </c>
      <c r="B234" s="98">
        <f>CEILING(0.0101*G233/$D$5,1)</f>
        <v/>
      </c>
      <c r="C234" s="8">
        <f>MAX(0,MIN(MAX(0,FLOOR($D$15*D233*MAX(0,1-D233/(($D$10+SUM($N$33:N233))/$D$5)),1)),IF(A234&gt;=$D$14,IF(AND(D233&gt;0,F233&gt;0),INT(K233*D233/F233),0),1000000000),MIN(IF($D$11&gt;G233,INT(($D$11-G233)/$D$5),0)-D233,MAX(B234,INT(($D$10+SUM($N$33:N233))/$D$5)-D233))))</f>
        <v/>
      </c>
      <c r="D234" s="8">
        <f>D233+C234</f>
        <v/>
      </c>
      <c r="E234" s="8">
        <f>$D$5</f>
        <v/>
      </c>
      <c r="F234" s="8">
        <f>IF(G233&gt;=$D$11,0,MIN(D234*E234,$D$11-G233))</f>
        <v/>
      </c>
      <c r="G234" s="8">
        <f>G233+F234</f>
        <v/>
      </c>
      <c r="H234" s="10">
        <f>H233+$D$6*F234</f>
        <v/>
      </c>
      <c r="I234" s="10">
        <f>$D$7*F234+Q234</f>
        <v/>
      </c>
      <c r="J234" s="10">
        <f>J233+$D$8*F234+K234-P234</f>
        <v/>
      </c>
      <c r="K234" s="10">
        <f>($D$9/12)*J233</f>
        <v/>
      </c>
      <c r="L234" s="9">
        <f>IF(G234=0,0,J234/(G234*$D$12))</f>
        <v/>
      </c>
      <c r="M234" s="13">
        <f>I234/G234</f>
        <v/>
      </c>
      <c r="N234" s="8">
        <f>INDEX($G$6:$G$30,MIN(INT((A234-1)/12)+1,25))</f>
        <v/>
      </c>
      <c r="O234" s="126">
        <f>G234*$D$12</f>
        <v/>
      </c>
      <c r="P234">
        <f>IF(F234=0,0,MAX(0,0.01*G234-$D$7*F234))</f>
        <v/>
      </c>
    </row>
    <row r="235">
      <c r="A235" s="7" t="n">
        <v>203</v>
      </c>
      <c r="B235" s="98">
        <f>CEILING(0.0101*G234/$D$5,1)</f>
        <v/>
      </c>
      <c r="C235" s="8">
        <f>MAX(0,MIN(MAX(0,FLOOR($D$15*D234*MAX(0,1-D234/(($D$10+SUM($N$33:N234))/$D$5)),1)),IF(A235&gt;=$D$14,IF(AND(D234&gt;0,F234&gt;0),INT(K234*D234/F234),0),1000000000),MIN(IF($D$11&gt;G234,INT(($D$11-G234)/$D$5),0)-D234,MAX(B235,INT(($D$10+SUM($N$33:N234))/$D$5)-D234))))</f>
        <v/>
      </c>
      <c r="D235" s="8">
        <f>D234+C235</f>
        <v/>
      </c>
      <c r="E235" s="8">
        <f>$D$5</f>
        <v/>
      </c>
      <c r="F235" s="8">
        <f>IF(G234&gt;=$D$11,0,MIN(D235*E235,$D$11-G234))</f>
        <v/>
      </c>
      <c r="G235" s="8">
        <f>G234+F235</f>
        <v/>
      </c>
      <c r="H235" s="10">
        <f>H234+$D$6*F235</f>
        <v/>
      </c>
      <c r="I235" s="10">
        <f>$D$7*F235+Q235</f>
        <v/>
      </c>
      <c r="J235" s="10">
        <f>J234+$D$8*F235+K235-P235</f>
        <v/>
      </c>
      <c r="K235" s="10">
        <f>($D$9/12)*J234</f>
        <v/>
      </c>
      <c r="L235" s="9">
        <f>IF(G235=0,0,J235/(G235*$D$12))</f>
        <v/>
      </c>
      <c r="M235" s="13">
        <f>I235/G235</f>
        <v/>
      </c>
      <c r="N235" s="8">
        <f>INDEX($G$6:$G$30,MIN(INT((A235-1)/12)+1,25))</f>
        <v/>
      </c>
      <c r="O235" s="126">
        <f>G235*$D$12</f>
        <v/>
      </c>
      <c r="P235">
        <f>IF(F235=0,0,MAX(0,0.01*G235-$D$7*F235))</f>
        <v/>
      </c>
    </row>
    <row r="236">
      <c r="A236" s="7" t="n">
        <v>204</v>
      </c>
      <c r="B236" s="98">
        <f>CEILING(0.0101*G235/$D$5,1)</f>
        <v/>
      </c>
      <c r="C236" s="8">
        <f>MAX(0,MIN(MAX(0,FLOOR($D$15*D235*MAX(0,1-D235/(($D$10+SUM($N$33:N235))/$D$5)),1)),IF(A236&gt;=$D$14,IF(AND(D235&gt;0,F235&gt;0),INT(K235*D235/F235),0),1000000000),MIN(IF($D$11&gt;G235,INT(($D$11-G235)/$D$5),0)-D235,MAX(B236,INT(($D$10+SUM($N$33:N235))/$D$5)-D235))))</f>
        <v/>
      </c>
      <c r="D236" s="8">
        <f>D235+C236</f>
        <v/>
      </c>
      <c r="E236" s="8">
        <f>$D$5</f>
        <v/>
      </c>
      <c r="F236" s="8">
        <f>IF(G235&gt;=$D$11,0,MIN(D236*E236,$D$11-G235))</f>
        <v/>
      </c>
      <c r="G236" s="8">
        <f>G235+F236</f>
        <v/>
      </c>
      <c r="H236" s="10">
        <f>H235+$D$6*F236</f>
        <v/>
      </c>
      <c r="I236" s="10">
        <f>$D$7*F236+Q236</f>
        <v/>
      </c>
      <c r="J236" s="10">
        <f>J235+$D$8*F236+K236-P236</f>
        <v/>
      </c>
      <c r="K236" s="10">
        <f>($D$9/12)*J235</f>
        <v/>
      </c>
      <c r="L236" s="9">
        <f>IF(G236=0,0,J236/(G236*$D$12))</f>
        <v/>
      </c>
      <c r="M236" s="13">
        <f>I236/G236</f>
        <v/>
      </c>
      <c r="N236" s="8">
        <f>INDEX($G$6:$G$30,MIN(INT((A236-1)/12)+1,25))</f>
        <v/>
      </c>
      <c r="O236" s="126">
        <f>G236*$D$12</f>
        <v/>
      </c>
      <c r="P236">
        <f>IF(F236=0,0,MAX(0,0.01*G236-$D$7*F236))</f>
        <v/>
      </c>
    </row>
    <row r="237">
      <c r="A237" s="7" t="n">
        <v>205</v>
      </c>
      <c r="B237" s="98">
        <f>CEILING(0.0101*G236/$D$5,1)</f>
        <v/>
      </c>
      <c r="C237" s="8">
        <f>MAX(0,MIN(MAX(0,FLOOR($D$15*D236*MAX(0,1-D236/(($D$10+SUM($N$33:N236))/$D$5)),1)),IF(A237&gt;=$D$14,IF(AND(D236&gt;0,F236&gt;0),INT(K236*D236/F236),0),1000000000),MIN(IF($D$11&gt;G236,INT(($D$11-G236)/$D$5),0)-D236,MAX(B237,INT(($D$10+SUM($N$33:N236))/$D$5)-D236))))</f>
        <v/>
      </c>
      <c r="D237" s="8">
        <f>D236+C237</f>
        <v/>
      </c>
      <c r="E237" s="8">
        <f>$D$5</f>
        <v/>
      </c>
      <c r="F237" s="8">
        <f>IF(G236&gt;=$D$11,0,MIN(D237*E237,$D$11-G236))</f>
        <v/>
      </c>
      <c r="G237" s="8">
        <f>G236+F237</f>
        <v/>
      </c>
      <c r="H237" s="10">
        <f>H236+$D$6*F237</f>
        <v/>
      </c>
      <c r="I237" s="10">
        <f>$D$7*F237+Q237</f>
        <v/>
      </c>
      <c r="J237" s="10">
        <f>J236+$D$8*F237+K237-P237</f>
        <v/>
      </c>
      <c r="K237" s="10">
        <f>($D$9/12)*J236</f>
        <v/>
      </c>
      <c r="L237" s="9">
        <f>IF(G237=0,0,J237/(G237*$D$12))</f>
        <v/>
      </c>
      <c r="M237" s="13">
        <f>I237/G237</f>
        <v/>
      </c>
      <c r="N237" s="8">
        <f>INDEX($G$6:$G$30,MIN(INT((A237-1)/12)+1,25))</f>
        <v/>
      </c>
      <c r="O237" s="126">
        <f>G237*$D$12</f>
        <v/>
      </c>
      <c r="P237">
        <f>IF(F237=0,0,MAX(0,0.01*G237-$D$7*F237))</f>
        <v/>
      </c>
    </row>
    <row r="238">
      <c r="A238" s="7" t="n">
        <v>206</v>
      </c>
      <c r="B238" s="98">
        <f>CEILING(0.0101*G237/$D$5,1)</f>
        <v/>
      </c>
      <c r="C238" s="8">
        <f>MAX(0,MIN(MAX(0,FLOOR($D$15*D237*MAX(0,1-D237/(($D$10+SUM($N$33:N237))/$D$5)),1)),IF(A238&gt;=$D$14,IF(AND(D237&gt;0,F237&gt;0),INT(K237*D237/F237),0),1000000000),MIN(IF($D$11&gt;G237,INT(($D$11-G237)/$D$5),0)-D237,MAX(B238,INT(($D$10+SUM($N$33:N237))/$D$5)-D237))))</f>
        <v/>
      </c>
      <c r="D238" s="8">
        <f>D237+C238</f>
        <v/>
      </c>
      <c r="E238" s="8">
        <f>$D$5</f>
        <v/>
      </c>
      <c r="F238" s="8">
        <f>IF(G237&gt;=$D$11,0,MIN(D238*E238,$D$11-G237))</f>
        <v/>
      </c>
      <c r="G238" s="8">
        <f>G237+F238</f>
        <v/>
      </c>
      <c r="H238" s="10">
        <f>H237+$D$6*F238</f>
        <v/>
      </c>
      <c r="I238" s="10">
        <f>$D$7*F238+Q238</f>
        <v/>
      </c>
      <c r="J238" s="10">
        <f>J237+$D$8*F238+K238-P238</f>
        <v/>
      </c>
      <c r="K238" s="10">
        <f>($D$9/12)*J237</f>
        <v/>
      </c>
      <c r="L238" s="9">
        <f>IF(G238=0,0,J238/(G238*$D$12))</f>
        <v/>
      </c>
      <c r="M238" s="13">
        <f>I238/G238</f>
        <v/>
      </c>
      <c r="N238" s="8">
        <f>INDEX($G$6:$G$30,MIN(INT((A238-1)/12)+1,25))</f>
        <v/>
      </c>
      <c r="O238" s="126">
        <f>G238*$D$12</f>
        <v/>
      </c>
      <c r="P238">
        <f>IF(F238=0,0,MAX(0,0.01*G238-$D$7*F238))</f>
        <v/>
      </c>
    </row>
    <row r="239">
      <c r="A239" s="7" t="n">
        <v>207</v>
      </c>
      <c r="B239" s="98">
        <f>CEILING(0.0101*G238/$D$5,1)</f>
        <v/>
      </c>
      <c r="C239" s="8">
        <f>MAX(0,MIN(MAX(0,FLOOR($D$15*D238*MAX(0,1-D238/(($D$10+SUM($N$33:N238))/$D$5)),1)),IF(A239&gt;=$D$14,IF(AND(D238&gt;0,F238&gt;0),INT(K238*D238/F238),0),1000000000),MIN(IF($D$11&gt;G238,INT(($D$11-G238)/$D$5),0)-D238,MAX(B239,INT(($D$10+SUM($N$33:N238))/$D$5)-D238))))</f>
        <v/>
      </c>
      <c r="D239" s="8">
        <f>D238+C239</f>
        <v/>
      </c>
      <c r="E239" s="8">
        <f>$D$5</f>
        <v/>
      </c>
      <c r="F239" s="8">
        <f>IF(G238&gt;=$D$11,0,MIN(D239*E239,$D$11-G238))</f>
        <v/>
      </c>
      <c r="G239" s="8">
        <f>G238+F239</f>
        <v/>
      </c>
      <c r="H239" s="10">
        <f>H238+$D$6*F239</f>
        <v/>
      </c>
      <c r="I239" s="10">
        <f>$D$7*F239+Q239</f>
        <v/>
      </c>
      <c r="J239" s="10">
        <f>J238+$D$8*F239+K239-P239</f>
        <v/>
      </c>
      <c r="K239" s="10">
        <f>($D$9/12)*J238</f>
        <v/>
      </c>
      <c r="L239" s="9">
        <f>IF(G239=0,0,J239/(G239*$D$12))</f>
        <v/>
      </c>
      <c r="M239" s="13">
        <f>I239/G239</f>
        <v/>
      </c>
      <c r="N239" s="8">
        <f>INDEX($G$6:$G$30,MIN(INT((A239-1)/12)+1,25))</f>
        <v/>
      </c>
      <c r="O239" s="126">
        <f>G239*$D$12</f>
        <v/>
      </c>
      <c r="P239">
        <f>IF(F239=0,0,MAX(0,0.01*G239-$D$7*F239))</f>
        <v/>
      </c>
    </row>
    <row r="240">
      <c r="A240" s="7" t="n">
        <v>208</v>
      </c>
      <c r="B240" s="98">
        <f>CEILING(0.0101*G239/$D$5,1)</f>
        <v/>
      </c>
      <c r="C240" s="8">
        <f>MAX(0,MIN(MAX(0,FLOOR($D$15*D239*MAX(0,1-D239/(($D$10+SUM($N$33:N239))/$D$5)),1)),IF(A240&gt;=$D$14,IF(AND(D239&gt;0,F239&gt;0),INT(K239*D239/F239),0),1000000000),MIN(IF($D$11&gt;G239,INT(($D$11-G239)/$D$5),0)-D239,MAX(B240,INT(($D$10+SUM($N$33:N239))/$D$5)-D239))))</f>
        <v/>
      </c>
      <c r="D240" s="8">
        <f>D239+C240</f>
        <v/>
      </c>
      <c r="E240" s="8">
        <f>$D$5</f>
        <v/>
      </c>
      <c r="F240" s="8">
        <f>IF(G239&gt;=$D$11,0,MIN(D240*E240,$D$11-G239))</f>
        <v/>
      </c>
      <c r="G240" s="8">
        <f>G239+F240</f>
        <v/>
      </c>
      <c r="H240" s="10">
        <f>H239+$D$6*F240</f>
        <v/>
      </c>
      <c r="I240" s="10">
        <f>$D$7*F240+Q240</f>
        <v/>
      </c>
      <c r="J240" s="10">
        <f>J239+$D$8*F240+K240-P240</f>
        <v/>
      </c>
      <c r="K240" s="10">
        <f>($D$9/12)*J239</f>
        <v/>
      </c>
      <c r="L240" s="9">
        <f>IF(G240=0,0,J240/(G240*$D$12))</f>
        <v/>
      </c>
      <c r="M240" s="13">
        <f>I240/G240</f>
        <v/>
      </c>
      <c r="N240" s="8">
        <f>INDEX($G$6:$G$30,MIN(INT((A240-1)/12)+1,25))</f>
        <v/>
      </c>
      <c r="O240" s="126">
        <f>G240*$D$12</f>
        <v/>
      </c>
      <c r="P240">
        <f>IF(F240=0,0,MAX(0,0.01*G240-$D$7*F240))</f>
        <v/>
      </c>
    </row>
    <row r="241">
      <c r="A241" s="7" t="n">
        <v>209</v>
      </c>
      <c r="B241" s="98">
        <f>CEILING(0.0101*G240/$D$5,1)</f>
        <v/>
      </c>
      <c r="C241" s="8">
        <f>MAX(0,MIN(MAX(0,FLOOR($D$15*D240*MAX(0,1-D240/(($D$10+SUM($N$33:N240))/$D$5)),1)),IF(A241&gt;=$D$14,IF(AND(D240&gt;0,F240&gt;0),INT(K240*D240/F240),0),1000000000),MIN(IF($D$11&gt;G240,INT(($D$11-G240)/$D$5),0)-D240,MAX(B241,INT(($D$10+SUM($N$33:N240))/$D$5)-D240))))</f>
        <v/>
      </c>
      <c r="D241" s="8">
        <f>D240+C241</f>
        <v/>
      </c>
      <c r="E241" s="8">
        <f>$D$5</f>
        <v/>
      </c>
      <c r="F241" s="8">
        <f>IF(G240&gt;=$D$11,0,MIN(D241*E241,$D$11-G240))</f>
        <v/>
      </c>
      <c r="G241" s="8">
        <f>G240+F241</f>
        <v/>
      </c>
      <c r="H241" s="10">
        <f>H240+$D$6*F241</f>
        <v/>
      </c>
      <c r="I241" s="10">
        <f>$D$7*F241+Q241</f>
        <v/>
      </c>
      <c r="J241" s="10">
        <f>J240+$D$8*F241+K241-P241</f>
        <v/>
      </c>
      <c r="K241" s="10">
        <f>($D$9/12)*J240</f>
        <v/>
      </c>
      <c r="L241" s="9">
        <f>IF(G241=0,0,J241/(G241*$D$12))</f>
        <v/>
      </c>
      <c r="M241" s="13">
        <f>I241/G241</f>
        <v/>
      </c>
      <c r="N241" s="8">
        <f>INDEX($G$6:$G$30,MIN(INT((A241-1)/12)+1,25))</f>
        <v/>
      </c>
      <c r="O241" s="126">
        <f>G241*$D$12</f>
        <v/>
      </c>
      <c r="P241">
        <f>IF(F241=0,0,MAX(0,0.01*G241-$D$7*F241))</f>
        <v/>
      </c>
    </row>
    <row r="242">
      <c r="A242" s="7" t="n">
        <v>210</v>
      </c>
      <c r="B242" s="98">
        <f>CEILING(0.0101*G241/$D$5,1)</f>
        <v/>
      </c>
      <c r="C242" s="8">
        <f>MAX(0,MIN(MAX(0,FLOOR($D$15*D241*MAX(0,1-D241/(($D$10+SUM($N$33:N241))/$D$5)),1)),IF(A242&gt;=$D$14,IF(AND(D241&gt;0,F241&gt;0),INT(K241*D241/F241),0),1000000000),MIN(IF($D$11&gt;G241,INT(($D$11-G241)/$D$5),0)-D241,MAX(B242,INT(($D$10+SUM($N$33:N241))/$D$5)-D241))))</f>
        <v/>
      </c>
      <c r="D242" s="8">
        <f>D241+C242</f>
        <v/>
      </c>
      <c r="E242" s="8">
        <f>$D$5</f>
        <v/>
      </c>
      <c r="F242" s="8">
        <f>IF(G241&gt;=$D$11,0,MIN(D242*E242,$D$11-G241))</f>
        <v/>
      </c>
      <c r="G242" s="8">
        <f>G241+F242</f>
        <v/>
      </c>
      <c r="H242" s="10">
        <f>H241+$D$6*F242</f>
        <v/>
      </c>
      <c r="I242" s="10">
        <f>$D$7*F242+Q242</f>
        <v/>
      </c>
      <c r="J242" s="10">
        <f>J241+$D$8*F242+K242-P242</f>
        <v/>
      </c>
      <c r="K242" s="10">
        <f>($D$9/12)*J241</f>
        <v/>
      </c>
      <c r="L242" s="9">
        <f>IF(G242=0,0,J242/(G242*$D$12))</f>
        <v/>
      </c>
      <c r="M242" s="13">
        <f>I242/G242</f>
        <v/>
      </c>
      <c r="N242" s="8">
        <f>INDEX($G$6:$G$30,MIN(INT((A242-1)/12)+1,25))</f>
        <v/>
      </c>
      <c r="O242" s="126">
        <f>G242*$D$12</f>
        <v/>
      </c>
      <c r="P242">
        <f>IF(F242=0,0,MAX(0,0.01*G242-$D$7*F242))</f>
        <v/>
      </c>
    </row>
    <row r="243">
      <c r="A243" s="7" t="n">
        <v>211</v>
      </c>
      <c r="B243" s="98">
        <f>CEILING(0.0101*G242/$D$5,1)</f>
        <v/>
      </c>
      <c r="C243" s="8">
        <f>MAX(0,MIN(MAX(0,FLOOR($D$15*D242*MAX(0,1-D242/(($D$10+SUM($N$33:N242))/$D$5)),1)),IF(A243&gt;=$D$14,IF(AND(D242&gt;0,F242&gt;0),INT(K242*D242/F242),0),1000000000),MIN(IF($D$11&gt;G242,INT(($D$11-G242)/$D$5),0)-D242,MAX(B243,INT(($D$10+SUM($N$33:N242))/$D$5)-D242))))</f>
        <v/>
      </c>
      <c r="D243" s="8">
        <f>D242+C243</f>
        <v/>
      </c>
      <c r="E243" s="8">
        <f>$D$5</f>
        <v/>
      </c>
      <c r="F243" s="8">
        <f>IF(G242&gt;=$D$11,0,MIN(D243*E243,$D$11-G242))</f>
        <v/>
      </c>
      <c r="G243" s="8">
        <f>G242+F243</f>
        <v/>
      </c>
      <c r="H243" s="10">
        <f>H242+$D$6*F243</f>
        <v/>
      </c>
      <c r="I243" s="10">
        <f>$D$7*F243+Q243</f>
        <v/>
      </c>
      <c r="J243" s="10">
        <f>J242+$D$8*F243+K243-P243</f>
        <v/>
      </c>
      <c r="K243" s="10">
        <f>($D$9/12)*J242</f>
        <v/>
      </c>
      <c r="L243" s="9">
        <f>IF(G243=0,0,J243/(G243*$D$12))</f>
        <v/>
      </c>
      <c r="M243" s="13">
        <f>I243/G243</f>
        <v/>
      </c>
      <c r="N243" s="8">
        <f>INDEX($G$6:$G$30,MIN(INT((A243-1)/12)+1,25))</f>
        <v/>
      </c>
      <c r="O243" s="126">
        <f>G243*$D$12</f>
        <v/>
      </c>
      <c r="P243">
        <f>IF(F243=0,0,MAX(0,0.01*G243-$D$7*F243))</f>
        <v/>
      </c>
    </row>
    <row r="244">
      <c r="A244" s="7" t="n">
        <v>212</v>
      </c>
      <c r="B244" s="98">
        <f>CEILING(0.0101*G243/$D$5,1)</f>
        <v/>
      </c>
      <c r="C244" s="8">
        <f>MAX(0,MIN(MAX(0,FLOOR($D$15*D243*MAX(0,1-D243/(($D$10+SUM($N$33:N243))/$D$5)),1)),IF(A244&gt;=$D$14,IF(AND(D243&gt;0,F243&gt;0),INT(K243*D243/F243),0),1000000000),MIN(IF($D$11&gt;G243,INT(($D$11-G243)/$D$5),0)-D243,MAX(B244,INT(($D$10+SUM($N$33:N243))/$D$5)-D243))))</f>
        <v/>
      </c>
      <c r="D244" s="8">
        <f>D243+C244</f>
        <v/>
      </c>
      <c r="E244" s="8">
        <f>$D$5</f>
        <v/>
      </c>
      <c r="F244" s="8">
        <f>IF(G243&gt;=$D$11,0,MIN(D244*E244,$D$11-G243))</f>
        <v/>
      </c>
      <c r="G244" s="8">
        <f>G243+F244</f>
        <v/>
      </c>
      <c r="H244" s="10">
        <f>H243+$D$6*F244</f>
        <v/>
      </c>
      <c r="I244" s="10">
        <f>$D$7*F244+Q244</f>
        <v/>
      </c>
      <c r="J244" s="10">
        <f>J243+$D$8*F244+K244-P244</f>
        <v/>
      </c>
      <c r="K244" s="10">
        <f>($D$9/12)*J243</f>
        <v/>
      </c>
      <c r="L244" s="9">
        <f>IF(G244=0,0,J244/(G244*$D$12))</f>
        <v/>
      </c>
      <c r="M244" s="13">
        <f>I244/G244</f>
        <v/>
      </c>
      <c r="N244" s="8">
        <f>INDEX($G$6:$G$30,MIN(INT((A244-1)/12)+1,25))</f>
        <v/>
      </c>
      <c r="O244" s="126">
        <f>G244*$D$12</f>
        <v/>
      </c>
      <c r="P244">
        <f>IF(F244=0,0,MAX(0,0.01*G244-$D$7*F244))</f>
        <v/>
      </c>
    </row>
    <row r="245">
      <c r="A245" s="7" t="n">
        <v>213</v>
      </c>
      <c r="B245" s="98">
        <f>CEILING(0.0101*G244/$D$5,1)</f>
        <v/>
      </c>
      <c r="C245" s="8">
        <f>MAX(0,MIN(MAX(0,FLOOR($D$15*D244*MAX(0,1-D244/(($D$10+SUM($N$33:N244))/$D$5)),1)),IF(A245&gt;=$D$14,IF(AND(D244&gt;0,F244&gt;0),INT(K244*D244/F244),0),1000000000),MIN(IF($D$11&gt;G244,INT(($D$11-G244)/$D$5),0)-D244,MAX(B245,INT(($D$10+SUM($N$33:N244))/$D$5)-D244))))</f>
        <v/>
      </c>
      <c r="D245" s="8">
        <f>D244+C245</f>
        <v/>
      </c>
      <c r="E245" s="8">
        <f>$D$5</f>
        <v/>
      </c>
      <c r="F245" s="8">
        <f>IF(G244&gt;=$D$11,0,MIN(D245*E245,$D$11-G244))</f>
        <v/>
      </c>
      <c r="G245" s="8">
        <f>G244+F245</f>
        <v/>
      </c>
      <c r="H245" s="10">
        <f>H244+$D$6*F245</f>
        <v/>
      </c>
      <c r="I245" s="10">
        <f>$D$7*F245+Q245</f>
        <v/>
      </c>
      <c r="J245" s="10">
        <f>J244+$D$8*F245+K245-P245</f>
        <v/>
      </c>
      <c r="K245" s="10">
        <f>($D$9/12)*J244</f>
        <v/>
      </c>
      <c r="L245" s="9">
        <f>IF(G245=0,0,J245/(G245*$D$12))</f>
        <v/>
      </c>
      <c r="M245" s="13">
        <f>I245/G245</f>
        <v/>
      </c>
      <c r="N245" s="8">
        <f>INDEX($G$6:$G$30,MIN(INT((A245-1)/12)+1,25))</f>
        <v/>
      </c>
      <c r="O245" s="126">
        <f>G245*$D$12</f>
        <v/>
      </c>
      <c r="P245">
        <f>IF(F245=0,0,MAX(0,0.01*G245-$D$7*F245))</f>
        <v/>
      </c>
    </row>
    <row r="246">
      <c r="A246" s="7" t="n">
        <v>214</v>
      </c>
      <c r="B246" s="98">
        <f>CEILING(0.0101*G245/$D$5,1)</f>
        <v/>
      </c>
      <c r="C246" s="8">
        <f>MAX(0,MIN(MAX(0,FLOOR($D$15*D245*MAX(0,1-D245/(($D$10+SUM($N$33:N245))/$D$5)),1)),IF(A246&gt;=$D$14,IF(AND(D245&gt;0,F245&gt;0),INT(K245*D245/F245),0),1000000000),MIN(IF($D$11&gt;G245,INT(($D$11-G245)/$D$5),0)-D245,MAX(B246,INT(($D$10+SUM($N$33:N245))/$D$5)-D245))))</f>
        <v/>
      </c>
      <c r="D246" s="8">
        <f>D245+C246</f>
        <v/>
      </c>
      <c r="E246" s="8">
        <f>$D$5</f>
        <v/>
      </c>
      <c r="F246" s="8">
        <f>IF(G245&gt;=$D$11,0,MIN(D246*E246,$D$11-G245))</f>
        <v/>
      </c>
      <c r="G246" s="8">
        <f>G245+F246</f>
        <v/>
      </c>
      <c r="H246" s="10">
        <f>H245+$D$6*F246</f>
        <v/>
      </c>
      <c r="I246" s="10">
        <f>$D$7*F246+Q246</f>
        <v/>
      </c>
      <c r="J246" s="10">
        <f>J245+$D$8*F246+K246-P246</f>
        <v/>
      </c>
      <c r="K246" s="10">
        <f>($D$9/12)*J245</f>
        <v/>
      </c>
      <c r="L246" s="9">
        <f>IF(G246=0,0,J246/(G246*$D$12))</f>
        <v/>
      </c>
      <c r="M246" s="13">
        <f>I246/G246</f>
        <v/>
      </c>
      <c r="N246" s="8">
        <f>INDEX($G$6:$G$30,MIN(INT((A246-1)/12)+1,25))</f>
        <v/>
      </c>
      <c r="O246" s="126">
        <f>G246*$D$12</f>
        <v/>
      </c>
      <c r="P246">
        <f>IF(F246=0,0,MAX(0,0.01*G246-$D$7*F246))</f>
        <v/>
      </c>
    </row>
    <row r="247">
      <c r="A247" s="7" t="n">
        <v>215</v>
      </c>
      <c r="B247" s="98">
        <f>CEILING(0.0101*G246/$D$5,1)</f>
        <v/>
      </c>
      <c r="C247" s="8">
        <f>MAX(0,MIN(MAX(0,FLOOR($D$15*D246*MAX(0,1-D246/(($D$10+SUM($N$33:N246))/$D$5)),1)),IF(A247&gt;=$D$14,IF(AND(D246&gt;0,F246&gt;0),INT(K246*D246/F246),0),1000000000),MIN(IF($D$11&gt;G246,INT(($D$11-G246)/$D$5),0)-D246,MAX(B247,INT(($D$10+SUM($N$33:N246))/$D$5)-D246))))</f>
        <v/>
      </c>
      <c r="D247" s="8">
        <f>D246+C247</f>
        <v/>
      </c>
      <c r="E247" s="8">
        <f>$D$5</f>
        <v/>
      </c>
      <c r="F247" s="8">
        <f>IF(G246&gt;=$D$11,0,MIN(D247*E247,$D$11-G246))</f>
        <v/>
      </c>
      <c r="G247" s="8">
        <f>G246+F247</f>
        <v/>
      </c>
      <c r="H247" s="10">
        <f>H246+$D$6*F247</f>
        <v/>
      </c>
      <c r="I247" s="10">
        <f>$D$7*F247+Q247</f>
        <v/>
      </c>
      <c r="J247" s="10">
        <f>J246+$D$8*F247+K247-P247</f>
        <v/>
      </c>
      <c r="K247" s="10">
        <f>($D$9/12)*J246</f>
        <v/>
      </c>
      <c r="L247" s="9">
        <f>IF(G247=0,0,J247/(G247*$D$12))</f>
        <v/>
      </c>
      <c r="M247" s="13">
        <f>I247/G247</f>
        <v/>
      </c>
      <c r="N247" s="8">
        <f>INDEX($G$6:$G$30,MIN(INT((A247-1)/12)+1,25))</f>
        <v/>
      </c>
      <c r="O247" s="126">
        <f>G247*$D$12</f>
        <v/>
      </c>
      <c r="P247">
        <f>IF(F247=0,0,MAX(0,0.01*G247-$D$7*F247))</f>
        <v/>
      </c>
    </row>
    <row r="248">
      <c r="A248" s="7" t="n">
        <v>216</v>
      </c>
      <c r="B248" s="98">
        <f>CEILING(0.0101*G247/$D$5,1)</f>
        <v/>
      </c>
      <c r="C248" s="8">
        <f>MAX(0,MIN(MAX(0,FLOOR($D$15*D247*MAX(0,1-D247/(($D$10+SUM($N$33:N247))/$D$5)),1)),IF(A248&gt;=$D$14,IF(AND(D247&gt;0,F247&gt;0),INT(K247*D247/F247),0),1000000000),MIN(IF($D$11&gt;G247,INT(($D$11-G247)/$D$5),0)-D247,MAX(B248,INT(($D$10+SUM($N$33:N247))/$D$5)-D247))))</f>
        <v/>
      </c>
      <c r="D248" s="8">
        <f>D247+C248</f>
        <v/>
      </c>
      <c r="E248" s="8">
        <f>$D$5</f>
        <v/>
      </c>
      <c r="F248" s="8">
        <f>IF(G247&gt;=$D$11,0,MIN(D248*E248,$D$11-G247))</f>
        <v/>
      </c>
      <c r="G248" s="8">
        <f>G247+F248</f>
        <v/>
      </c>
      <c r="H248" s="10">
        <f>H247+$D$6*F248</f>
        <v/>
      </c>
      <c r="I248" s="10">
        <f>$D$7*F248+Q248</f>
        <v/>
      </c>
      <c r="J248" s="10">
        <f>J247+$D$8*F248+K248-P248</f>
        <v/>
      </c>
      <c r="K248" s="10">
        <f>($D$9/12)*J247</f>
        <v/>
      </c>
      <c r="L248" s="9">
        <f>IF(G248=0,0,J248/(G248*$D$12))</f>
        <v/>
      </c>
      <c r="M248" s="13">
        <f>I248/G248</f>
        <v/>
      </c>
      <c r="N248" s="8">
        <f>INDEX($G$6:$G$30,MIN(INT((A248-1)/12)+1,25))</f>
        <v/>
      </c>
      <c r="O248" s="126">
        <f>G248*$D$12</f>
        <v/>
      </c>
      <c r="P248">
        <f>IF(F248=0,0,MAX(0,0.01*G248-$D$7*F248))</f>
        <v/>
      </c>
    </row>
    <row r="249">
      <c r="A249" s="7" t="n">
        <v>217</v>
      </c>
      <c r="B249" s="98">
        <f>CEILING(0.0101*G248/$D$5,1)</f>
        <v/>
      </c>
      <c r="C249" s="8">
        <f>MAX(0,MIN(MAX(0,FLOOR($D$15*D248*MAX(0,1-D248/(($D$10+SUM($N$33:N248))/$D$5)),1)),IF(A249&gt;=$D$14,IF(AND(D248&gt;0,F248&gt;0),INT(K248*D248/F248),0),1000000000),MIN(IF($D$11&gt;G248,INT(($D$11-G248)/$D$5),0)-D248,MAX(B249,INT(($D$10+SUM($N$33:N248))/$D$5)-D248))))</f>
        <v/>
      </c>
      <c r="D249" s="8">
        <f>D248+C249</f>
        <v/>
      </c>
      <c r="E249" s="8">
        <f>$D$5</f>
        <v/>
      </c>
      <c r="F249" s="8">
        <f>IF(G248&gt;=$D$11,0,MIN(D249*E249,$D$11-G248))</f>
        <v/>
      </c>
      <c r="G249" s="8">
        <f>G248+F249</f>
        <v/>
      </c>
      <c r="H249" s="10">
        <f>H248+$D$6*F249</f>
        <v/>
      </c>
      <c r="I249" s="10">
        <f>$D$7*F249+Q249</f>
        <v/>
      </c>
      <c r="J249" s="10">
        <f>J248+$D$8*F249+K249-P249</f>
        <v/>
      </c>
      <c r="K249" s="10">
        <f>($D$9/12)*J248</f>
        <v/>
      </c>
      <c r="L249" s="9">
        <f>IF(G249=0,0,J249/(G249*$D$12))</f>
        <v/>
      </c>
      <c r="M249" s="13">
        <f>I249/G249</f>
        <v/>
      </c>
      <c r="N249" s="8">
        <f>INDEX($G$6:$G$30,MIN(INT((A249-1)/12)+1,25))</f>
        <v/>
      </c>
      <c r="O249" s="126">
        <f>G249*$D$12</f>
        <v/>
      </c>
      <c r="P249">
        <f>IF(F249=0,0,MAX(0,0.01*G249-$D$7*F249))</f>
        <v/>
      </c>
    </row>
    <row r="250">
      <c r="A250" s="7" t="n">
        <v>218</v>
      </c>
      <c r="B250" s="98">
        <f>CEILING(0.0101*G249/$D$5,1)</f>
        <v/>
      </c>
      <c r="C250" s="8">
        <f>MAX(0,MIN(MAX(0,FLOOR($D$15*D249*MAX(0,1-D249/(($D$10+SUM($N$33:N249))/$D$5)),1)),IF(A250&gt;=$D$14,IF(AND(D249&gt;0,F249&gt;0),INT(K249*D249/F249),0),1000000000),MIN(IF($D$11&gt;G249,INT(($D$11-G249)/$D$5),0)-D249,MAX(B250,INT(($D$10+SUM($N$33:N249))/$D$5)-D249))))</f>
        <v/>
      </c>
      <c r="D250" s="8">
        <f>D249+C250</f>
        <v/>
      </c>
      <c r="E250" s="8">
        <f>$D$5</f>
        <v/>
      </c>
      <c r="F250" s="8">
        <f>IF(G249&gt;=$D$11,0,MIN(D250*E250,$D$11-G249))</f>
        <v/>
      </c>
      <c r="G250" s="8">
        <f>G249+F250</f>
        <v/>
      </c>
      <c r="H250" s="10">
        <f>H249+$D$6*F250</f>
        <v/>
      </c>
      <c r="I250" s="10">
        <f>$D$7*F250+Q250</f>
        <v/>
      </c>
      <c r="J250" s="10">
        <f>J249+$D$8*F250+K250-P250</f>
        <v/>
      </c>
      <c r="K250" s="10">
        <f>($D$9/12)*J249</f>
        <v/>
      </c>
      <c r="L250" s="9">
        <f>IF(G250=0,0,J250/(G250*$D$12))</f>
        <v/>
      </c>
      <c r="M250" s="13">
        <f>I250/G250</f>
        <v/>
      </c>
      <c r="N250" s="8">
        <f>INDEX($G$6:$G$30,MIN(INT((A250-1)/12)+1,25))</f>
        <v/>
      </c>
      <c r="O250" s="126">
        <f>G250*$D$12</f>
        <v/>
      </c>
      <c r="P250">
        <f>IF(F250=0,0,MAX(0,0.01*G250-$D$7*F250))</f>
        <v/>
      </c>
    </row>
    <row r="251">
      <c r="A251" s="7" t="n">
        <v>219</v>
      </c>
      <c r="B251" s="98">
        <f>CEILING(0.0101*G250/$D$5,1)</f>
        <v/>
      </c>
      <c r="C251" s="8">
        <f>MAX(0,MIN(MAX(0,FLOOR($D$15*D250*MAX(0,1-D250/(($D$10+SUM($N$33:N250))/$D$5)),1)),IF(A251&gt;=$D$14,IF(AND(D250&gt;0,F250&gt;0),INT(K250*D250/F250),0),1000000000),MIN(IF($D$11&gt;G250,INT(($D$11-G250)/$D$5),0)-D250,MAX(B251,INT(($D$10+SUM($N$33:N250))/$D$5)-D250))))</f>
        <v/>
      </c>
      <c r="D251" s="8">
        <f>D250+C251</f>
        <v/>
      </c>
      <c r="E251" s="8">
        <f>$D$5</f>
        <v/>
      </c>
      <c r="F251" s="8">
        <f>IF(G250&gt;=$D$11,0,MIN(D251*E251,$D$11-G250))</f>
        <v/>
      </c>
      <c r="G251" s="8">
        <f>G250+F251</f>
        <v/>
      </c>
      <c r="H251" s="10">
        <f>H250+$D$6*F251</f>
        <v/>
      </c>
      <c r="I251" s="10">
        <f>$D$7*F251+Q251</f>
        <v/>
      </c>
      <c r="J251" s="10">
        <f>J250+$D$8*F251+K251-P251</f>
        <v/>
      </c>
      <c r="K251" s="10">
        <f>($D$9/12)*J250</f>
        <v/>
      </c>
      <c r="L251" s="9">
        <f>IF(G251=0,0,J251/(G251*$D$12))</f>
        <v/>
      </c>
      <c r="M251" s="13">
        <f>I251/G251</f>
        <v/>
      </c>
      <c r="N251" s="8">
        <f>INDEX($G$6:$G$30,MIN(INT((A251-1)/12)+1,25))</f>
        <v/>
      </c>
      <c r="O251" s="126">
        <f>G251*$D$12</f>
        <v/>
      </c>
      <c r="P251">
        <f>IF(F251=0,0,MAX(0,0.01*G251-$D$7*F251))</f>
        <v/>
      </c>
    </row>
    <row r="252">
      <c r="A252" s="7" t="n">
        <v>220</v>
      </c>
      <c r="B252" s="98">
        <f>CEILING(0.0101*G251/$D$5,1)</f>
        <v/>
      </c>
      <c r="C252" s="8">
        <f>MAX(0,MIN(MAX(0,FLOOR($D$15*D251*MAX(0,1-D251/(($D$10+SUM($N$33:N251))/$D$5)),1)),IF(A252&gt;=$D$14,IF(AND(D251&gt;0,F251&gt;0),INT(K251*D251/F251),0),1000000000),MIN(IF($D$11&gt;G251,INT(($D$11-G251)/$D$5),0)-D251,MAX(B252,INT(($D$10+SUM($N$33:N251))/$D$5)-D251))))</f>
        <v/>
      </c>
      <c r="D252" s="8">
        <f>D251+C252</f>
        <v/>
      </c>
      <c r="E252" s="8">
        <f>$D$5</f>
        <v/>
      </c>
      <c r="F252" s="8">
        <f>IF(G251&gt;=$D$11,0,MIN(D252*E252,$D$11-G251))</f>
        <v/>
      </c>
      <c r="G252" s="8">
        <f>G251+F252</f>
        <v/>
      </c>
      <c r="H252" s="10">
        <f>H251+$D$6*F252</f>
        <v/>
      </c>
      <c r="I252" s="10">
        <f>$D$7*F252+Q252</f>
        <v/>
      </c>
      <c r="J252" s="10">
        <f>J251+$D$8*F252+K252-P252</f>
        <v/>
      </c>
      <c r="K252" s="10">
        <f>($D$9/12)*J251</f>
        <v/>
      </c>
      <c r="L252" s="9">
        <f>IF(G252=0,0,J252/(G252*$D$12))</f>
        <v/>
      </c>
      <c r="M252" s="13">
        <f>I252/G252</f>
        <v/>
      </c>
      <c r="N252" s="8">
        <f>INDEX($G$6:$G$30,MIN(INT((A252-1)/12)+1,25))</f>
        <v/>
      </c>
      <c r="O252" s="126">
        <f>G252*$D$12</f>
        <v/>
      </c>
      <c r="P252">
        <f>IF(F252=0,0,MAX(0,0.01*G252-$D$7*F252))</f>
        <v/>
      </c>
    </row>
    <row r="253">
      <c r="A253" s="7" t="n">
        <v>221</v>
      </c>
      <c r="B253" s="98">
        <f>CEILING(0.0101*G252/$D$5,1)</f>
        <v/>
      </c>
      <c r="C253" s="8">
        <f>MAX(0,MIN(MAX(0,FLOOR($D$15*D252*MAX(0,1-D252/(($D$10+SUM($N$33:N252))/$D$5)),1)),IF(A253&gt;=$D$14,IF(AND(D252&gt;0,F252&gt;0),INT(K252*D252/F252),0),1000000000),MIN(IF($D$11&gt;G252,INT(($D$11-G252)/$D$5),0)-D252,MAX(B253,INT(($D$10+SUM($N$33:N252))/$D$5)-D252))))</f>
        <v/>
      </c>
      <c r="D253" s="8">
        <f>D252+C253</f>
        <v/>
      </c>
      <c r="E253" s="8">
        <f>$D$5</f>
        <v/>
      </c>
      <c r="F253" s="8">
        <f>IF(G252&gt;=$D$11,0,MIN(D253*E253,$D$11-G252))</f>
        <v/>
      </c>
      <c r="G253" s="8">
        <f>G252+F253</f>
        <v/>
      </c>
      <c r="H253" s="10">
        <f>H252+$D$6*F253</f>
        <v/>
      </c>
      <c r="I253" s="10">
        <f>$D$7*F253+Q253</f>
        <v/>
      </c>
      <c r="J253" s="10">
        <f>J252+$D$8*F253+K253-P253</f>
        <v/>
      </c>
      <c r="K253" s="10">
        <f>($D$9/12)*J252</f>
        <v/>
      </c>
      <c r="L253" s="9">
        <f>IF(G253=0,0,J253/(G253*$D$12))</f>
        <v/>
      </c>
      <c r="M253" s="13">
        <f>I253/G253</f>
        <v/>
      </c>
      <c r="N253" s="8">
        <f>INDEX($G$6:$G$30,MIN(INT((A253-1)/12)+1,25))</f>
        <v/>
      </c>
      <c r="O253" s="126">
        <f>G253*$D$12</f>
        <v/>
      </c>
      <c r="P253">
        <f>IF(F253=0,0,MAX(0,0.01*G253-$D$7*F253))</f>
        <v/>
      </c>
    </row>
    <row r="254">
      <c r="A254" s="7" t="n">
        <v>222</v>
      </c>
      <c r="B254" s="98">
        <f>CEILING(0.0101*G253/$D$5,1)</f>
        <v/>
      </c>
      <c r="C254" s="8">
        <f>MAX(0,MIN(MAX(0,FLOOR($D$15*D253*MAX(0,1-D253/(($D$10+SUM($N$33:N253))/$D$5)),1)),IF(A254&gt;=$D$14,IF(AND(D253&gt;0,F253&gt;0),INT(K253*D253/F253),0),1000000000),MIN(IF($D$11&gt;G253,INT(($D$11-G253)/$D$5),0)-D253,MAX(B254,INT(($D$10+SUM($N$33:N253))/$D$5)-D253))))</f>
        <v/>
      </c>
      <c r="D254" s="8">
        <f>D253+C254</f>
        <v/>
      </c>
      <c r="E254" s="8">
        <f>$D$5</f>
        <v/>
      </c>
      <c r="F254" s="8">
        <f>IF(G253&gt;=$D$11,0,MIN(D254*E254,$D$11-G253))</f>
        <v/>
      </c>
      <c r="G254" s="8">
        <f>G253+F254</f>
        <v/>
      </c>
      <c r="H254" s="10">
        <f>H253+$D$6*F254</f>
        <v/>
      </c>
      <c r="I254" s="10">
        <f>$D$7*F254+Q254</f>
        <v/>
      </c>
      <c r="J254" s="10">
        <f>J253+$D$8*F254+K254-P254</f>
        <v/>
      </c>
      <c r="K254" s="10">
        <f>($D$9/12)*J253</f>
        <v/>
      </c>
      <c r="L254" s="9">
        <f>IF(G254=0,0,J254/(G254*$D$12))</f>
        <v/>
      </c>
      <c r="M254" s="13">
        <f>I254/G254</f>
        <v/>
      </c>
      <c r="N254" s="8">
        <f>INDEX($G$6:$G$30,MIN(INT((A254-1)/12)+1,25))</f>
        <v/>
      </c>
      <c r="O254" s="126">
        <f>G254*$D$12</f>
        <v/>
      </c>
      <c r="P254">
        <f>IF(F254=0,0,MAX(0,0.01*G254-$D$7*F254))</f>
        <v/>
      </c>
    </row>
    <row r="255">
      <c r="A255" s="7" t="n">
        <v>223</v>
      </c>
      <c r="B255" s="98">
        <f>CEILING(0.0101*G254/$D$5,1)</f>
        <v/>
      </c>
      <c r="C255" s="8">
        <f>MAX(0,MIN(MAX(0,FLOOR($D$15*D254*MAX(0,1-D254/(($D$10+SUM($N$33:N254))/$D$5)),1)),IF(A255&gt;=$D$14,IF(AND(D254&gt;0,F254&gt;0),INT(K254*D254/F254),0),1000000000),MIN(IF($D$11&gt;G254,INT(($D$11-G254)/$D$5),0)-D254,MAX(B255,INT(($D$10+SUM($N$33:N254))/$D$5)-D254))))</f>
        <v/>
      </c>
      <c r="D255" s="8">
        <f>D254+C255</f>
        <v/>
      </c>
      <c r="E255" s="8">
        <f>$D$5</f>
        <v/>
      </c>
      <c r="F255" s="8">
        <f>IF(G254&gt;=$D$11,0,MIN(D255*E255,$D$11-G254))</f>
        <v/>
      </c>
      <c r="G255" s="8">
        <f>G254+F255</f>
        <v/>
      </c>
      <c r="H255" s="10">
        <f>H254+$D$6*F255</f>
        <v/>
      </c>
      <c r="I255" s="10">
        <f>$D$7*F255+Q255</f>
        <v/>
      </c>
      <c r="J255" s="10">
        <f>J254+$D$8*F255+K255-P255</f>
        <v/>
      </c>
      <c r="K255" s="10">
        <f>($D$9/12)*J254</f>
        <v/>
      </c>
      <c r="L255" s="9">
        <f>IF(G255=0,0,J255/(G255*$D$12))</f>
        <v/>
      </c>
      <c r="M255" s="13">
        <f>I255/G255</f>
        <v/>
      </c>
      <c r="N255" s="8">
        <f>INDEX($G$6:$G$30,MIN(INT((A255-1)/12)+1,25))</f>
        <v/>
      </c>
      <c r="O255" s="126">
        <f>G255*$D$12</f>
        <v/>
      </c>
      <c r="P255">
        <f>IF(F255=0,0,MAX(0,0.01*G255-$D$7*F255))</f>
        <v/>
      </c>
    </row>
    <row r="256">
      <c r="A256" s="7" t="n">
        <v>224</v>
      </c>
      <c r="B256" s="98">
        <f>CEILING(0.0101*G255/$D$5,1)</f>
        <v/>
      </c>
      <c r="C256" s="8">
        <f>MAX(0,MIN(MAX(0,FLOOR($D$15*D255*MAX(0,1-D255/(($D$10+SUM($N$33:N255))/$D$5)),1)),IF(A256&gt;=$D$14,IF(AND(D255&gt;0,F255&gt;0),INT(K255*D255/F255),0),1000000000),MIN(IF($D$11&gt;G255,INT(($D$11-G255)/$D$5),0)-D255,MAX(B256,INT(($D$10+SUM($N$33:N255))/$D$5)-D255))))</f>
        <v/>
      </c>
      <c r="D256" s="8">
        <f>D255+C256</f>
        <v/>
      </c>
      <c r="E256" s="8">
        <f>$D$5</f>
        <v/>
      </c>
      <c r="F256" s="8">
        <f>IF(G255&gt;=$D$11,0,MIN(D256*E256,$D$11-G255))</f>
        <v/>
      </c>
      <c r="G256" s="8">
        <f>G255+F256</f>
        <v/>
      </c>
      <c r="H256" s="10">
        <f>H255+$D$6*F256</f>
        <v/>
      </c>
      <c r="I256" s="10">
        <f>$D$7*F256+Q256</f>
        <v/>
      </c>
      <c r="J256" s="10">
        <f>J255+$D$8*F256+K256-P256</f>
        <v/>
      </c>
      <c r="K256" s="10">
        <f>($D$9/12)*J255</f>
        <v/>
      </c>
      <c r="L256" s="9">
        <f>IF(G256=0,0,J256/(G256*$D$12))</f>
        <v/>
      </c>
      <c r="M256" s="13">
        <f>I256/G256</f>
        <v/>
      </c>
      <c r="N256" s="8">
        <f>INDEX($G$6:$G$30,MIN(INT((A256-1)/12)+1,25))</f>
        <v/>
      </c>
      <c r="O256" s="126">
        <f>G256*$D$12</f>
        <v/>
      </c>
      <c r="P256">
        <f>IF(F256=0,0,MAX(0,0.01*G256-$D$7*F256))</f>
        <v/>
      </c>
    </row>
    <row r="257">
      <c r="A257" s="7" t="n">
        <v>225</v>
      </c>
      <c r="B257" s="98">
        <f>CEILING(0.0101*G256/$D$5,1)</f>
        <v/>
      </c>
      <c r="C257" s="8">
        <f>MAX(0,MIN(MAX(0,FLOOR($D$15*D256*MAX(0,1-D256/(($D$10+SUM($N$33:N256))/$D$5)),1)),IF(A257&gt;=$D$14,IF(AND(D256&gt;0,F256&gt;0),INT(K256*D256/F256),0),1000000000),MIN(IF($D$11&gt;G256,INT(($D$11-G256)/$D$5),0)-D256,MAX(B257,INT(($D$10+SUM($N$33:N256))/$D$5)-D256))))</f>
        <v/>
      </c>
      <c r="D257" s="8">
        <f>D256+C257</f>
        <v/>
      </c>
      <c r="E257" s="8">
        <f>$D$5</f>
        <v/>
      </c>
      <c r="F257" s="8">
        <f>IF(G256&gt;=$D$11,0,MIN(D257*E257,$D$11-G256))</f>
        <v/>
      </c>
      <c r="G257" s="8">
        <f>G256+F257</f>
        <v/>
      </c>
      <c r="H257" s="10">
        <f>H256+$D$6*F257</f>
        <v/>
      </c>
      <c r="I257" s="10">
        <f>$D$7*F257+Q257</f>
        <v/>
      </c>
      <c r="J257" s="10">
        <f>J256+$D$8*F257+K257-P257</f>
        <v/>
      </c>
      <c r="K257" s="10">
        <f>($D$9/12)*J256</f>
        <v/>
      </c>
      <c r="L257" s="9">
        <f>IF(G257=0,0,J257/(G257*$D$12))</f>
        <v/>
      </c>
      <c r="M257" s="13">
        <f>I257/G257</f>
        <v/>
      </c>
      <c r="N257" s="8">
        <f>INDEX($G$6:$G$30,MIN(INT((A257-1)/12)+1,25))</f>
        <v/>
      </c>
      <c r="O257" s="126">
        <f>G257*$D$12</f>
        <v/>
      </c>
      <c r="P257">
        <f>IF(F257=0,0,MAX(0,0.01*G257-$D$7*F257))</f>
        <v/>
      </c>
    </row>
    <row r="258">
      <c r="A258" s="7" t="n">
        <v>226</v>
      </c>
      <c r="B258" s="98">
        <f>CEILING(0.0101*G257/$D$5,1)</f>
        <v/>
      </c>
      <c r="C258" s="8">
        <f>MAX(0,MIN(MAX(0,FLOOR($D$15*D257*MAX(0,1-D257/(($D$10+SUM($N$33:N257))/$D$5)),1)),IF(A258&gt;=$D$14,IF(AND(D257&gt;0,F257&gt;0),INT(K257*D257/F257),0),1000000000),MIN(IF($D$11&gt;G257,INT(($D$11-G257)/$D$5),0)-D257,MAX(B258,INT(($D$10+SUM($N$33:N257))/$D$5)-D257))))</f>
        <v/>
      </c>
      <c r="D258" s="8">
        <f>D257+C258</f>
        <v/>
      </c>
      <c r="E258" s="8">
        <f>$D$5</f>
        <v/>
      </c>
      <c r="F258" s="8">
        <f>IF(G257&gt;=$D$11,0,MIN(D258*E258,$D$11-G257))</f>
        <v/>
      </c>
      <c r="G258" s="8">
        <f>G257+F258</f>
        <v/>
      </c>
      <c r="H258" s="10">
        <f>H257+$D$6*F258</f>
        <v/>
      </c>
      <c r="I258" s="10">
        <f>$D$7*F258+Q258</f>
        <v/>
      </c>
      <c r="J258" s="10">
        <f>J257+$D$8*F258+K258-P258</f>
        <v/>
      </c>
      <c r="K258" s="10">
        <f>($D$9/12)*J257</f>
        <v/>
      </c>
      <c r="L258" s="9">
        <f>IF(G258=0,0,J258/(G258*$D$12))</f>
        <v/>
      </c>
      <c r="M258" s="13">
        <f>I258/G258</f>
        <v/>
      </c>
      <c r="N258" s="8">
        <f>INDEX($G$6:$G$30,MIN(INT((A258-1)/12)+1,25))</f>
        <v/>
      </c>
      <c r="O258" s="126">
        <f>G258*$D$12</f>
        <v/>
      </c>
      <c r="P258">
        <f>IF(F258=0,0,MAX(0,0.01*G258-$D$7*F258))</f>
        <v/>
      </c>
    </row>
    <row r="259">
      <c r="A259" s="7" t="n">
        <v>227</v>
      </c>
      <c r="B259" s="98">
        <f>CEILING(0.0101*G258/$D$5,1)</f>
        <v/>
      </c>
      <c r="C259" s="8">
        <f>MAX(0,MIN(MAX(0,FLOOR($D$15*D258*MAX(0,1-D258/(($D$10+SUM($N$33:N258))/$D$5)),1)),IF(A259&gt;=$D$14,IF(AND(D258&gt;0,F258&gt;0),INT(K258*D258/F258),0),1000000000),MIN(IF($D$11&gt;G258,INT(($D$11-G258)/$D$5),0)-D258,MAX(B259,INT(($D$10+SUM($N$33:N258))/$D$5)-D258))))</f>
        <v/>
      </c>
      <c r="D259" s="8">
        <f>D258+C259</f>
        <v/>
      </c>
      <c r="E259" s="8">
        <f>$D$5</f>
        <v/>
      </c>
      <c r="F259" s="8">
        <f>IF(G258&gt;=$D$11,0,MIN(D259*E259,$D$11-G258))</f>
        <v/>
      </c>
      <c r="G259" s="8">
        <f>G258+F259</f>
        <v/>
      </c>
      <c r="H259" s="10">
        <f>H258+$D$6*F259</f>
        <v/>
      </c>
      <c r="I259" s="10">
        <f>$D$7*F259+Q259</f>
        <v/>
      </c>
      <c r="J259" s="10">
        <f>J258+$D$8*F259+K259-P259</f>
        <v/>
      </c>
      <c r="K259" s="10">
        <f>($D$9/12)*J258</f>
        <v/>
      </c>
      <c r="L259" s="9">
        <f>IF(G259=0,0,J259/(G259*$D$12))</f>
        <v/>
      </c>
      <c r="M259" s="13">
        <f>I259/G259</f>
        <v/>
      </c>
      <c r="N259" s="8">
        <f>INDEX($G$6:$G$30,MIN(INT((A259-1)/12)+1,25))</f>
        <v/>
      </c>
      <c r="O259" s="126">
        <f>G259*$D$12</f>
        <v/>
      </c>
      <c r="P259">
        <f>IF(F259=0,0,MAX(0,0.01*G259-$D$7*F259))</f>
        <v/>
      </c>
    </row>
    <row r="260">
      <c r="A260" s="7" t="n">
        <v>228</v>
      </c>
      <c r="B260" s="98">
        <f>CEILING(0.0101*G259/$D$5,1)</f>
        <v/>
      </c>
      <c r="C260" s="8">
        <f>MAX(0,MIN(MAX(0,FLOOR($D$15*D259*MAX(0,1-D259/(($D$10+SUM($N$33:N259))/$D$5)),1)),IF(A260&gt;=$D$14,IF(AND(D259&gt;0,F259&gt;0),INT(K259*D259/F259),0),1000000000),MIN(IF($D$11&gt;G259,INT(($D$11-G259)/$D$5),0)-D259,MAX(B260,INT(($D$10+SUM($N$33:N259))/$D$5)-D259))))</f>
        <v/>
      </c>
      <c r="D260" s="8">
        <f>D259+C260</f>
        <v/>
      </c>
      <c r="E260" s="8">
        <f>$D$5</f>
        <v/>
      </c>
      <c r="F260" s="8">
        <f>IF(G259&gt;=$D$11,0,MIN(D260*E260,$D$11-G259))</f>
        <v/>
      </c>
      <c r="G260" s="8">
        <f>G259+F260</f>
        <v/>
      </c>
      <c r="H260" s="10">
        <f>H259+$D$6*F260</f>
        <v/>
      </c>
      <c r="I260" s="10">
        <f>$D$7*F260+Q260</f>
        <v/>
      </c>
      <c r="J260" s="10">
        <f>J259+$D$8*F260+K260-P260</f>
        <v/>
      </c>
      <c r="K260" s="10">
        <f>($D$9/12)*J259</f>
        <v/>
      </c>
      <c r="L260" s="9">
        <f>IF(G260=0,0,J260/(G260*$D$12))</f>
        <v/>
      </c>
      <c r="M260" s="13">
        <f>I260/G260</f>
        <v/>
      </c>
      <c r="N260" s="8">
        <f>INDEX($G$6:$G$30,MIN(INT((A260-1)/12)+1,25))</f>
        <v/>
      </c>
      <c r="O260" s="126">
        <f>G260*$D$12</f>
        <v/>
      </c>
      <c r="P260">
        <f>IF(F260=0,0,MAX(0,0.01*G260-$D$7*F260))</f>
        <v/>
      </c>
    </row>
    <row r="261">
      <c r="A261" s="7" t="n">
        <v>229</v>
      </c>
      <c r="B261" s="98">
        <f>CEILING(0.0101*G260/$D$5,1)</f>
        <v/>
      </c>
      <c r="C261" s="8">
        <f>MAX(0,MIN(MAX(0,FLOOR($D$15*D260*MAX(0,1-D260/(($D$10+SUM($N$33:N260))/$D$5)),1)),IF(A261&gt;=$D$14,IF(AND(D260&gt;0,F260&gt;0),INT(K260*D260/F260),0),1000000000),MIN(IF($D$11&gt;G260,INT(($D$11-G260)/$D$5),0)-D260,MAX(B261,INT(($D$10+SUM($N$33:N260))/$D$5)-D260))))</f>
        <v/>
      </c>
      <c r="D261" s="8">
        <f>D260+C261</f>
        <v/>
      </c>
      <c r="E261" s="8">
        <f>$D$5</f>
        <v/>
      </c>
      <c r="F261" s="8">
        <f>IF(G260&gt;=$D$11,0,MIN(D261*E261,$D$11-G260))</f>
        <v/>
      </c>
      <c r="G261" s="8">
        <f>G260+F261</f>
        <v/>
      </c>
      <c r="H261" s="10">
        <f>H260+$D$6*F261</f>
        <v/>
      </c>
      <c r="I261" s="10">
        <f>$D$7*F261+Q261</f>
        <v/>
      </c>
      <c r="J261" s="10">
        <f>J260+$D$8*F261+K261-P261</f>
        <v/>
      </c>
      <c r="K261" s="10">
        <f>($D$9/12)*J260</f>
        <v/>
      </c>
      <c r="L261" s="9">
        <f>IF(G261=0,0,J261/(G261*$D$12))</f>
        <v/>
      </c>
      <c r="M261" s="13">
        <f>I261/G261</f>
        <v/>
      </c>
      <c r="N261" s="8">
        <f>INDEX($G$6:$G$30,MIN(INT((A261-1)/12)+1,25))</f>
        <v/>
      </c>
      <c r="O261" s="126">
        <f>G261*$D$12</f>
        <v/>
      </c>
      <c r="P261">
        <f>IF(F261=0,0,MAX(0,0.01*G261-$D$7*F261))</f>
        <v/>
      </c>
    </row>
    <row r="262">
      <c r="A262" s="7" t="n">
        <v>230</v>
      </c>
      <c r="B262" s="98">
        <f>CEILING(0.0101*G261/$D$5,1)</f>
        <v/>
      </c>
      <c r="C262" s="8">
        <f>MAX(0,MIN(MAX(0,FLOOR($D$15*D261*MAX(0,1-D261/(($D$10+SUM($N$33:N261))/$D$5)),1)),IF(A262&gt;=$D$14,IF(AND(D261&gt;0,F261&gt;0),INT(K261*D261/F261),0),1000000000),MIN(IF($D$11&gt;G261,INT(($D$11-G261)/$D$5),0)-D261,MAX(B262,INT(($D$10+SUM($N$33:N261))/$D$5)-D261))))</f>
        <v/>
      </c>
      <c r="D262" s="8">
        <f>D261+C262</f>
        <v/>
      </c>
      <c r="E262" s="8">
        <f>$D$5</f>
        <v/>
      </c>
      <c r="F262" s="8">
        <f>IF(G261&gt;=$D$11,0,MIN(D262*E262,$D$11-G261))</f>
        <v/>
      </c>
      <c r="G262" s="8">
        <f>G261+F262</f>
        <v/>
      </c>
      <c r="H262" s="10">
        <f>H261+$D$6*F262</f>
        <v/>
      </c>
      <c r="I262" s="10">
        <f>$D$7*F262+Q262</f>
        <v/>
      </c>
      <c r="J262" s="10">
        <f>J261+$D$8*F262+K262-P262</f>
        <v/>
      </c>
      <c r="K262" s="10">
        <f>($D$9/12)*J261</f>
        <v/>
      </c>
      <c r="L262" s="9">
        <f>IF(G262=0,0,J262/(G262*$D$12))</f>
        <v/>
      </c>
      <c r="M262" s="13">
        <f>I262/G262</f>
        <v/>
      </c>
      <c r="N262" s="8">
        <f>INDEX($G$6:$G$30,MIN(INT((A262-1)/12)+1,25))</f>
        <v/>
      </c>
      <c r="O262" s="126">
        <f>G262*$D$12</f>
        <v/>
      </c>
      <c r="P262">
        <f>IF(F262=0,0,MAX(0,0.01*G262-$D$7*F262))</f>
        <v/>
      </c>
    </row>
    <row r="263">
      <c r="A263" s="7" t="n">
        <v>231</v>
      </c>
      <c r="B263" s="98">
        <f>CEILING(0.0101*G262/$D$5,1)</f>
        <v/>
      </c>
      <c r="C263" s="8">
        <f>MAX(0,MIN(MAX(0,FLOOR($D$15*D262*MAX(0,1-D262/(($D$10+SUM($N$33:N262))/$D$5)),1)),IF(A263&gt;=$D$14,IF(AND(D262&gt;0,F262&gt;0),INT(K262*D262/F262),0),1000000000),MIN(IF($D$11&gt;G262,INT(($D$11-G262)/$D$5),0)-D262,MAX(B263,INT(($D$10+SUM($N$33:N262))/$D$5)-D262))))</f>
        <v/>
      </c>
      <c r="D263" s="8">
        <f>D262+C263</f>
        <v/>
      </c>
      <c r="E263" s="8">
        <f>$D$5</f>
        <v/>
      </c>
      <c r="F263" s="8">
        <f>IF(G262&gt;=$D$11,0,MIN(D263*E263,$D$11-G262))</f>
        <v/>
      </c>
      <c r="G263" s="8">
        <f>G262+F263</f>
        <v/>
      </c>
      <c r="H263" s="10">
        <f>H262+$D$6*F263</f>
        <v/>
      </c>
      <c r="I263" s="10">
        <f>$D$7*F263+Q263</f>
        <v/>
      </c>
      <c r="J263" s="10">
        <f>J262+$D$8*F263+K263-P263</f>
        <v/>
      </c>
      <c r="K263" s="10">
        <f>($D$9/12)*J262</f>
        <v/>
      </c>
      <c r="L263" s="9">
        <f>IF(G263=0,0,J263/(G263*$D$12))</f>
        <v/>
      </c>
      <c r="M263" s="13">
        <f>I263/G263</f>
        <v/>
      </c>
      <c r="N263" s="8">
        <f>INDEX($G$6:$G$30,MIN(INT((A263-1)/12)+1,25))</f>
        <v/>
      </c>
      <c r="O263" s="126">
        <f>G263*$D$12</f>
        <v/>
      </c>
      <c r="P263">
        <f>IF(F263=0,0,MAX(0,0.01*G263-$D$7*F263))</f>
        <v/>
      </c>
    </row>
    <row r="264">
      <c r="A264" s="7" t="n">
        <v>232</v>
      </c>
      <c r="B264" s="98">
        <f>CEILING(0.0101*G263/$D$5,1)</f>
        <v/>
      </c>
      <c r="C264" s="8">
        <f>MAX(0,MIN(MAX(0,FLOOR($D$15*D263*MAX(0,1-D263/(($D$10+SUM($N$33:N263))/$D$5)),1)),IF(A264&gt;=$D$14,IF(AND(D263&gt;0,F263&gt;0),INT(K263*D263/F263),0),1000000000),MIN(IF($D$11&gt;G263,INT(($D$11-G263)/$D$5),0)-D263,MAX(B264,INT(($D$10+SUM($N$33:N263))/$D$5)-D263))))</f>
        <v/>
      </c>
      <c r="D264" s="8">
        <f>D263+C264</f>
        <v/>
      </c>
      <c r="E264" s="8">
        <f>$D$5</f>
        <v/>
      </c>
      <c r="F264" s="8">
        <f>IF(G263&gt;=$D$11,0,MIN(D264*E264,$D$11-G263))</f>
        <v/>
      </c>
      <c r="G264" s="8">
        <f>G263+F264</f>
        <v/>
      </c>
      <c r="H264" s="10">
        <f>H263+$D$6*F264</f>
        <v/>
      </c>
      <c r="I264" s="10">
        <f>$D$7*F264+Q264</f>
        <v/>
      </c>
      <c r="J264" s="10">
        <f>J263+$D$8*F264+K264-P264</f>
        <v/>
      </c>
      <c r="K264" s="10">
        <f>($D$9/12)*J263</f>
        <v/>
      </c>
      <c r="L264" s="9">
        <f>IF(G264=0,0,J264/(G264*$D$12))</f>
        <v/>
      </c>
      <c r="M264" s="13">
        <f>I264/G264</f>
        <v/>
      </c>
      <c r="N264" s="8">
        <f>INDEX($G$6:$G$30,MIN(INT((A264-1)/12)+1,25))</f>
        <v/>
      </c>
      <c r="O264" s="126">
        <f>G264*$D$12</f>
        <v/>
      </c>
      <c r="P264">
        <f>IF(F264=0,0,MAX(0,0.01*G264-$D$7*F264))</f>
        <v/>
      </c>
    </row>
    <row r="265">
      <c r="A265" s="7" t="n">
        <v>233</v>
      </c>
      <c r="B265" s="98">
        <f>CEILING(0.0101*G264/$D$5,1)</f>
        <v/>
      </c>
      <c r="C265" s="8">
        <f>MAX(0,MIN(MAX(0,FLOOR($D$15*D264*MAX(0,1-D264/(($D$10+SUM($N$33:N264))/$D$5)),1)),IF(A265&gt;=$D$14,IF(AND(D264&gt;0,F264&gt;0),INT(K264*D264/F264),0),1000000000),MIN(IF($D$11&gt;G264,INT(($D$11-G264)/$D$5),0)-D264,MAX(B265,INT(($D$10+SUM($N$33:N264))/$D$5)-D264))))</f>
        <v/>
      </c>
      <c r="D265" s="8">
        <f>D264+C265</f>
        <v/>
      </c>
      <c r="E265" s="8">
        <f>$D$5</f>
        <v/>
      </c>
      <c r="F265" s="8">
        <f>IF(G264&gt;=$D$11,0,MIN(D265*E265,$D$11-G264))</f>
        <v/>
      </c>
      <c r="G265" s="8">
        <f>G264+F265</f>
        <v/>
      </c>
      <c r="H265" s="10">
        <f>H264+$D$6*F265</f>
        <v/>
      </c>
      <c r="I265" s="10">
        <f>$D$7*F265+Q265</f>
        <v/>
      </c>
      <c r="J265" s="10">
        <f>J264+$D$8*F265+K265-P265</f>
        <v/>
      </c>
      <c r="K265" s="10">
        <f>($D$9/12)*J264</f>
        <v/>
      </c>
      <c r="L265" s="9">
        <f>IF(G265=0,0,J265/(G265*$D$12))</f>
        <v/>
      </c>
      <c r="M265" s="13">
        <f>I265/G265</f>
        <v/>
      </c>
      <c r="N265" s="8">
        <f>INDEX($G$6:$G$30,MIN(INT((A265-1)/12)+1,25))</f>
        <v/>
      </c>
      <c r="O265" s="126">
        <f>G265*$D$12</f>
        <v/>
      </c>
      <c r="P265">
        <f>IF(F265=0,0,MAX(0,0.01*G265-$D$7*F265))</f>
        <v/>
      </c>
    </row>
    <row r="266">
      <c r="A266" s="7" t="n">
        <v>234</v>
      </c>
      <c r="B266" s="98">
        <f>CEILING(0.0101*G265/$D$5,1)</f>
        <v/>
      </c>
      <c r="C266" s="8">
        <f>MAX(0,MIN(MAX(0,FLOOR($D$15*D265*MAX(0,1-D265/(($D$10+SUM($N$33:N265))/$D$5)),1)),IF(A266&gt;=$D$14,IF(AND(D265&gt;0,F265&gt;0),INT(K265*D265/F265),0),1000000000),MIN(IF($D$11&gt;G265,INT(($D$11-G265)/$D$5),0)-D265,MAX(B266,INT(($D$10+SUM($N$33:N265))/$D$5)-D265))))</f>
        <v/>
      </c>
      <c r="D266" s="8">
        <f>D265+C266</f>
        <v/>
      </c>
      <c r="E266" s="8">
        <f>$D$5</f>
        <v/>
      </c>
      <c r="F266" s="8">
        <f>IF(G265&gt;=$D$11,0,MIN(D266*E266,$D$11-G265))</f>
        <v/>
      </c>
      <c r="G266" s="8">
        <f>G265+F266</f>
        <v/>
      </c>
      <c r="H266" s="10">
        <f>H265+$D$6*F266</f>
        <v/>
      </c>
      <c r="I266" s="10">
        <f>$D$7*F266+Q266</f>
        <v/>
      </c>
      <c r="J266" s="10">
        <f>J265+$D$8*F266+K266-P266</f>
        <v/>
      </c>
      <c r="K266" s="10">
        <f>($D$9/12)*J265</f>
        <v/>
      </c>
      <c r="L266" s="9">
        <f>IF(G266=0,0,J266/(G266*$D$12))</f>
        <v/>
      </c>
      <c r="M266" s="13">
        <f>I266/G266</f>
        <v/>
      </c>
      <c r="N266" s="8">
        <f>INDEX($G$6:$G$30,MIN(INT((A266-1)/12)+1,25))</f>
        <v/>
      </c>
      <c r="O266" s="126">
        <f>G266*$D$12</f>
        <v/>
      </c>
      <c r="P266">
        <f>IF(F266=0,0,MAX(0,0.01*G266-$D$7*F266))</f>
        <v/>
      </c>
    </row>
    <row r="267">
      <c r="A267" s="7" t="n">
        <v>235</v>
      </c>
      <c r="B267" s="98">
        <f>CEILING(0.0101*G266/$D$5,1)</f>
        <v/>
      </c>
      <c r="C267" s="8">
        <f>MAX(0,MIN(MAX(0,FLOOR($D$15*D266*MAX(0,1-D266/(($D$10+SUM($N$33:N266))/$D$5)),1)),IF(A267&gt;=$D$14,IF(AND(D266&gt;0,F266&gt;0),INT(K266*D266/F266),0),1000000000),MIN(IF($D$11&gt;G266,INT(($D$11-G266)/$D$5),0)-D266,MAX(B267,INT(($D$10+SUM($N$33:N266))/$D$5)-D266))))</f>
        <v/>
      </c>
      <c r="D267" s="8">
        <f>D266+C267</f>
        <v/>
      </c>
      <c r="E267" s="8">
        <f>$D$5</f>
        <v/>
      </c>
      <c r="F267" s="8">
        <f>IF(G266&gt;=$D$11,0,MIN(D267*E267,$D$11-G266))</f>
        <v/>
      </c>
      <c r="G267" s="8">
        <f>G266+F267</f>
        <v/>
      </c>
      <c r="H267" s="10">
        <f>H266+$D$6*F267</f>
        <v/>
      </c>
      <c r="I267" s="10">
        <f>$D$7*F267+Q267</f>
        <v/>
      </c>
      <c r="J267" s="10">
        <f>J266+$D$8*F267+K267-P267</f>
        <v/>
      </c>
      <c r="K267" s="10">
        <f>($D$9/12)*J266</f>
        <v/>
      </c>
      <c r="L267" s="9">
        <f>IF(G267=0,0,J267/(G267*$D$12))</f>
        <v/>
      </c>
      <c r="M267" s="13">
        <f>I267/G267</f>
        <v/>
      </c>
      <c r="N267" s="8">
        <f>INDEX($G$6:$G$30,MIN(INT((A267-1)/12)+1,25))</f>
        <v/>
      </c>
      <c r="O267" s="126">
        <f>G267*$D$12</f>
        <v/>
      </c>
      <c r="P267">
        <f>IF(F267=0,0,MAX(0,0.01*G267-$D$7*F267))</f>
        <v/>
      </c>
    </row>
    <row r="268">
      <c r="A268" s="7" t="n">
        <v>236</v>
      </c>
      <c r="B268" s="98">
        <f>CEILING(0.0101*G267/$D$5,1)</f>
        <v/>
      </c>
      <c r="C268" s="8">
        <f>MAX(0,MIN(MAX(0,FLOOR($D$15*D267*MAX(0,1-D267/(($D$10+SUM($N$33:N267))/$D$5)),1)),IF(A268&gt;=$D$14,IF(AND(D267&gt;0,F267&gt;0),INT(K267*D267/F267),0),1000000000),MIN(IF($D$11&gt;G267,INT(($D$11-G267)/$D$5),0)-D267,MAX(B268,INT(($D$10+SUM($N$33:N267))/$D$5)-D267))))</f>
        <v/>
      </c>
      <c r="D268" s="8">
        <f>D267+C268</f>
        <v/>
      </c>
      <c r="E268" s="8">
        <f>$D$5</f>
        <v/>
      </c>
      <c r="F268" s="8">
        <f>IF(G267&gt;=$D$11,0,MIN(D268*E268,$D$11-G267))</f>
        <v/>
      </c>
      <c r="G268" s="8">
        <f>G267+F268</f>
        <v/>
      </c>
      <c r="H268" s="10">
        <f>H267+$D$6*F268</f>
        <v/>
      </c>
      <c r="I268" s="10">
        <f>$D$7*F268+Q268</f>
        <v/>
      </c>
      <c r="J268" s="10">
        <f>J267+$D$8*F268+K268-P268</f>
        <v/>
      </c>
      <c r="K268" s="10">
        <f>($D$9/12)*J267</f>
        <v/>
      </c>
      <c r="L268" s="9">
        <f>IF(G268=0,0,J268/(G268*$D$12))</f>
        <v/>
      </c>
      <c r="M268" s="13">
        <f>I268/G268</f>
        <v/>
      </c>
      <c r="N268" s="8">
        <f>INDEX($G$6:$G$30,MIN(INT((A268-1)/12)+1,25))</f>
        <v/>
      </c>
      <c r="O268" s="126">
        <f>G268*$D$12</f>
        <v/>
      </c>
      <c r="P268">
        <f>IF(F268=0,0,MAX(0,0.01*G268-$D$7*F268))</f>
        <v/>
      </c>
    </row>
    <row r="269">
      <c r="A269" s="7" t="n">
        <v>237</v>
      </c>
      <c r="B269" s="98">
        <f>CEILING(0.0101*G268/$D$5,1)</f>
        <v/>
      </c>
      <c r="C269" s="8">
        <f>MAX(0,MIN(MAX(0,FLOOR($D$15*D268*MAX(0,1-D268/(($D$10+SUM($N$33:N268))/$D$5)),1)),IF(A269&gt;=$D$14,IF(AND(D268&gt;0,F268&gt;0),INT(K268*D268/F268),0),1000000000),MIN(IF($D$11&gt;G268,INT(($D$11-G268)/$D$5),0)-D268,MAX(B269,INT(($D$10+SUM($N$33:N268))/$D$5)-D268))))</f>
        <v/>
      </c>
      <c r="D269" s="8">
        <f>D268+C269</f>
        <v/>
      </c>
      <c r="E269" s="8">
        <f>$D$5</f>
        <v/>
      </c>
      <c r="F269" s="8">
        <f>IF(G268&gt;=$D$11,0,MIN(D269*E269,$D$11-G268))</f>
        <v/>
      </c>
      <c r="G269" s="8">
        <f>G268+F269</f>
        <v/>
      </c>
      <c r="H269" s="10">
        <f>H268+$D$6*F269</f>
        <v/>
      </c>
      <c r="I269" s="10">
        <f>$D$7*F269+Q269</f>
        <v/>
      </c>
      <c r="J269" s="10">
        <f>J268+$D$8*F269+K269-P269</f>
        <v/>
      </c>
      <c r="K269" s="10">
        <f>($D$9/12)*J268</f>
        <v/>
      </c>
      <c r="L269" s="9">
        <f>IF(G269=0,0,J269/(G269*$D$12))</f>
        <v/>
      </c>
      <c r="M269" s="13">
        <f>I269/G269</f>
        <v/>
      </c>
      <c r="N269" s="8">
        <f>INDEX($G$6:$G$30,MIN(INT((A269-1)/12)+1,25))</f>
        <v/>
      </c>
      <c r="O269" s="126">
        <f>G269*$D$12</f>
        <v/>
      </c>
      <c r="P269">
        <f>IF(F269=0,0,MAX(0,0.01*G269-$D$7*F269))</f>
        <v/>
      </c>
    </row>
    <row r="270">
      <c r="A270" s="7" t="n">
        <v>238</v>
      </c>
      <c r="B270" s="98">
        <f>CEILING(0.0101*G269/$D$5,1)</f>
        <v/>
      </c>
      <c r="C270" s="8">
        <f>MAX(0,MIN(MAX(0,FLOOR($D$15*D269*MAX(0,1-D269/(($D$10+SUM($N$33:N269))/$D$5)),1)),IF(A270&gt;=$D$14,IF(AND(D269&gt;0,F269&gt;0),INT(K269*D269/F269),0),1000000000),MIN(IF($D$11&gt;G269,INT(($D$11-G269)/$D$5),0)-D269,MAX(B270,INT(($D$10+SUM($N$33:N269))/$D$5)-D269))))</f>
        <v/>
      </c>
      <c r="D270" s="8">
        <f>D269+C270</f>
        <v/>
      </c>
      <c r="E270" s="8">
        <f>$D$5</f>
        <v/>
      </c>
      <c r="F270" s="8">
        <f>IF(G269&gt;=$D$11,0,MIN(D270*E270,$D$11-G269))</f>
        <v/>
      </c>
      <c r="G270" s="8">
        <f>G269+F270</f>
        <v/>
      </c>
      <c r="H270" s="10">
        <f>H269+$D$6*F270</f>
        <v/>
      </c>
      <c r="I270" s="10">
        <f>$D$7*F270+Q270</f>
        <v/>
      </c>
      <c r="J270" s="10">
        <f>J269+$D$8*F270+K270-P270</f>
        <v/>
      </c>
      <c r="K270" s="10">
        <f>($D$9/12)*J269</f>
        <v/>
      </c>
      <c r="L270" s="9">
        <f>IF(G270=0,0,J270/(G270*$D$12))</f>
        <v/>
      </c>
      <c r="M270" s="13">
        <f>I270/G270</f>
        <v/>
      </c>
      <c r="N270" s="8">
        <f>INDEX($G$6:$G$30,MIN(INT((A270-1)/12)+1,25))</f>
        <v/>
      </c>
      <c r="O270" s="126">
        <f>G270*$D$12</f>
        <v/>
      </c>
      <c r="P270">
        <f>IF(F270=0,0,MAX(0,0.01*G270-$D$7*F270))</f>
        <v/>
      </c>
    </row>
    <row r="271">
      <c r="A271" s="7" t="n">
        <v>239</v>
      </c>
      <c r="B271" s="98">
        <f>CEILING(0.0101*G270/$D$5,1)</f>
        <v/>
      </c>
      <c r="C271" s="8">
        <f>MAX(0,MIN(MAX(0,FLOOR($D$15*D270*MAX(0,1-D270/(($D$10+SUM($N$33:N270))/$D$5)),1)),IF(A271&gt;=$D$14,IF(AND(D270&gt;0,F270&gt;0),INT(K270*D270/F270),0),1000000000),MIN(IF($D$11&gt;G270,INT(($D$11-G270)/$D$5),0)-D270,MAX(B271,INT(($D$10+SUM($N$33:N270))/$D$5)-D270))))</f>
        <v/>
      </c>
      <c r="D271" s="8">
        <f>D270+C271</f>
        <v/>
      </c>
      <c r="E271" s="8">
        <f>$D$5</f>
        <v/>
      </c>
      <c r="F271" s="8">
        <f>IF(G270&gt;=$D$11,0,MIN(D271*E271,$D$11-G270))</f>
        <v/>
      </c>
      <c r="G271" s="8">
        <f>G270+F271</f>
        <v/>
      </c>
      <c r="H271" s="10">
        <f>H270+$D$6*F271</f>
        <v/>
      </c>
      <c r="I271" s="10">
        <f>$D$7*F271+Q271</f>
        <v/>
      </c>
      <c r="J271" s="10">
        <f>J270+$D$8*F271+K271-P271</f>
        <v/>
      </c>
      <c r="K271" s="10">
        <f>($D$9/12)*J270</f>
        <v/>
      </c>
      <c r="L271" s="9">
        <f>IF(G271=0,0,J271/(G271*$D$12))</f>
        <v/>
      </c>
      <c r="M271" s="13">
        <f>I271/G271</f>
        <v/>
      </c>
      <c r="N271" s="8">
        <f>INDEX($G$6:$G$30,MIN(INT((A271-1)/12)+1,25))</f>
        <v/>
      </c>
      <c r="O271" s="126">
        <f>G271*$D$12</f>
        <v/>
      </c>
      <c r="P271">
        <f>IF(F271=0,0,MAX(0,0.01*G271-$D$7*F271))</f>
        <v/>
      </c>
    </row>
    <row r="272">
      <c r="A272" s="7" t="n">
        <v>240</v>
      </c>
      <c r="B272" s="98">
        <f>CEILING(0.0101*G271/$D$5,1)</f>
        <v/>
      </c>
      <c r="C272" s="8">
        <f>MAX(0,MIN(MAX(0,FLOOR($D$15*D271*MAX(0,1-D271/(($D$10+SUM($N$33:N271))/$D$5)),1)),IF(A272&gt;=$D$14,IF(AND(D271&gt;0,F271&gt;0),INT(K271*D271/F271),0),1000000000),MIN(IF($D$11&gt;G271,INT(($D$11-G271)/$D$5),0)-D271,MAX(B272,INT(($D$10+SUM($N$33:N271))/$D$5)-D271))))</f>
        <v/>
      </c>
      <c r="D272" s="8">
        <f>D271+C272</f>
        <v/>
      </c>
      <c r="E272" s="8">
        <f>$D$5</f>
        <v/>
      </c>
      <c r="F272" s="8">
        <f>IF(G271&gt;=$D$11,0,MIN(D272*E272,$D$11-G271))</f>
        <v/>
      </c>
      <c r="G272" s="8">
        <f>G271+F272</f>
        <v/>
      </c>
      <c r="H272" s="10">
        <f>H271+$D$6*F272</f>
        <v/>
      </c>
      <c r="I272" s="10">
        <f>$D$7*F272+Q272</f>
        <v/>
      </c>
      <c r="J272" s="10">
        <f>J271+$D$8*F272+K272-P272</f>
        <v/>
      </c>
      <c r="K272" s="10">
        <f>($D$9/12)*J271</f>
        <v/>
      </c>
      <c r="L272" s="9">
        <f>IF(G272=0,0,J272/(G272*$D$12))</f>
        <v/>
      </c>
      <c r="M272" s="13">
        <f>I272/G272</f>
        <v/>
      </c>
      <c r="N272" s="8">
        <f>INDEX($G$6:$G$30,MIN(INT((A272-1)/12)+1,25))</f>
        <v/>
      </c>
      <c r="O272" s="126">
        <f>G272*$D$12</f>
        <v/>
      </c>
      <c r="P272">
        <f>IF(F272=0,0,MAX(0,0.01*G272-$D$7*F272))</f>
        <v/>
      </c>
    </row>
    <row r="273">
      <c r="A273" s="7" t="n">
        <v>241</v>
      </c>
      <c r="B273" s="98">
        <f>CEILING(0.0101*G272/$D$5,1)</f>
        <v/>
      </c>
      <c r="C273" s="8">
        <f>MAX(0,MIN(MAX(0,FLOOR($D$15*D272*MAX(0,1-D272/(($D$10+SUM($N$33:N272))/$D$5)),1)),IF(A273&gt;=$D$14,IF(AND(D272&gt;0,F272&gt;0),INT(K272*D272/F272),0),1000000000),MIN(IF($D$11&gt;G272,INT(($D$11-G272)/$D$5),0)-D272,MAX(B273,INT(($D$10+SUM($N$33:N272))/$D$5)-D272))))</f>
        <v/>
      </c>
      <c r="D273" s="8">
        <f>D272+C273</f>
        <v/>
      </c>
      <c r="E273" s="8">
        <f>$D$5</f>
        <v/>
      </c>
      <c r="F273" s="8">
        <f>IF(G272&gt;=$D$11,0,MIN(D273*E273,$D$11-G272))</f>
        <v/>
      </c>
      <c r="G273" s="8">
        <f>G272+F273</f>
        <v/>
      </c>
      <c r="H273" s="10">
        <f>H272+$D$6*F273</f>
        <v/>
      </c>
      <c r="I273" s="10">
        <f>$D$7*F273+Q273</f>
        <v/>
      </c>
      <c r="J273" s="10">
        <f>J272+$D$8*F273+K273-P273</f>
        <v/>
      </c>
      <c r="K273" s="10">
        <f>($D$9/12)*J272</f>
        <v/>
      </c>
      <c r="L273" s="9">
        <f>IF(G273=0,0,J273/(G273*$D$12))</f>
        <v/>
      </c>
      <c r="M273" s="13">
        <f>I273/G273</f>
        <v/>
      </c>
      <c r="N273" s="8">
        <f>INDEX($G$6:$G$30,MIN(INT((A273-1)/12)+1,25))</f>
        <v/>
      </c>
      <c r="O273" s="126">
        <f>G273*$D$12</f>
        <v/>
      </c>
      <c r="P273">
        <f>IF(F273=0,0,MAX(0,0.01*G273-$D$7*F273))</f>
        <v/>
      </c>
    </row>
    <row r="274">
      <c r="A274" s="7" t="n">
        <v>242</v>
      </c>
      <c r="B274" s="98">
        <f>CEILING(0.0101*G273/$D$5,1)</f>
        <v/>
      </c>
      <c r="C274" s="8">
        <f>MAX(0,MIN(MAX(0,FLOOR($D$15*D273*MAX(0,1-D273/(($D$10+SUM($N$33:N273))/$D$5)),1)),IF(A274&gt;=$D$14,IF(AND(D273&gt;0,F273&gt;0),INT(K273*D273/F273),0),1000000000),MIN(IF($D$11&gt;G273,INT(($D$11-G273)/$D$5),0)-D273,MAX(B274,INT(($D$10+SUM($N$33:N273))/$D$5)-D273))))</f>
        <v/>
      </c>
      <c r="D274" s="8">
        <f>D273+C274</f>
        <v/>
      </c>
      <c r="E274" s="8">
        <f>$D$5</f>
        <v/>
      </c>
      <c r="F274" s="8">
        <f>IF(G273&gt;=$D$11,0,MIN(D274*E274,$D$11-G273))</f>
        <v/>
      </c>
      <c r="G274" s="8">
        <f>G273+F274</f>
        <v/>
      </c>
      <c r="H274" s="10">
        <f>H273+$D$6*F274</f>
        <v/>
      </c>
      <c r="I274" s="10">
        <f>$D$7*F274+Q274</f>
        <v/>
      </c>
      <c r="J274" s="10">
        <f>J273+$D$8*F274+K274-P274</f>
        <v/>
      </c>
      <c r="K274" s="10">
        <f>($D$9/12)*J273</f>
        <v/>
      </c>
      <c r="L274" s="9">
        <f>IF(G274=0,0,J274/(G274*$D$12))</f>
        <v/>
      </c>
      <c r="M274" s="13">
        <f>I274/G274</f>
        <v/>
      </c>
      <c r="N274" s="8">
        <f>INDEX($G$6:$G$30,MIN(INT((A274-1)/12)+1,25))</f>
        <v/>
      </c>
      <c r="O274" s="126">
        <f>G274*$D$12</f>
        <v/>
      </c>
      <c r="P274">
        <f>IF(F274=0,0,MAX(0,0.01*G274-$D$7*F274))</f>
        <v/>
      </c>
    </row>
    <row r="275">
      <c r="A275" s="7" t="n">
        <v>243</v>
      </c>
      <c r="B275" s="98">
        <f>CEILING(0.0101*G274/$D$5,1)</f>
        <v/>
      </c>
      <c r="C275" s="8">
        <f>MAX(0,MIN(MAX(0,FLOOR($D$15*D274*MAX(0,1-D274/(($D$10+SUM($N$33:N274))/$D$5)),1)),IF(A275&gt;=$D$14,IF(AND(D274&gt;0,F274&gt;0),INT(K274*D274/F274),0),1000000000),MIN(IF($D$11&gt;G274,INT(($D$11-G274)/$D$5),0)-D274,MAX(B275,INT(($D$10+SUM($N$33:N274))/$D$5)-D274))))</f>
        <v/>
      </c>
      <c r="D275" s="8">
        <f>D274+C275</f>
        <v/>
      </c>
      <c r="E275" s="8">
        <f>$D$5</f>
        <v/>
      </c>
      <c r="F275" s="8">
        <f>IF(G274&gt;=$D$11,0,MIN(D275*E275,$D$11-G274))</f>
        <v/>
      </c>
      <c r="G275" s="8">
        <f>G274+F275</f>
        <v/>
      </c>
      <c r="H275" s="10">
        <f>H274+$D$6*F275</f>
        <v/>
      </c>
      <c r="I275" s="10">
        <f>$D$7*F275+Q275</f>
        <v/>
      </c>
      <c r="J275" s="10">
        <f>J274+$D$8*F275+K275-P275</f>
        <v/>
      </c>
      <c r="K275" s="10">
        <f>($D$9/12)*J274</f>
        <v/>
      </c>
      <c r="L275" s="9">
        <f>IF(G275=0,0,J275/(G275*$D$12))</f>
        <v/>
      </c>
      <c r="M275" s="13">
        <f>I275/G275</f>
        <v/>
      </c>
      <c r="N275" s="8">
        <f>INDEX($G$6:$G$30,MIN(INT((A275-1)/12)+1,25))</f>
        <v/>
      </c>
      <c r="O275" s="126">
        <f>G275*$D$12</f>
        <v/>
      </c>
      <c r="P275">
        <f>IF(F275=0,0,MAX(0,0.01*G275-$D$7*F275))</f>
        <v/>
      </c>
    </row>
    <row r="276">
      <c r="A276" s="7" t="n">
        <v>244</v>
      </c>
      <c r="B276" s="98">
        <f>CEILING(0.0101*G275/$D$5,1)</f>
        <v/>
      </c>
      <c r="C276" s="8">
        <f>MAX(0,MIN(MAX(0,FLOOR($D$15*D275*MAX(0,1-D275/(($D$10+SUM($N$33:N275))/$D$5)),1)),IF(A276&gt;=$D$14,IF(AND(D275&gt;0,F275&gt;0),INT(K275*D275/F275),0),1000000000),MIN(IF($D$11&gt;G275,INT(($D$11-G275)/$D$5),0)-D275,MAX(B276,INT(($D$10+SUM($N$33:N275))/$D$5)-D275))))</f>
        <v/>
      </c>
      <c r="D276" s="8">
        <f>D275+C276</f>
        <v/>
      </c>
      <c r="E276" s="8">
        <f>$D$5</f>
        <v/>
      </c>
      <c r="F276" s="8">
        <f>IF(G275&gt;=$D$11,0,MIN(D276*E276,$D$11-G275))</f>
        <v/>
      </c>
      <c r="G276" s="8">
        <f>G275+F276</f>
        <v/>
      </c>
      <c r="H276" s="10">
        <f>H275+$D$6*F276</f>
        <v/>
      </c>
      <c r="I276" s="10">
        <f>$D$7*F276+Q276</f>
        <v/>
      </c>
      <c r="J276" s="10">
        <f>J275+$D$8*F276+K276-P276</f>
        <v/>
      </c>
      <c r="K276" s="10">
        <f>($D$9/12)*J275</f>
        <v/>
      </c>
      <c r="L276" s="9">
        <f>IF(G276=0,0,J276/(G276*$D$12))</f>
        <v/>
      </c>
      <c r="M276" s="13">
        <f>I276/G276</f>
        <v/>
      </c>
      <c r="N276" s="8">
        <f>INDEX($G$6:$G$30,MIN(INT((A276-1)/12)+1,25))</f>
        <v/>
      </c>
      <c r="O276" s="126">
        <f>G276*$D$12</f>
        <v/>
      </c>
      <c r="P276">
        <f>IF(F276=0,0,MAX(0,0.01*G276-$D$7*F276))</f>
        <v/>
      </c>
    </row>
    <row r="277">
      <c r="A277" s="7" t="n">
        <v>245</v>
      </c>
      <c r="B277" s="98">
        <f>CEILING(0.0101*G276/$D$5,1)</f>
        <v/>
      </c>
      <c r="C277" s="8">
        <f>MAX(0,MIN(MAX(0,FLOOR($D$15*D276*MAX(0,1-D276/(($D$10+SUM($N$33:N276))/$D$5)),1)),IF(A277&gt;=$D$14,IF(AND(D276&gt;0,F276&gt;0),INT(K276*D276/F276),0),1000000000),MIN(IF($D$11&gt;G276,INT(($D$11-G276)/$D$5),0)-D276,MAX(B277,INT(($D$10+SUM($N$33:N276))/$D$5)-D276))))</f>
        <v/>
      </c>
      <c r="D277" s="8">
        <f>D276+C277</f>
        <v/>
      </c>
      <c r="E277" s="8">
        <f>$D$5</f>
        <v/>
      </c>
      <c r="F277" s="8">
        <f>IF(G276&gt;=$D$11,0,MIN(D277*E277,$D$11-G276))</f>
        <v/>
      </c>
      <c r="G277" s="8">
        <f>G276+F277</f>
        <v/>
      </c>
      <c r="H277" s="10">
        <f>H276+$D$6*F277</f>
        <v/>
      </c>
      <c r="I277" s="10">
        <f>$D$7*F277+Q277</f>
        <v/>
      </c>
      <c r="J277" s="10">
        <f>J276+$D$8*F277+K277-P277</f>
        <v/>
      </c>
      <c r="K277" s="10">
        <f>($D$9/12)*J276</f>
        <v/>
      </c>
      <c r="L277" s="9">
        <f>IF(G277=0,0,J277/(G277*$D$12))</f>
        <v/>
      </c>
      <c r="M277" s="13">
        <f>I277/G277</f>
        <v/>
      </c>
      <c r="N277" s="8">
        <f>INDEX($G$6:$G$30,MIN(INT((A277-1)/12)+1,25))</f>
        <v/>
      </c>
      <c r="O277" s="126">
        <f>G277*$D$12</f>
        <v/>
      </c>
      <c r="P277">
        <f>IF(F277=0,0,MAX(0,0.01*G277-$D$7*F277))</f>
        <v/>
      </c>
    </row>
    <row r="278">
      <c r="A278" s="7" t="n">
        <v>246</v>
      </c>
      <c r="B278" s="98">
        <f>CEILING(0.0101*G277/$D$5,1)</f>
        <v/>
      </c>
      <c r="C278" s="8">
        <f>MAX(0,MIN(MAX(0,FLOOR($D$15*D277*MAX(0,1-D277/(($D$10+SUM($N$33:N277))/$D$5)),1)),IF(A278&gt;=$D$14,IF(AND(D277&gt;0,F277&gt;0),INT(K277*D277/F277),0),1000000000),MIN(IF($D$11&gt;G277,INT(($D$11-G277)/$D$5),0)-D277,MAX(B278,INT(($D$10+SUM($N$33:N277))/$D$5)-D277))))</f>
        <v/>
      </c>
      <c r="D278" s="8">
        <f>D277+C278</f>
        <v/>
      </c>
      <c r="E278" s="8">
        <f>$D$5</f>
        <v/>
      </c>
      <c r="F278" s="8">
        <f>IF(G277&gt;=$D$11,0,MIN(D278*E278,$D$11-G277))</f>
        <v/>
      </c>
      <c r="G278" s="8">
        <f>G277+F278</f>
        <v/>
      </c>
      <c r="H278" s="10">
        <f>H277+$D$6*F278</f>
        <v/>
      </c>
      <c r="I278" s="10">
        <f>$D$7*F278+Q278</f>
        <v/>
      </c>
      <c r="J278" s="10">
        <f>J277+$D$8*F278+K278-P278</f>
        <v/>
      </c>
      <c r="K278" s="10">
        <f>($D$9/12)*J277</f>
        <v/>
      </c>
      <c r="L278" s="9">
        <f>IF(G278=0,0,J278/(G278*$D$12))</f>
        <v/>
      </c>
      <c r="M278" s="13">
        <f>I278/G278</f>
        <v/>
      </c>
      <c r="N278" s="8">
        <f>INDEX($G$6:$G$30,MIN(INT((A278-1)/12)+1,25))</f>
        <v/>
      </c>
      <c r="O278" s="126">
        <f>G278*$D$12</f>
        <v/>
      </c>
      <c r="P278">
        <f>IF(F278=0,0,MAX(0,0.01*G278-$D$7*F278))</f>
        <v/>
      </c>
    </row>
    <row r="279">
      <c r="A279" s="7" t="n">
        <v>247</v>
      </c>
      <c r="B279" s="98">
        <f>CEILING(0.0101*G278/$D$5,1)</f>
        <v/>
      </c>
      <c r="C279" s="8">
        <f>MAX(0,MIN(MAX(0,FLOOR($D$15*D278*MAX(0,1-D278/(($D$10+SUM($N$33:N278))/$D$5)),1)),IF(A279&gt;=$D$14,IF(AND(D278&gt;0,F278&gt;0),INT(K278*D278/F278),0),1000000000),MIN(IF($D$11&gt;G278,INT(($D$11-G278)/$D$5),0)-D278,MAX(B279,INT(($D$10+SUM($N$33:N278))/$D$5)-D278))))</f>
        <v/>
      </c>
      <c r="D279" s="8">
        <f>D278+C279</f>
        <v/>
      </c>
      <c r="E279" s="8">
        <f>$D$5</f>
        <v/>
      </c>
      <c r="F279" s="8">
        <f>IF(G278&gt;=$D$11,0,MIN(D279*E279,$D$11-G278))</f>
        <v/>
      </c>
      <c r="G279" s="8">
        <f>G278+F279</f>
        <v/>
      </c>
      <c r="H279" s="10">
        <f>H278+$D$6*F279</f>
        <v/>
      </c>
      <c r="I279" s="10">
        <f>$D$7*F279+Q279</f>
        <v/>
      </c>
      <c r="J279" s="10">
        <f>J278+$D$8*F279+K279-P279</f>
        <v/>
      </c>
      <c r="K279" s="10">
        <f>($D$9/12)*J278</f>
        <v/>
      </c>
      <c r="L279" s="9">
        <f>IF(G279=0,0,J279/(G279*$D$12))</f>
        <v/>
      </c>
      <c r="M279" s="13">
        <f>I279/G279</f>
        <v/>
      </c>
      <c r="N279" s="8">
        <f>INDEX($G$6:$G$30,MIN(INT((A279-1)/12)+1,25))</f>
        <v/>
      </c>
      <c r="O279" s="126">
        <f>G279*$D$12</f>
        <v/>
      </c>
      <c r="P279">
        <f>IF(F279=0,0,MAX(0,0.01*G279-$D$7*F279))</f>
        <v/>
      </c>
    </row>
    <row r="280">
      <c r="A280" s="7" t="n">
        <v>248</v>
      </c>
      <c r="B280" s="98">
        <f>CEILING(0.0101*G279/$D$5,1)</f>
        <v/>
      </c>
      <c r="C280" s="8">
        <f>MAX(0,MIN(MAX(0,FLOOR($D$15*D279*MAX(0,1-D279/(($D$10+SUM($N$33:N279))/$D$5)),1)),IF(A280&gt;=$D$14,IF(AND(D279&gt;0,F279&gt;0),INT(K279*D279/F279),0),1000000000),MIN(IF($D$11&gt;G279,INT(($D$11-G279)/$D$5),0)-D279,MAX(B280,INT(($D$10+SUM($N$33:N279))/$D$5)-D279))))</f>
        <v/>
      </c>
      <c r="D280" s="8">
        <f>D279+C280</f>
        <v/>
      </c>
      <c r="E280" s="8">
        <f>$D$5</f>
        <v/>
      </c>
      <c r="F280" s="8">
        <f>IF(G279&gt;=$D$11,0,MIN(D280*E280,$D$11-G279))</f>
        <v/>
      </c>
      <c r="G280" s="8">
        <f>G279+F280</f>
        <v/>
      </c>
      <c r="H280" s="10">
        <f>H279+$D$6*F280</f>
        <v/>
      </c>
      <c r="I280" s="10">
        <f>$D$7*F280+Q280</f>
        <v/>
      </c>
      <c r="J280" s="10">
        <f>J279+$D$8*F280+K280-P280</f>
        <v/>
      </c>
      <c r="K280" s="10">
        <f>($D$9/12)*J279</f>
        <v/>
      </c>
      <c r="L280" s="9">
        <f>IF(G280=0,0,J280/(G280*$D$12))</f>
        <v/>
      </c>
      <c r="M280" s="13">
        <f>I280/G280</f>
        <v/>
      </c>
      <c r="N280" s="8">
        <f>INDEX($G$6:$G$30,MIN(INT((A280-1)/12)+1,25))</f>
        <v/>
      </c>
      <c r="O280" s="126">
        <f>G280*$D$12</f>
        <v/>
      </c>
      <c r="P280">
        <f>IF(F280=0,0,MAX(0,0.01*G280-$D$7*F280))</f>
        <v/>
      </c>
    </row>
    <row r="281">
      <c r="A281" s="7" t="n">
        <v>249</v>
      </c>
      <c r="B281" s="98">
        <f>CEILING(0.0101*G280/$D$5,1)</f>
        <v/>
      </c>
      <c r="C281" s="8">
        <f>MAX(0,MIN(MAX(0,FLOOR($D$15*D280*MAX(0,1-D280/(($D$10+SUM($N$33:N280))/$D$5)),1)),IF(A281&gt;=$D$14,IF(AND(D280&gt;0,F280&gt;0),INT(K280*D280/F280),0),1000000000),MIN(IF($D$11&gt;G280,INT(($D$11-G280)/$D$5),0)-D280,MAX(B281,INT(($D$10+SUM($N$33:N280))/$D$5)-D280))))</f>
        <v/>
      </c>
      <c r="D281" s="8">
        <f>D280+C281</f>
        <v/>
      </c>
      <c r="E281" s="8">
        <f>$D$5</f>
        <v/>
      </c>
      <c r="F281" s="8">
        <f>IF(G280&gt;=$D$11,0,MIN(D281*E281,$D$11-G280))</f>
        <v/>
      </c>
      <c r="G281" s="8">
        <f>G280+F281</f>
        <v/>
      </c>
      <c r="H281" s="10">
        <f>H280+$D$6*F281</f>
        <v/>
      </c>
      <c r="I281" s="10">
        <f>$D$7*F281+Q281</f>
        <v/>
      </c>
      <c r="J281" s="10">
        <f>J280+$D$8*F281+K281-P281</f>
        <v/>
      </c>
      <c r="K281" s="10">
        <f>($D$9/12)*J280</f>
        <v/>
      </c>
      <c r="L281" s="9">
        <f>IF(G281=0,0,J281/(G281*$D$12))</f>
        <v/>
      </c>
      <c r="M281" s="13">
        <f>I281/G281</f>
        <v/>
      </c>
      <c r="N281" s="8">
        <f>INDEX($G$6:$G$30,MIN(INT((A281-1)/12)+1,25))</f>
        <v/>
      </c>
      <c r="O281" s="126">
        <f>G281*$D$12</f>
        <v/>
      </c>
      <c r="P281">
        <f>IF(F281=0,0,MAX(0,0.01*G281-$D$7*F281))</f>
        <v/>
      </c>
    </row>
    <row r="282">
      <c r="A282" s="7" t="n">
        <v>250</v>
      </c>
      <c r="B282" s="98">
        <f>CEILING(0.0101*G281/$D$5,1)</f>
        <v/>
      </c>
      <c r="C282" s="8">
        <f>MAX(0,MIN(MAX(0,FLOOR($D$15*D281*MAX(0,1-D281/(($D$10+SUM($N$33:N281))/$D$5)),1)),IF(A282&gt;=$D$14,IF(AND(D281&gt;0,F281&gt;0),INT(K281*D281/F281),0),1000000000),MIN(IF($D$11&gt;G281,INT(($D$11-G281)/$D$5),0)-D281,MAX(B282,INT(($D$10+SUM($N$33:N281))/$D$5)-D281))))</f>
        <v/>
      </c>
      <c r="D282" s="8">
        <f>D281+C282</f>
        <v/>
      </c>
      <c r="E282" s="8">
        <f>$D$5</f>
        <v/>
      </c>
      <c r="F282" s="8">
        <f>IF(G281&gt;=$D$11,0,MIN(D282*E282,$D$11-G281))</f>
        <v/>
      </c>
      <c r="G282" s="8">
        <f>G281+F282</f>
        <v/>
      </c>
      <c r="H282" s="10">
        <f>H281+$D$6*F282</f>
        <v/>
      </c>
      <c r="I282" s="10">
        <f>$D$7*F282+Q282</f>
        <v/>
      </c>
      <c r="J282" s="10">
        <f>J281+$D$8*F282+K282-P282</f>
        <v/>
      </c>
      <c r="K282" s="10">
        <f>($D$9/12)*J281</f>
        <v/>
      </c>
      <c r="L282" s="9">
        <f>IF(G282=0,0,J282/(G282*$D$12))</f>
        <v/>
      </c>
      <c r="M282" s="13">
        <f>I282/G282</f>
        <v/>
      </c>
      <c r="N282" s="8">
        <f>INDEX($G$6:$G$30,MIN(INT((A282-1)/12)+1,25))</f>
        <v/>
      </c>
      <c r="O282" s="126">
        <f>G282*$D$12</f>
        <v/>
      </c>
      <c r="P282">
        <f>IF(F282=0,0,MAX(0,0.01*G282-$D$7*F282))</f>
        <v/>
      </c>
    </row>
    <row r="283">
      <c r="A283" s="7" t="n">
        <v>251</v>
      </c>
      <c r="B283" s="98">
        <f>CEILING(0.0101*G282/$D$5,1)</f>
        <v/>
      </c>
      <c r="C283" s="8">
        <f>MAX(0,MIN(MAX(0,FLOOR($D$15*D282*MAX(0,1-D282/(($D$10+SUM($N$33:N282))/$D$5)),1)),IF(A283&gt;=$D$14,IF(AND(D282&gt;0,F282&gt;0),INT(K282*D282/F282),0),1000000000),MIN(IF($D$11&gt;G282,INT(($D$11-G282)/$D$5),0)-D282,MAX(B283,INT(($D$10+SUM($N$33:N282))/$D$5)-D282))))</f>
        <v/>
      </c>
      <c r="D283" s="8">
        <f>D282+C283</f>
        <v/>
      </c>
      <c r="E283" s="8">
        <f>$D$5</f>
        <v/>
      </c>
      <c r="F283" s="8">
        <f>IF(G282&gt;=$D$11,0,MIN(D283*E283,$D$11-G282))</f>
        <v/>
      </c>
      <c r="G283" s="8">
        <f>G282+F283</f>
        <v/>
      </c>
      <c r="H283" s="10">
        <f>H282+$D$6*F283</f>
        <v/>
      </c>
      <c r="I283" s="10">
        <f>$D$7*F283+Q283</f>
        <v/>
      </c>
      <c r="J283" s="10">
        <f>J282+$D$8*F283+K283-P283</f>
        <v/>
      </c>
      <c r="K283" s="10">
        <f>($D$9/12)*J282</f>
        <v/>
      </c>
      <c r="L283" s="9">
        <f>IF(G283=0,0,J283/(G283*$D$12))</f>
        <v/>
      </c>
      <c r="M283" s="13">
        <f>I283/G283</f>
        <v/>
      </c>
      <c r="N283" s="8">
        <f>INDEX($G$6:$G$30,MIN(INT((A283-1)/12)+1,25))</f>
        <v/>
      </c>
      <c r="O283" s="126">
        <f>G283*$D$12</f>
        <v/>
      </c>
      <c r="P283">
        <f>IF(F283=0,0,MAX(0,0.01*G283-$D$7*F283))</f>
        <v/>
      </c>
    </row>
    <row r="284">
      <c r="A284" s="7" t="n">
        <v>252</v>
      </c>
      <c r="B284" s="98">
        <f>CEILING(0.0101*G283/$D$5,1)</f>
        <v/>
      </c>
      <c r="C284" s="8">
        <f>MAX(0,MIN(MAX(0,FLOOR($D$15*D283*MAX(0,1-D283/(($D$10+SUM($N$33:N283))/$D$5)),1)),IF(A284&gt;=$D$14,IF(AND(D283&gt;0,F283&gt;0),INT(K283*D283/F283),0),1000000000),MIN(IF($D$11&gt;G283,INT(($D$11-G283)/$D$5),0)-D283,MAX(B284,INT(($D$10+SUM($N$33:N283))/$D$5)-D283))))</f>
        <v/>
      </c>
      <c r="D284" s="8">
        <f>D283+C284</f>
        <v/>
      </c>
      <c r="E284" s="8">
        <f>$D$5</f>
        <v/>
      </c>
      <c r="F284" s="8">
        <f>IF(G283&gt;=$D$11,0,MIN(D284*E284,$D$11-G283))</f>
        <v/>
      </c>
      <c r="G284" s="8">
        <f>G283+F284</f>
        <v/>
      </c>
      <c r="H284" s="10">
        <f>H283+$D$6*F284</f>
        <v/>
      </c>
      <c r="I284" s="10">
        <f>$D$7*F284+Q284</f>
        <v/>
      </c>
      <c r="J284" s="10">
        <f>J283+$D$8*F284+K284-P284</f>
        <v/>
      </c>
      <c r="K284" s="10">
        <f>($D$9/12)*J283</f>
        <v/>
      </c>
      <c r="L284" s="9">
        <f>IF(G284=0,0,J284/(G284*$D$12))</f>
        <v/>
      </c>
      <c r="M284" s="13">
        <f>I284/G284</f>
        <v/>
      </c>
      <c r="N284" s="8">
        <f>INDEX($G$6:$G$30,MIN(INT((A284-1)/12)+1,25))</f>
        <v/>
      </c>
      <c r="O284" s="126">
        <f>G284*$D$12</f>
        <v/>
      </c>
      <c r="P284">
        <f>IF(F284=0,0,MAX(0,0.01*G284-$D$7*F284))</f>
        <v/>
      </c>
    </row>
    <row r="285">
      <c r="A285" s="7" t="n">
        <v>253</v>
      </c>
      <c r="B285" s="98">
        <f>CEILING(0.0101*G284/$D$5,1)</f>
        <v/>
      </c>
      <c r="C285" s="8">
        <f>MAX(0,MIN(MAX(0,FLOOR($D$15*D284*MAX(0,1-D284/(($D$10+SUM($N$33:N284))/$D$5)),1)),IF(A285&gt;=$D$14,IF(AND(D284&gt;0,F284&gt;0),INT(K284*D284/F284),0),1000000000),MIN(IF($D$11&gt;G284,INT(($D$11-G284)/$D$5),0)-D284,MAX(B285,INT(($D$10+SUM($N$33:N284))/$D$5)-D284))))</f>
        <v/>
      </c>
      <c r="D285" s="8">
        <f>D284+C285</f>
        <v/>
      </c>
      <c r="E285" s="8">
        <f>$D$5</f>
        <v/>
      </c>
      <c r="F285" s="8">
        <f>IF(G284&gt;=$D$11,0,MIN(D285*E285,$D$11-G284))</f>
        <v/>
      </c>
      <c r="G285" s="8">
        <f>G284+F285</f>
        <v/>
      </c>
      <c r="H285" s="10">
        <f>H284+$D$6*F285</f>
        <v/>
      </c>
      <c r="I285" s="10">
        <f>$D$7*F285+Q285</f>
        <v/>
      </c>
      <c r="J285" s="10">
        <f>J284+$D$8*F285+K285-P285</f>
        <v/>
      </c>
      <c r="K285" s="10">
        <f>($D$9/12)*J284</f>
        <v/>
      </c>
      <c r="L285" s="9">
        <f>IF(G285=0,0,J285/(G285*$D$12))</f>
        <v/>
      </c>
      <c r="M285" s="13">
        <f>I285/G285</f>
        <v/>
      </c>
      <c r="N285" s="8">
        <f>INDEX($G$6:$G$30,MIN(INT((A285-1)/12)+1,25))</f>
        <v/>
      </c>
      <c r="O285" s="126">
        <f>G285*$D$12</f>
        <v/>
      </c>
      <c r="P285">
        <f>IF(F285=0,0,MAX(0,0.01*G285-$D$7*F285))</f>
        <v/>
      </c>
    </row>
    <row r="286">
      <c r="A286" s="7" t="n">
        <v>254</v>
      </c>
      <c r="B286" s="98">
        <f>CEILING(0.0101*G285/$D$5,1)</f>
        <v/>
      </c>
      <c r="C286" s="8">
        <f>MAX(0,MIN(MAX(0,FLOOR($D$15*D285*MAX(0,1-D285/(($D$10+SUM($N$33:N285))/$D$5)),1)),IF(A286&gt;=$D$14,IF(AND(D285&gt;0,F285&gt;0),INT(K285*D285/F285),0),1000000000),MIN(IF($D$11&gt;G285,INT(($D$11-G285)/$D$5),0)-D285,MAX(B286,INT(($D$10+SUM($N$33:N285))/$D$5)-D285))))</f>
        <v/>
      </c>
      <c r="D286" s="8">
        <f>D285+C286</f>
        <v/>
      </c>
      <c r="E286" s="8">
        <f>$D$5</f>
        <v/>
      </c>
      <c r="F286" s="8">
        <f>IF(G285&gt;=$D$11,0,MIN(D286*E286,$D$11-G285))</f>
        <v/>
      </c>
      <c r="G286" s="8">
        <f>G285+F286</f>
        <v/>
      </c>
      <c r="H286" s="10">
        <f>H285+$D$6*F286</f>
        <v/>
      </c>
      <c r="I286" s="10">
        <f>$D$7*F286+Q286</f>
        <v/>
      </c>
      <c r="J286" s="10">
        <f>J285+$D$8*F286+K286-P286</f>
        <v/>
      </c>
      <c r="K286" s="10">
        <f>($D$9/12)*J285</f>
        <v/>
      </c>
      <c r="L286" s="9">
        <f>IF(G286=0,0,J286/(G286*$D$12))</f>
        <v/>
      </c>
      <c r="M286" s="13">
        <f>I286/G286</f>
        <v/>
      </c>
      <c r="N286" s="8">
        <f>INDEX($G$6:$G$30,MIN(INT((A286-1)/12)+1,25))</f>
        <v/>
      </c>
      <c r="O286" s="126">
        <f>G286*$D$12</f>
        <v/>
      </c>
      <c r="P286">
        <f>IF(F286=0,0,MAX(0,0.01*G286-$D$7*F286))</f>
        <v/>
      </c>
    </row>
    <row r="287">
      <c r="A287" s="7" t="n">
        <v>255</v>
      </c>
      <c r="B287" s="98">
        <f>CEILING(0.0101*G286/$D$5,1)</f>
        <v/>
      </c>
      <c r="C287" s="8">
        <f>MAX(0,MIN(MAX(0,FLOOR($D$15*D286*MAX(0,1-D286/(($D$10+SUM($N$33:N286))/$D$5)),1)),IF(A287&gt;=$D$14,IF(AND(D286&gt;0,F286&gt;0),INT(K286*D286/F286),0),1000000000),MIN(IF($D$11&gt;G286,INT(($D$11-G286)/$D$5),0)-D286,MAX(B287,INT(($D$10+SUM($N$33:N286))/$D$5)-D286))))</f>
        <v/>
      </c>
      <c r="D287" s="8">
        <f>D286+C287</f>
        <v/>
      </c>
      <c r="E287" s="8">
        <f>$D$5</f>
        <v/>
      </c>
      <c r="F287" s="8">
        <f>IF(G286&gt;=$D$11,0,MIN(D287*E287,$D$11-G286))</f>
        <v/>
      </c>
      <c r="G287" s="8">
        <f>G286+F287</f>
        <v/>
      </c>
      <c r="H287" s="10">
        <f>H286+$D$6*F287</f>
        <v/>
      </c>
      <c r="I287" s="10">
        <f>$D$7*F287+Q287</f>
        <v/>
      </c>
      <c r="J287" s="10">
        <f>J286+$D$8*F287+K287-P287</f>
        <v/>
      </c>
      <c r="K287" s="10">
        <f>($D$9/12)*J286</f>
        <v/>
      </c>
      <c r="L287" s="9">
        <f>IF(G287=0,0,J287/(G287*$D$12))</f>
        <v/>
      </c>
      <c r="M287" s="13">
        <f>I287/G287</f>
        <v/>
      </c>
      <c r="N287" s="8">
        <f>INDEX($G$6:$G$30,MIN(INT((A287-1)/12)+1,25))</f>
        <v/>
      </c>
      <c r="O287" s="126">
        <f>G287*$D$12</f>
        <v/>
      </c>
      <c r="P287">
        <f>IF(F287=0,0,MAX(0,0.01*G287-$D$7*F287))</f>
        <v/>
      </c>
    </row>
    <row r="288">
      <c r="A288" s="7" t="n">
        <v>256</v>
      </c>
      <c r="B288" s="98">
        <f>CEILING(0.0101*G287/$D$5,1)</f>
        <v/>
      </c>
      <c r="C288" s="8">
        <f>MAX(0,MIN(MAX(0,FLOOR($D$15*D287*MAX(0,1-D287/(($D$10+SUM($N$33:N287))/$D$5)),1)),IF(A288&gt;=$D$14,IF(AND(D287&gt;0,F287&gt;0),INT(K287*D287/F287),0),1000000000),MIN(IF($D$11&gt;G287,INT(($D$11-G287)/$D$5),0)-D287,MAX(B288,INT(($D$10+SUM($N$33:N287))/$D$5)-D287))))</f>
        <v/>
      </c>
      <c r="D288" s="8">
        <f>D287+C288</f>
        <v/>
      </c>
      <c r="E288" s="8">
        <f>$D$5</f>
        <v/>
      </c>
      <c r="F288" s="8">
        <f>IF(G287&gt;=$D$11,0,MIN(D288*E288,$D$11-G287))</f>
        <v/>
      </c>
      <c r="G288" s="8">
        <f>G287+F288</f>
        <v/>
      </c>
      <c r="H288" s="10">
        <f>H287+$D$6*F288</f>
        <v/>
      </c>
      <c r="I288" s="10">
        <f>$D$7*F288+Q288</f>
        <v/>
      </c>
      <c r="J288" s="10">
        <f>J287+$D$8*F288+K288-P288</f>
        <v/>
      </c>
      <c r="K288" s="10">
        <f>($D$9/12)*J287</f>
        <v/>
      </c>
      <c r="L288" s="9">
        <f>IF(G288=0,0,J288/(G288*$D$12))</f>
        <v/>
      </c>
      <c r="M288" s="13">
        <f>I288/G288</f>
        <v/>
      </c>
      <c r="N288" s="8">
        <f>INDEX($G$6:$G$30,MIN(INT((A288-1)/12)+1,25))</f>
        <v/>
      </c>
      <c r="O288" s="126">
        <f>G288*$D$12</f>
        <v/>
      </c>
      <c r="P288">
        <f>IF(F288=0,0,MAX(0,0.01*G288-$D$7*F288))</f>
        <v/>
      </c>
    </row>
    <row r="289">
      <c r="A289" s="7" t="n">
        <v>257</v>
      </c>
      <c r="B289" s="98">
        <f>CEILING(0.0101*G288/$D$5,1)</f>
        <v/>
      </c>
      <c r="C289" s="8">
        <f>MAX(0,MIN(MAX(0,FLOOR($D$15*D288*MAX(0,1-D288/(($D$10+SUM($N$33:N288))/$D$5)),1)),IF(A289&gt;=$D$14,IF(AND(D288&gt;0,F288&gt;0),INT(K288*D288/F288),0),1000000000),MIN(IF($D$11&gt;G288,INT(($D$11-G288)/$D$5),0)-D288,MAX(B289,INT(($D$10+SUM($N$33:N288))/$D$5)-D288))))</f>
        <v/>
      </c>
      <c r="D289" s="8">
        <f>D288+C289</f>
        <v/>
      </c>
      <c r="E289" s="8">
        <f>$D$5</f>
        <v/>
      </c>
      <c r="F289" s="8">
        <f>IF(G288&gt;=$D$11,0,MIN(D289*E289,$D$11-G288))</f>
        <v/>
      </c>
      <c r="G289" s="8">
        <f>G288+F289</f>
        <v/>
      </c>
      <c r="H289" s="10">
        <f>H288+$D$6*F289</f>
        <v/>
      </c>
      <c r="I289" s="10">
        <f>$D$7*F289+Q289</f>
        <v/>
      </c>
      <c r="J289" s="10">
        <f>J288+$D$8*F289+K289-P289</f>
        <v/>
      </c>
      <c r="K289" s="10">
        <f>($D$9/12)*J288</f>
        <v/>
      </c>
      <c r="L289" s="9">
        <f>IF(G289=0,0,J289/(G289*$D$12))</f>
        <v/>
      </c>
      <c r="M289" s="13">
        <f>I289/G289</f>
        <v/>
      </c>
      <c r="N289" s="8">
        <f>INDEX($G$6:$G$30,MIN(INT((A289-1)/12)+1,25))</f>
        <v/>
      </c>
      <c r="O289" s="126">
        <f>G289*$D$12</f>
        <v/>
      </c>
      <c r="P289">
        <f>IF(F289=0,0,MAX(0,0.01*G289-$D$7*F289))</f>
        <v/>
      </c>
    </row>
    <row r="290">
      <c r="A290" s="7" t="n">
        <v>258</v>
      </c>
      <c r="B290" s="98">
        <f>CEILING(0.0101*G289/$D$5,1)</f>
        <v/>
      </c>
      <c r="C290" s="8">
        <f>MAX(0,MIN(MAX(0,FLOOR($D$15*D289*MAX(0,1-D289/(($D$10+SUM($N$33:N289))/$D$5)),1)),IF(A290&gt;=$D$14,IF(AND(D289&gt;0,F289&gt;0),INT(K289*D289/F289),0),1000000000),MIN(IF($D$11&gt;G289,INT(($D$11-G289)/$D$5),0)-D289,MAX(B290,INT(($D$10+SUM($N$33:N289))/$D$5)-D289))))</f>
        <v/>
      </c>
      <c r="D290" s="8">
        <f>D289+C290</f>
        <v/>
      </c>
      <c r="E290" s="8">
        <f>$D$5</f>
        <v/>
      </c>
      <c r="F290" s="8">
        <f>IF(G289&gt;=$D$11,0,MIN(D290*E290,$D$11-G289))</f>
        <v/>
      </c>
      <c r="G290" s="8">
        <f>G289+F290</f>
        <v/>
      </c>
      <c r="H290" s="10">
        <f>H289+$D$6*F290</f>
        <v/>
      </c>
      <c r="I290" s="10">
        <f>$D$7*F290+Q290</f>
        <v/>
      </c>
      <c r="J290" s="10">
        <f>J289+$D$8*F290+K290-P290</f>
        <v/>
      </c>
      <c r="K290" s="10">
        <f>($D$9/12)*J289</f>
        <v/>
      </c>
      <c r="L290" s="9">
        <f>IF(G290=0,0,J290/(G290*$D$12))</f>
        <v/>
      </c>
      <c r="M290" s="13">
        <f>I290/G290</f>
        <v/>
      </c>
      <c r="N290" s="8">
        <f>INDEX($G$6:$G$30,MIN(INT((A290-1)/12)+1,25))</f>
        <v/>
      </c>
      <c r="O290" s="126">
        <f>G290*$D$12</f>
        <v/>
      </c>
      <c r="P290">
        <f>IF(F290=0,0,MAX(0,0.01*G290-$D$7*F290))</f>
        <v/>
      </c>
    </row>
    <row r="291">
      <c r="A291" s="7" t="n">
        <v>259</v>
      </c>
      <c r="B291" s="98">
        <f>CEILING(0.0101*G290/$D$5,1)</f>
        <v/>
      </c>
      <c r="C291" s="8">
        <f>MAX(0,MIN(MAX(0,FLOOR($D$15*D290*MAX(0,1-D290/(($D$10+SUM($N$33:N290))/$D$5)),1)),IF(A291&gt;=$D$14,IF(AND(D290&gt;0,F290&gt;0),INT(K290*D290/F290),0),1000000000),MIN(IF($D$11&gt;G290,INT(($D$11-G290)/$D$5),0)-D290,MAX(B291,INT(($D$10+SUM($N$33:N290))/$D$5)-D290))))</f>
        <v/>
      </c>
      <c r="D291" s="8">
        <f>D290+C291</f>
        <v/>
      </c>
      <c r="E291" s="8">
        <f>$D$5</f>
        <v/>
      </c>
      <c r="F291" s="8">
        <f>IF(G290&gt;=$D$11,0,MIN(D291*E291,$D$11-G290))</f>
        <v/>
      </c>
      <c r="G291" s="8">
        <f>G290+F291</f>
        <v/>
      </c>
      <c r="H291" s="10">
        <f>H290+$D$6*F291</f>
        <v/>
      </c>
      <c r="I291" s="10">
        <f>$D$7*F291+Q291</f>
        <v/>
      </c>
      <c r="J291" s="10">
        <f>J290+$D$8*F291+K291-P291</f>
        <v/>
      </c>
      <c r="K291" s="10">
        <f>($D$9/12)*J290</f>
        <v/>
      </c>
      <c r="L291" s="9">
        <f>IF(G291=0,0,J291/(G291*$D$12))</f>
        <v/>
      </c>
      <c r="M291" s="13">
        <f>I291/G291</f>
        <v/>
      </c>
      <c r="N291" s="8">
        <f>INDEX($G$6:$G$30,MIN(INT((A291-1)/12)+1,25))</f>
        <v/>
      </c>
      <c r="O291" s="126">
        <f>G291*$D$12</f>
        <v/>
      </c>
      <c r="P291">
        <f>IF(F291=0,0,MAX(0,0.01*G291-$D$7*F291))</f>
        <v/>
      </c>
    </row>
    <row r="292">
      <c r="A292" s="7" t="n">
        <v>260</v>
      </c>
      <c r="B292" s="98">
        <f>CEILING(0.0101*G291/$D$5,1)</f>
        <v/>
      </c>
      <c r="C292" s="8">
        <f>MAX(0,MIN(MAX(0,FLOOR($D$15*D291*MAX(0,1-D291/(($D$10+SUM($N$33:N291))/$D$5)),1)),IF(A292&gt;=$D$14,IF(AND(D291&gt;0,F291&gt;0),INT(K291*D291/F291),0),1000000000),MIN(IF($D$11&gt;G291,INT(($D$11-G291)/$D$5),0)-D291,MAX(B292,INT(($D$10+SUM($N$33:N291))/$D$5)-D291))))</f>
        <v/>
      </c>
      <c r="D292" s="8">
        <f>D291+C292</f>
        <v/>
      </c>
      <c r="E292" s="8">
        <f>$D$5</f>
        <v/>
      </c>
      <c r="F292" s="8">
        <f>IF(G291&gt;=$D$11,0,MIN(D292*E292,$D$11-G291))</f>
        <v/>
      </c>
      <c r="G292" s="8">
        <f>G291+F292</f>
        <v/>
      </c>
      <c r="H292" s="10">
        <f>H291+$D$6*F292</f>
        <v/>
      </c>
      <c r="I292" s="10">
        <f>$D$7*F292+Q292</f>
        <v/>
      </c>
      <c r="J292" s="10">
        <f>J291+$D$8*F292+K292-P292</f>
        <v/>
      </c>
      <c r="K292" s="10">
        <f>($D$9/12)*J291</f>
        <v/>
      </c>
      <c r="L292" s="9">
        <f>IF(G292=0,0,J292/(G292*$D$12))</f>
        <v/>
      </c>
      <c r="M292" s="13">
        <f>I292/G292</f>
        <v/>
      </c>
      <c r="N292" s="8">
        <f>INDEX($G$6:$G$30,MIN(INT((A292-1)/12)+1,25))</f>
        <v/>
      </c>
      <c r="O292" s="126">
        <f>G292*$D$12</f>
        <v/>
      </c>
      <c r="P292">
        <f>IF(F292=0,0,MAX(0,0.01*G292-$D$7*F292))</f>
        <v/>
      </c>
    </row>
    <row r="293">
      <c r="A293" s="7" t="n">
        <v>261</v>
      </c>
      <c r="B293" s="98">
        <f>CEILING(0.0101*G292/$D$5,1)</f>
        <v/>
      </c>
      <c r="C293" s="8">
        <f>MAX(0,MIN(MAX(0,FLOOR($D$15*D292*MAX(0,1-D292/(($D$10+SUM($N$33:N292))/$D$5)),1)),IF(A293&gt;=$D$14,IF(AND(D292&gt;0,F292&gt;0),INT(K292*D292/F292),0),1000000000),MIN(IF($D$11&gt;G292,INT(($D$11-G292)/$D$5),0)-D292,MAX(B293,INT(($D$10+SUM($N$33:N292))/$D$5)-D292))))</f>
        <v/>
      </c>
      <c r="D293" s="8">
        <f>D292+C293</f>
        <v/>
      </c>
      <c r="E293" s="8">
        <f>$D$5</f>
        <v/>
      </c>
      <c r="F293" s="8">
        <f>IF(G292&gt;=$D$11,0,MIN(D293*E293,$D$11-G292))</f>
        <v/>
      </c>
      <c r="G293" s="8">
        <f>G292+F293</f>
        <v/>
      </c>
      <c r="H293" s="10">
        <f>H292+$D$6*F293</f>
        <v/>
      </c>
      <c r="I293" s="10">
        <f>$D$7*F293+Q293</f>
        <v/>
      </c>
      <c r="J293" s="10">
        <f>J292+$D$8*F293+K293-P293</f>
        <v/>
      </c>
      <c r="K293" s="10">
        <f>($D$9/12)*J292</f>
        <v/>
      </c>
      <c r="L293" s="9">
        <f>IF(G293=0,0,J293/(G293*$D$12))</f>
        <v/>
      </c>
      <c r="M293" s="13">
        <f>I293/G293</f>
        <v/>
      </c>
      <c r="N293" s="8">
        <f>INDEX($G$6:$G$30,MIN(INT((A293-1)/12)+1,25))</f>
        <v/>
      </c>
      <c r="O293" s="126">
        <f>G293*$D$12</f>
        <v/>
      </c>
      <c r="P293">
        <f>IF(F293=0,0,MAX(0,0.01*G293-$D$7*F293))</f>
        <v/>
      </c>
    </row>
    <row r="294">
      <c r="A294" s="7" t="n">
        <v>262</v>
      </c>
      <c r="B294" s="98">
        <f>CEILING(0.0101*G293/$D$5,1)</f>
        <v/>
      </c>
      <c r="C294" s="8">
        <f>MAX(0,MIN(MAX(0,FLOOR($D$15*D293*MAX(0,1-D293/(($D$10+SUM($N$33:N293))/$D$5)),1)),IF(A294&gt;=$D$14,IF(AND(D293&gt;0,F293&gt;0),INT(K293*D293/F293),0),1000000000),MIN(IF($D$11&gt;G293,INT(($D$11-G293)/$D$5),0)-D293,MAX(B294,INT(($D$10+SUM($N$33:N293))/$D$5)-D293))))</f>
        <v/>
      </c>
      <c r="D294" s="8">
        <f>D293+C294</f>
        <v/>
      </c>
      <c r="E294" s="8">
        <f>$D$5</f>
        <v/>
      </c>
      <c r="F294" s="8">
        <f>IF(G293&gt;=$D$11,0,MIN(D294*E294,$D$11-G293))</f>
        <v/>
      </c>
      <c r="G294" s="8">
        <f>G293+F294</f>
        <v/>
      </c>
      <c r="H294" s="10">
        <f>H293+$D$6*F294</f>
        <v/>
      </c>
      <c r="I294" s="10">
        <f>$D$7*F294+Q294</f>
        <v/>
      </c>
      <c r="J294" s="10">
        <f>J293+$D$8*F294+K294-P294</f>
        <v/>
      </c>
      <c r="K294" s="10">
        <f>($D$9/12)*J293</f>
        <v/>
      </c>
      <c r="L294" s="9">
        <f>IF(G294=0,0,J294/(G294*$D$12))</f>
        <v/>
      </c>
      <c r="M294" s="13">
        <f>I294/G294</f>
        <v/>
      </c>
      <c r="N294" s="8">
        <f>INDEX($G$6:$G$30,MIN(INT((A294-1)/12)+1,25))</f>
        <v/>
      </c>
      <c r="O294" s="126">
        <f>G294*$D$12</f>
        <v/>
      </c>
      <c r="P294">
        <f>IF(F294=0,0,MAX(0,0.01*G294-$D$7*F294))</f>
        <v/>
      </c>
    </row>
    <row r="295">
      <c r="A295" s="7" t="n">
        <v>263</v>
      </c>
      <c r="B295" s="98">
        <f>CEILING(0.0101*G294/$D$5,1)</f>
        <v/>
      </c>
      <c r="C295" s="8">
        <f>MAX(0,MIN(MAX(0,FLOOR($D$15*D294*MAX(0,1-D294/(($D$10+SUM($N$33:N294))/$D$5)),1)),IF(A295&gt;=$D$14,IF(AND(D294&gt;0,F294&gt;0),INT(K294*D294/F294),0),1000000000),MIN(IF($D$11&gt;G294,INT(($D$11-G294)/$D$5),0)-D294,MAX(B295,INT(($D$10+SUM($N$33:N294))/$D$5)-D294))))</f>
        <v/>
      </c>
      <c r="D295" s="8">
        <f>D294+C295</f>
        <v/>
      </c>
      <c r="E295" s="8">
        <f>$D$5</f>
        <v/>
      </c>
      <c r="F295" s="8">
        <f>IF(G294&gt;=$D$11,0,MIN(D295*E295,$D$11-G294))</f>
        <v/>
      </c>
      <c r="G295" s="8">
        <f>G294+F295</f>
        <v/>
      </c>
      <c r="H295" s="10">
        <f>H294+$D$6*F295</f>
        <v/>
      </c>
      <c r="I295" s="10">
        <f>$D$7*F295+Q295</f>
        <v/>
      </c>
      <c r="J295" s="10">
        <f>J294+$D$8*F295+K295-P295</f>
        <v/>
      </c>
      <c r="K295" s="10">
        <f>($D$9/12)*J294</f>
        <v/>
      </c>
      <c r="L295" s="9">
        <f>IF(G295=0,0,J295/(G295*$D$12))</f>
        <v/>
      </c>
      <c r="M295" s="13">
        <f>I295/G295</f>
        <v/>
      </c>
      <c r="N295" s="8">
        <f>INDEX($G$6:$G$30,MIN(INT((A295-1)/12)+1,25))</f>
        <v/>
      </c>
      <c r="O295" s="126">
        <f>G295*$D$12</f>
        <v/>
      </c>
      <c r="P295">
        <f>IF(F295=0,0,MAX(0,0.01*G295-$D$7*F295))</f>
        <v/>
      </c>
    </row>
    <row r="296">
      <c r="A296" s="7" t="n">
        <v>264</v>
      </c>
      <c r="B296" s="98">
        <f>CEILING(0.0101*G295/$D$5,1)</f>
        <v/>
      </c>
      <c r="C296" s="8">
        <f>MAX(0,MIN(MAX(0,FLOOR($D$15*D295*MAX(0,1-D295/(($D$10+SUM($N$33:N295))/$D$5)),1)),IF(A296&gt;=$D$14,IF(AND(D295&gt;0,F295&gt;0),INT(K295*D295/F295),0),1000000000),MIN(IF($D$11&gt;G295,INT(($D$11-G295)/$D$5),0)-D295,MAX(B296,INT(($D$10+SUM($N$33:N295))/$D$5)-D295))))</f>
        <v/>
      </c>
      <c r="D296" s="8">
        <f>D295+C296</f>
        <v/>
      </c>
      <c r="E296" s="8">
        <f>$D$5</f>
        <v/>
      </c>
      <c r="F296" s="8">
        <f>IF(G295&gt;=$D$11,0,MIN(D296*E296,$D$11-G295))</f>
        <v/>
      </c>
      <c r="G296" s="8">
        <f>G295+F296</f>
        <v/>
      </c>
      <c r="H296" s="10">
        <f>H295+$D$6*F296</f>
        <v/>
      </c>
      <c r="I296" s="10">
        <f>$D$7*F296+Q296</f>
        <v/>
      </c>
      <c r="J296" s="10">
        <f>J295+$D$8*F296+K296-P296</f>
        <v/>
      </c>
      <c r="K296" s="10">
        <f>($D$9/12)*J295</f>
        <v/>
      </c>
      <c r="L296" s="9">
        <f>IF(G296=0,0,J296/(G296*$D$12))</f>
        <v/>
      </c>
      <c r="M296" s="13">
        <f>I296/G296</f>
        <v/>
      </c>
      <c r="N296" s="8">
        <f>INDEX($G$6:$G$30,MIN(INT((A296-1)/12)+1,25))</f>
        <v/>
      </c>
      <c r="O296" s="126">
        <f>G296*$D$12</f>
        <v/>
      </c>
      <c r="P296">
        <f>IF(F296=0,0,MAX(0,0.01*G296-$D$7*F296))</f>
        <v/>
      </c>
    </row>
    <row r="297">
      <c r="A297" s="7" t="n">
        <v>265</v>
      </c>
      <c r="B297" s="98">
        <f>CEILING(0.0101*G296/$D$5,1)</f>
        <v/>
      </c>
      <c r="C297" s="8">
        <f>MAX(0,MIN(MAX(0,FLOOR($D$15*D296*MAX(0,1-D296/(($D$10+SUM($N$33:N296))/$D$5)),1)),IF(A297&gt;=$D$14,IF(AND(D296&gt;0,F296&gt;0),INT(K296*D296/F296),0),1000000000),MIN(IF($D$11&gt;G296,INT(($D$11-G296)/$D$5),0)-D296,MAX(B297,INT(($D$10+SUM($N$33:N296))/$D$5)-D296))))</f>
        <v/>
      </c>
      <c r="D297" s="8">
        <f>D296+C297</f>
        <v/>
      </c>
      <c r="E297" s="8">
        <f>$D$5</f>
        <v/>
      </c>
      <c r="F297" s="8">
        <f>IF(G296&gt;=$D$11,0,MIN(D297*E297,$D$11-G296))</f>
        <v/>
      </c>
      <c r="G297" s="8">
        <f>G296+F297</f>
        <v/>
      </c>
      <c r="H297" s="10">
        <f>H296+$D$6*F297</f>
        <v/>
      </c>
      <c r="I297" s="10">
        <f>$D$7*F297+Q297</f>
        <v/>
      </c>
      <c r="J297" s="10">
        <f>J296+$D$8*F297+K297-P297</f>
        <v/>
      </c>
      <c r="K297" s="10">
        <f>($D$9/12)*J296</f>
        <v/>
      </c>
      <c r="L297" s="9">
        <f>IF(G297=0,0,J297/(G297*$D$12))</f>
        <v/>
      </c>
      <c r="M297" s="13">
        <f>I297/G297</f>
        <v/>
      </c>
      <c r="N297" s="8">
        <f>INDEX($G$6:$G$30,MIN(INT((A297-1)/12)+1,25))</f>
        <v/>
      </c>
      <c r="O297" s="126">
        <f>G297*$D$12</f>
        <v/>
      </c>
      <c r="P297">
        <f>IF(F297=0,0,MAX(0,0.01*G297-$D$7*F297))</f>
        <v/>
      </c>
    </row>
    <row r="298">
      <c r="A298" s="7" t="n">
        <v>266</v>
      </c>
      <c r="B298" s="98">
        <f>CEILING(0.0101*G297/$D$5,1)</f>
        <v/>
      </c>
      <c r="C298" s="8">
        <f>MAX(0,MIN(MAX(0,FLOOR($D$15*D297*MAX(0,1-D297/(($D$10+SUM($N$33:N297))/$D$5)),1)),IF(A298&gt;=$D$14,IF(AND(D297&gt;0,F297&gt;0),INT(K297*D297/F297),0),1000000000),MIN(IF($D$11&gt;G297,INT(($D$11-G297)/$D$5),0)-D297,MAX(B298,INT(($D$10+SUM($N$33:N297))/$D$5)-D297))))</f>
        <v/>
      </c>
      <c r="D298" s="8">
        <f>D297+C298</f>
        <v/>
      </c>
      <c r="E298" s="8">
        <f>$D$5</f>
        <v/>
      </c>
      <c r="F298" s="8">
        <f>IF(G297&gt;=$D$11,0,MIN(D298*E298,$D$11-G297))</f>
        <v/>
      </c>
      <c r="G298" s="8">
        <f>G297+F298</f>
        <v/>
      </c>
      <c r="H298" s="10">
        <f>H297+$D$6*F298</f>
        <v/>
      </c>
      <c r="I298" s="10">
        <f>$D$7*F298+Q298</f>
        <v/>
      </c>
      <c r="J298" s="10">
        <f>J297+$D$8*F298+K298-P298</f>
        <v/>
      </c>
      <c r="K298" s="10">
        <f>($D$9/12)*J297</f>
        <v/>
      </c>
      <c r="L298" s="9">
        <f>IF(G298=0,0,J298/(G298*$D$12))</f>
        <v/>
      </c>
      <c r="M298" s="13">
        <f>I298/G298</f>
        <v/>
      </c>
      <c r="N298" s="8">
        <f>INDEX($G$6:$G$30,MIN(INT((A298-1)/12)+1,25))</f>
        <v/>
      </c>
      <c r="O298" s="126">
        <f>G298*$D$12</f>
        <v/>
      </c>
      <c r="P298">
        <f>IF(F298=0,0,MAX(0,0.01*G298-$D$7*F298))</f>
        <v/>
      </c>
    </row>
    <row r="299">
      <c r="A299" s="7" t="n">
        <v>267</v>
      </c>
      <c r="B299" s="98">
        <f>CEILING(0.0101*G298/$D$5,1)</f>
        <v/>
      </c>
      <c r="C299" s="8">
        <f>MAX(0,MIN(MAX(0,FLOOR($D$15*D298*MAX(0,1-D298/(($D$10+SUM($N$33:N298))/$D$5)),1)),IF(A299&gt;=$D$14,IF(AND(D298&gt;0,F298&gt;0),INT(K298*D298/F298),0),1000000000),MIN(IF($D$11&gt;G298,INT(($D$11-G298)/$D$5),0)-D298,MAX(B299,INT(($D$10+SUM($N$33:N298))/$D$5)-D298))))</f>
        <v/>
      </c>
      <c r="D299" s="8">
        <f>D298+C299</f>
        <v/>
      </c>
      <c r="E299" s="8">
        <f>$D$5</f>
        <v/>
      </c>
      <c r="F299" s="8">
        <f>IF(G298&gt;=$D$11,0,MIN(D299*E299,$D$11-G298))</f>
        <v/>
      </c>
      <c r="G299" s="8">
        <f>G298+F299</f>
        <v/>
      </c>
      <c r="H299" s="10">
        <f>H298+$D$6*F299</f>
        <v/>
      </c>
      <c r="I299" s="10">
        <f>$D$7*F299+Q299</f>
        <v/>
      </c>
      <c r="J299" s="10">
        <f>J298+$D$8*F299+K299-P299</f>
        <v/>
      </c>
      <c r="K299" s="10">
        <f>($D$9/12)*J298</f>
        <v/>
      </c>
      <c r="L299" s="9">
        <f>IF(G299=0,0,J299/(G299*$D$12))</f>
        <v/>
      </c>
      <c r="M299" s="13">
        <f>I299/G299</f>
        <v/>
      </c>
      <c r="N299" s="8">
        <f>INDEX($G$6:$G$30,MIN(INT((A299-1)/12)+1,25))</f>
        <v/>
      </c>
      <c r="O299" s="126">
        <f>G299*$D$12</f>
        <v/>
      </c>
      <c r="P299">
        <f>IF(F299=0,0,MAX(0,0.01*G299-$D$7*F299))</f>
        <v/>
      </c>
    </row>
    <row r="300">
      <c r="A300" s="7" t="n">
        <v>268</v>
      </c>
      <c r="B300" s="98">
        <f>CEILING(0.0101*G299/$D$5,1)</f>
        <v/>
      </c>
      <c r="C300" s="8">
        <f>MAX(0,MIN(MAX(0,FLOOR($D$15*D299*MAX(0,1-D299/(($D$10+SUM($N$33:N299))/$D$5)),1)),IF(A300&gt;=$D$14,IF(AND(D299&gt;0,F299&gt;0),INT(K299*D299/F299),0),1000000000),MIN(IF($D$11&gt;G299,INT(($D$11-G299)/$D$5),0)-D299,MAX(B300,INT(($D$10+SUM($N$33:N299))/$D$5)-D299))))</f>
        <v/>
      </c>
      <c r="D300" s="8">
        <f>D299+C300</f>
        <v/>
      </c>
      <c r="E300" s="8">
        <f>$D$5</f>
        <v/>
      </c>
      <c r="F300" s="8">
        <f>IF(G299&gt;=$D$11,0,MIN(D300*E300,$D$11-G299))</f>
        <v/>
      </c>
      <c r="G300" s="8">
        <f>G299+F300</f>
        <v/>
      </c>
      <c r="H300" s="10">
        <f>H299+$D$6*F300</f>
        <v/>
      </c>
      <c r="I300" s="10">
        <f>$D$7*F300+Q300</f>
        <v/>
      </c>
      <c r="J300" s="10">
        <f>J299+$D$8*F300+K300-P300</f>
        <v/>
      </c>
      <c r="K300" s="10">
        <f>($D$9/12)*J299</f>
        <v/>
      </c>
      <c r="L300" s="9">
        <f>IF(G300=0,0,J300/(G300*$D$12))</f>
        <v/>
      </c>
      <c r="M300" s="13">
        <f>I300/G300</f>
        <v/>
      </c>
      <c r="N300" s="8">
        <f>INDEX($G$6:$G$30,MIN(INT((A300-1)/12)+1,25))</f>
        <v/>
      </c>
      <c r="O300" s="126">
        <f>G300*$D$12</f>
        <v/>
      </c>
      <c r="P300">
        <f>IF(F300=0,0,MAX(0,0.01*G300-$D$7*F300))</f>
        <v/>
      </c>
    </row>
    <row r="301">
      <c r="A301" s="7" t="n">
        <v>269</v>
      </c>
      <c r="B301" s="98">
        <f>CEILING(0.0101*G300/$D$5,1)</f>
        <v/>
      </c>
      <c r="C301" s="8">
        <f>MAX(0,MIN(MAX(0,FLOOR($D$15*D300*MAX(0,1-D300/(($D$10+SUM($N$33:N300))/$D$5)),1)),IF(A301&gt;=$D$14,IF(AND(D300&gt;0,F300&gt;0),INT(K300*D300/F300),0),1000000000),MIN(IF($D$11&gt;G300,INT(($D$11-G300)/$D$5),0)-D300,MAX(B301,INT(($D$10+SUM($N$33:N300))/$D$5)-D300))))</f>
        <v/>
      </c>
      <c r="D301" s="8">
        <f>D300+C301</f>
        <v/>
      </c>
      <c r="E301" s="8">
        <f>$D$5</f>
        <v/>
      </c>
      <c r="F301" s="8">
        <f>IF(G300&gt;=$D$11,0,MIN(D301*E301,$D$11-G300))</f>
        <v/>
      </c>
      <c r="G301" s="8">
        <f>G300+F301</f>
        <v/>
      </c>
      <c r="H301" s="10">
        <f>H300+$D$6*F301</f>
        <v/>
      </c>
      <c r="I301" s="10">
        <f>$D$7*F301+Q301</f>
        <v/>
      </c>
      <c r="J301" s="10">
        <f>J300+$D$8*F301+K301-P301</f>
        <v/>
      </c>
      <c r="K301" s="10">
        <f>($D$9/12)*J300</f>
        <v/>
      </c>
      <c r="L301" s="9">
        <f>IF(G301=0,0,J301/(G301*$D$12))</f>
        <v/>
      </c>
      <c r="M301" s="13">
        <f>I301/G301</f>
        <v/>
      </c>
      <c r="N301" s="8">
        <f>INDEX($G$6:$G$30,MIN(INT((A301-1)/12)+1,25))</f>
        <v/>
      </c>
      <c r="O301" s="126">
        <f>G301*$D$12</f>
        <v/>
      </c>
      <c r="P301">
        <f>IF(F301=0,0,MAX(0,0.01*G301-$D$7*F301))</f>
        <v/>
      </c>
    </row>
    <row r="302">
      <c r="A302" s="7" t="n">
        <v>270</v>
      </c>
      <c r="B302" s="98">
        <f>CEILING(0.0101*G301/$D$5,1)</f>
        <v/>
      </c>
      <c r="C302" s="8">
        <f>MAX(0,MIN(MAX(0,FLOOR($D$15*D301*MAX(0,1-D301/(($D$10+SUM($N$33:N301))/$D$5)),1)),IF(A302&gt;=$D$14,IF(AND(D301&gt;0,F301&gt;0),INT(K301*D301/F301),0),1000000000),MIN(IF($D$11&gt;G301,INT(($D$11-G301)/$D$5),0)-D301,MAX(B302,INT(($D$10+SUM($N$33:N301))/$D$5)-D301))))</f>
        <v/>
      </c>
      <c r="D302" s="8">
        <f>D301+C302</f>
        <v/>
      </c>
      <c r="E302" s="8">
        <f>$D$5</f>
        <v/>
      </c>
      <c r="F302" s="8">
        <f>IF(G301&gt;=$D$11,0,MIN(D302*E302,$D$11-G301))</f>
        <v/>
      </c>
      <c r="G302" s="8">
        <f>G301+F302</f>
        <v/>
      </c>
      <c r="H302" s="10">
        <f>H301+$D$6*F302</f>
        <v/>
      </c>
      <c r="I302" s="10">
        <f>$D$7*F302+Q302</f>
        <v/>
      </c>
      <c r="J302" s="10">
        <f>J301+$D$8*F302+K302-P302</f>
        <v/>
      </c>
      <c r="K302" s="10">
        <f>($D$9/12)*J301</f>
        <v/>
      </c>
      <c r="L302" s="9">
        <f>IF(G302=0,0,J302/(G302*$D$12))</f>
        <v/>
      </c>
      <c r="M302" s="13">
        <f>I302/G302</f>
        <v/>
      </c>
      <c r="N302" s="8">
        <f>INDEX($G$6:$G$30,MIN(INT((A302-1)/12)+1,25))</f>
        <v/>
      </c>
      <c r="O302" s="126">
        <f>G302*$D$12</f>
        <v/>
      </c>
      <c r="P302">
        <f>IF(F302=0,0,MAX(0,0.01*G302-$D$7*F302))</f>
        <v/>
      </c>
    </row>
    <row r="303">
      <c r="A303" s="7" t="n">
        <v>271</v>
      </c>
      <c r="B303" s="98">
        <f>CEILING(0.0101*G302/$D$5,1)</f>
        <v/>
      </c>
      <c r="C303" s="8">
        <f>MAX(0,MIN(MAX(0,FLOOR($D$15*D302*MAX(0,1-D302/(($D$10+SUM($N$33:N302))/$D$5)),1)),IF(A303&gt;=$D$14,IF(AND(D302&gt;0,F302&gt;0),INT(K302*D302/F302),0),1000000000),MIN(IF($D$11&gt;G302,INT(($D$11-G302)/$D$5),0)-D302,MAX(B303,INT(($D$10+SUM($N$33:N302))/$D$5)-D302))))</f>
        <v/>
      </c>
      <c r="D303" s="8">
        <f>D302+C303</f>
        <v/>
      </c>
      <c r="E303" s="8">
        <f>$D$5</f>
        <v/>
      </c>
      <c r="F303" s="8">
        <f>IF(G302&gt;=$D$11,0,MIN(D303*E303,$D$11-G302))</f>
        <v/>
      </c>
      <c r="G303" s="8">
        <f>G302+F303</f>
        <v/>
      </c>
      <c r="H303" s="10">
        <f>H302+$D$6*F303</f>
        <v/>
      </c>
      <c r="I303" s="10">
        <f>$D$7*F303+Q303</f>
        <v/>
      </c>
      <c r="J303" s="10">
        <f>J302+$D$8*F303+K303-P303</f>
        <v/>
      </c>
      <c r="K303" s="10">
        <f>($D$9/12)*J302</f>
        <v/>
      </c>
      <c r="L303" s="9">
        <f>IF(G303=0,0,J303/(G303*$D$12))</f>
        <v/>
      </c>
      <c r="M303" s="13">
        <f>I303/G303</f>
        <v/>
      </c>
      <c r="N303" s="8">
        <f>INDEX($G$6:$G$30,MIN(INT((A303-1)/12)+1,25))</f>
        <v/>
      </c>
      <c r="O303" s="126">
        <f>G303*$D$12</f>
        <v/>
      </c>
      <c r="P303">
        <f>IF(F303=0,0,MAX(0,0.01*G303-$D$7*F303))</f>
        <v/>
      </c>
    </row>
    <row r="304">
      <c r="A304" s="7" t="n">
        <v>272</v>
      </c>
      <c r="B304" s="98">
        <f>CEILING(0.0101*G303/$D$5,1)</f>
        <v/>
      </c>
      <c r="C304" s="8">
        <f>MAX(0,MIN(MAX(0,FLOOR($D$15*D303*MAX(0,1-D303/(($D$10+SUM($N$33:N303))/$D$5)),1)),IF(A304&gt;=$D$14,IF(AND(D303&gt;0,F303&gt;0),INT(K303*D303/F303),0),1000000000),MIN(IF($D$11&gt;G303,INT(($D$11-G303)/$D$5),0)-D303,MAX(B304,INT(($D$10+SUM($N$33:N303))/$D$5)-D303))))</f>
        <v/>
      </c>
      <c r="D304" s="8">
        <f>D303+C304</f>
        <v/>
      </c>
      <c r="E304" s="8">
        <f>$D$5</f>
        <v/>
      </c>
      <c r="F304" s="8">
        <f>IF(G303&gt;=$D$11,0,MIN(D304*E304,$D$11-G303))</f>
        <v/>
      </c>
      <c r="G304" s="8">
        <f>G303+F304</f>
        <v/>
      </c>
      <c r="H304" s="10">
        <f>H303+$D$6*F304</f>
        <v/>
      </c>
      <c r="I304" s="10">
        <f>$D$7*F304+Q304</f>
        <v/>
      </c>
      <c r="J304" s="10">
        <f>J303+$D$8*F304+K304-P304</f>
        <v/>
      </c>
      <c r="K304" s="10">
        <f>($D$9/12)*J303</f>
        <v/>
      </c>
      <c r="L304" s="9">
        <f>IF(G304=0,0,J304/(G304*$D$12))</f>
        <v/>
      </c>
      <c r="M304" s="13">
        <f>I304/G304</f>
        <v/>
      </c>
      <c r="N304" s="8">
        <f>INDEX($G$6:$G$30,MIN(INT((A304-1)/12)+1,25))</f>
        <v/>
      </c>
      <c r="O304" s="126">
        <f>G304*$D$12</f>
        <v/>
      </c>
      <c r="P304">
        <f>IF(F304=0,0,MAX(0,0.01*G304-$D$7*F304))</f>
        <v/>
      </c>
    </row>
    <row r="305">
      <c r="A305" s="7" t="n">
        <v>273</v>
      </c>
      <c r="B305" s="98">
        <f>CEILING(0.0101*G304/$D$5,1)</f>
        <v/>
      </c>
      <c r="C305" s="8">
        <f>MAX(0,MIN(MAX(0,FLOOR($D$15*D304*MAX(0,1-D304/(($D$10+SUM($N$33:N304))/$D$5)),1)),IF(A305&gt;=$D$14,IF(AND(D304&gt;0,F304&gt;0),INT(K304*D304/F304),0),1000000000),MIN(IF($D$11&gt;G304,INT(($D$11-G304)/$D$5),0)-D304,MAX(B305,INT(($D$10+SUM($N$33:N304))/$D$5)-D304))))</f>
        <v/>
      </c>
      <c r="D305" s="8">
        <f>D304+C305</f>
        <v/>
      </c>
      <c r="E305" s="8">
        <f>$D$5</f>
        <v/>
      </c>
      <c r="F305" s="8">
        <f>IF(G304&gt;=$D$11,0,MIN(D305*E305,$D$11-G304))</f>
        <v/>
      </c>
      <c r="G305" s="8">
        <f>G304+F305</f>
        <v/>
      </c>
      <c r="H305" s="10">
        <f>H304+$D$6*F305</f>
        <v/>
      </c>
      <c r="I305" s="10">
        <f>$D$7*F305+Q305</f>
        <v/>
      </c>
      <c r="J305" s="10">
        <f>J304+$D$8*F305+K305-P305</f>
        <v/>
      </c>
      <c r="K305" s="10">
        <f>($D$9/12)*J304</f>
        <v/>
      </c>
      <c r="L305" s="9">
        <f>IF(G305=0,0,J305/(G305*$D$12))</f>
        <v/>
      </c>
      <c r="M305" s="13">
        <f>I305/G305</f>
        <v/>
      </c>
      <c r="N305" s="8">
        <f>INDEX($G$6:$G$30,MIN(INT((A305-1)/12)+1,25))</f>
        <v/>
      </c>
      <c r="O305" s="126">
        <f>G305*$D$12</f>
        <v/>
      </c>
      <c r="P305">
        <f>IF(F305=0,0,MAX(0,0.01*G305-$D$7*F305))</f>
        <v/>
      </c>
    </row>
    <row r="306">
      <c r="A306" s="7" t="n">
        <v>274</v>
      </c>
      <c r="B306" s="98">
        <f>CEILING(0.0101*G305/$D$5,1)</f>
        <v/>
      </c>
      <c r="C306" s="8">
        <f>MAX(0,MIN(MAX(0,FLOOR($D$15*D305*MAX(0,1-D305/(($D$10+SUM($N$33:N305))/$D$5)),1)),IF(A306&gt;=$D$14,IF(AND(D305&gt;0,F305&gt;0),INT(K305*D305/F305),0),1000000000),MIN(IF($D$11&gt;G305,INT(($D$11-G305)/$D$5),0)-D305,MAX(B306,INT(($D$10+SUM($N$33:N305))/$D$5)-D305))))</f>
        <v/>
      </c>
      <c r="D306" s="8">
        <f>D305+C306</f>
        <v/>
      </c>
      <c r="E306" s="8">
        <f>$D$5</f>
        <v/>
      </c>
      <c r="F306" s="8">
        <f>IF(G305&gt;=$D$11,0,MIN(D306*E306,$D$11-G305))</f>
        <v/>
      </c>
      <c r="G306" s="8">
        <f>G305+F306</f>
        <v/>
      </c>
      <c r="H306" s="10">
        <f>H305+$D$6*F306</f>
        <v/>
      </c>
      <c r="I306" s="10">
        <f>$D$7*F306+Q306</f>
        <v/>
      </c>
      <c r="J306" s="10">
        <f>J305+$D$8*F306+K306-P306</f>
        <v/>
      </c>
      <c r="K306" s="10">
        <f>($D$9/12)*J305</f>
        <v/>
      </c>
      <c r="L306" s="9">
        <f>IF(G306=0,0,J306/(G306*$D$12))</f>
        <v/>
      </c>
      <c r="M306" s="13">
        <f>I306/G306</f>
        <v/>
      </c>
      <c r="N306" s="8">
        <f>INDEX($G$6:$G$30,MIN(INT((A306-1)/12)+1,25))</f>
        <v/>
      </c>
      <c r="O306" s="126">
        <f>G306*$D$12</f>
        <v/>
      </c>
      <c r="P306">
        <f>IF(F306=0,0,MAX(0,0.01*G306-$D$7*F306))</f>
        <v/>
      </c>
    </row>
    <row r="307">
      <c r="A307" s="7" t="n">
        <v>275</v>
      </c>
      <c r="B307" s="98">
        <f>CEILING(0.0101*G306/$D$5,1)</f>
        <v/>
      </c>
      <c r="C307" s="8">
        <f>MAX(0,MIN(MAX(0,FLOOR($D$15*D306*MAX(0,1-D306/(($D$10+SUM($N$33:N306))/$D$5)),1)),IF(A307&gt;=$D$14,IF(AND(D306&gt;0,F306&gt;0),INT(K306*D306/F306),0),1000000000),MIN(IF($D$11&gt;G306,INT(($D$11-G306)/$D$5),0)-D306,MAX(B307,INT(($D$10+SUM($N$33:N306))/$D$5)-D306))))</f>
        <v/>
      </c>
      <c r="D307" s="8">
        <f>D306+C307</f>
        <v/>
      </c>
      <c r="E307" s="8">
        <f>$D$5</f>
        <v/>
      </c>
      <c r="F307" s="8">
        <f>IF(G306&gt;=$D$11,0,MIN(D307*E307,$D$11-G306))</f>
        <v/>
      </c>
      <c r="G307" s="8">
        <f>G306+F307</f>
        <v/>
      </c>
      <c r="H307" s="10">
        <f>H306+$D$6*F307</f>
        <v/>
      </c>
      <c r="I307" s="10">
        <f>$D$7*F307+Q307</f>
        <v/>
      </c>
      <c r="J307" s="10">
        <f>J306+$D$8*F307+K307-P307</f>
        <v/>
      </c>
      <c r="K307" s="10">
        <f>($D$9/12)*J306</f>
        <v/>
      </c>
      <c r="L307" s="9">
        <f>IF(G307=0,0,J307/(G307*$D$12))</f>
        <v/>
      </c>
      <c r="M307" s="13">
        <f>I307/G307</f>
        <v/>
      </c>
      <c r="N307" s="8">
        <f>INDEX($G$6:$G$30,MIN(INT((A307-1)/12)+1,25))</f>
        <v/>
      </c>
      <c r="O307" s="126">
        <f>G307*$D$12</f>
        <v/>
      </c>
      <c r="P307">
        <f>IF(F307=0,0,MAX(0,0.01*G307-$D$7*F307))</f>
        <v/>
      </c>
    </row>
    <row r="308">
      <c r="A308" s="7" t="n">
        <v>276</v>
      </c>
      <c r="B308" s="98">
        <f>CEILING(0.0101*G307/$D$5,1)</f>
        <v/>
      </c>
      <c r="C308" s="8">
        <f>MAX(0,MIN(MAX(0,FLOOR($D$15*D307*MAX(0,1-D307/(($D$10+SUM($N$33:N307))/$D$5)),1)),IF(A308&gt;=$D$14,IF(AND(D307&gt;0,F307&gt;0),INT(K307*D307/F307),0),1000000000),MIN(IF($D$11&gt;G307,INT(($D$11-G307)/$D$5),0)-D307,MAX(B308,INT(($D$10+SUM($N$33:N307))/$D$5)-D307))))</f>
        <v/>
      </c>
      <c r="D308" s="8">
        <f>D307+C308</f>
        <v/>
      </c>
      <c r="E308" s="8">
        <f>$D$5</f>
        <v/>
      </c>
      <c r="F308" s="8">
        <f>IF(G307&gt;=$D$11,0,MIN(D308*E308,$D$11-G307))</f>
        <v/>
      </c>
      <c r="G308" s="8">
        <f>G307+F308</f>
        <v/>
      </c>
      <c r="H308" s="10">
        <f>H307+$D$6*F308</f>
        <v/>
      </c>
      <c r="I308" s="10">
        <f>$D$7*F308+Q308</f>
        <v/>
      </c>
      <c r="J308" s="10">
        <f>J307+$D$8*F308+K308-P308</f>
        <v/>
      </c>
      <c r="K308" s="10">
        <f>($D$9/12)*J307</f>
        <v/>
      </c>
      <c r="L308" s="9">
        <f>IF(G308=0,0,J308/(G308*$D$12))</f>
        <v/>
      </c>
      <c r="M308" s="13">
        <f>I308/G308</f>
        <v/>
      </c>
      <c r="N308" s="8">
        <f>INDEX($G$6:$G$30,MIN(INT((A308-1)/12)+1,25))</f>
        <v/>
      </c>
      <c r="O308" s="126">
        <f>G308*$D$12</f>
        <v/>
      </c>
      <c r="P308">
        <f>IF(F308=0,0,MAX(0,0.01*G308-$D$7*F308))</f>
        <v/>
      </c>
    </row>
    <row r="309">
      <c r="A309" s="7" t="n">
        <v>277</v>
      </c>
      <c r="B309" s="98">
        <f>CEILING(0.0101*G308/$D$5,1)</f>
        <v/>
      </c>
      <c r="C309" s="8">
        <f>MAX(0,MIN(MAX(0,FLOOR($D$15*D308*MAX(0,1-D308/(($D$10+SUM($N$33:N308))/$D$5)),1)),IF(A309&gt;=$D$14,IF(AND(D308&gt;0,F308&gt;0),INT(K308*D308/F308),0),1000000000),MIN(IF($D$11&gt;G308,INT(($D$11-G308)/$D$5),0)-D308,MAX(B309,INT(($D$10+SUM($N$33:N308))/$D$5)-D308))))</f>
        <v/>
      </c>
      <c r="D309" s="8">
        <f>D308+C309</f>
        <v/>
      </c>
      <c r="E309" s="8">
        <f>$D$5</f>
        <v/>
      </c>
      <c r="F309" s="8">
        <f>IF(G308&gt;=$D$11,0,MIN(D309*E309,$D$11-G308))</f>
        <v/>
      </c>
      <c r="G309" s="8">
        <f>G308+F309</f>
        <v/>
      </c>
      <c r="H309" s="10">
        <f>H308+$D$6*F309</f>
        <v/>
      </c>
      <c r="I309" s="10">
        <f>$D$7*F309+Q309</f>
        <v/>
      </c>
      <c r="J309" s="10">
        <f>J308+$D$8*F309+K309-P309</f>
        <v/>
      </c>
      <c r="K309" s="10">
        <f>($D$9/12)*J308</f>
        <v/>
      </c>
      <c r="L309" s="9">
        <f>IF(G309=0,0,J309/(G309*$D$12))</f>
        <v/>
      </c>
      <c r="M309" s="13">
        <f>I309/G309</f>
        <v/>
      </c>
      <c r="N309" s="8">
        <f>INDEX($G$6:$G$30,MIN(INT((A309-1)/12)+1,25))</f>
        <v/>
      </c>
      <c r="O309" s="126">
        <f>G309*$D$12</f>
        <v/>
      </c>
      <c r="P309">
        <f>IF(F309=0,0,MAX(0,0.01*G309-$D$7*F309))</f>
        <v/>
      </c>
    </row>
    <row r="310">
      <c r="A310" s="7" t="n">
        <v>278</v>
      </c>
      <c r="B310" s="98">
        <f>CEILING(0.0101*G309/$D$5,1)</f>
        <v/>
      </c>
      <c r="C310" s="8">
        <f>MAX(0,MIN(MAX(0,FLOOR($D$15*D309*MAX(0,1-D309/(($D$10+SUM($N$33:N309))/$D$5)),1)),IF(A310&gt;=$D$14,IF(AND(D309&gt;0,F309&gt;0),INT(K309*D309/F309),0),1000000000),MIN(IF($D$11&gt;G309,INT(($D$11-G309)/$D$5),0)-D309,MAX(B310,INT(($D$10+SUM($N$33:N309))/$D$5)-D309))))</f>
        <v/>
      </c>
      <c r="D310" s="8">
        <f>D309+C310</f>
        <v/>
      </c>
      <c r="E310" s="8">
        <f>$D$5</f>
        <v/>
      </c>
      <c r="F310" s="8">
        <f>IF(G309&gt;=$D$11,0,MIN(D310*E310,$D$11-G309))</f>
        <v/>
      </c>
      <c r="G310" s="8">
        <f>G309+F310</f>
        <v/>
      </c>
      <c r="H310" s="10">
        <f>H309+$D$6*F310</f>
        <v/>
      </c>
      <c r="I310" s="10">
        <f>$D$7*F310+Q310</f>
        <v/>
      </c>
      <c r="J310" s="10">
        <f>J309+$D$8*F310+K310-P310</f>
        <v/>
      </c>
      <c r="K310" s="10">
        <f>($D$9/12)*J309</f>
        <v/>
      </c>
      <c r="L310" s="9">
        <f>IF(G310=0,0,J310/(G310*$D$12))</f>
        <v/>
      </c>
      <c r="M310" s="13">
        <f>I310/G310</f>
        <v/>
      </c>
      <c r="N310" s="8">
        <f>INDEX($G$6:$G$30,MIN(INT((A310-1)/12)+1,25))</f>
        <v/>
      </c>
      <c r="O310" s="126">
        <f>G310*$D$12</f>
        <v/>
      </c>
      <c r="P310">
        <f>IF(F310=0,0,MAX(0,0.01*G310-$D$7*F310))</f>
        <v/>
      </c>
    </row>
    <row r="311">
      <c r="A311" s="7" t="n">
        <v>279</v>
      </c>
      <c r="B311" s="98">
        <f>CEILING(0.0101*G310/$D$5,1)</f>
        <v/>
      </c>
      <c r="C311" s="8">
        <f>MAX(0,MIN(MAX(0,FLOOR($D$15*D310*MAX(0,1-D310/(($D$10+SUM($N$33:N310))/$D$5)),1)),IF(A311&gt;=$D$14,IF(AND(D310&gt;0,F310&gt;0),INT(K310*D310/F310),0),1000000000),MIN(IF($D$11&gt;G310,INT(($D$11-G310)/$D$5),0)-D310,MAX(B311,INT(($D$10+SUM($N$33:N310))/$D$5)-D310))))</f>
        <v/>
      </c>
      <c r="D311" s="8">
        <f>D310+C311</f>
        <v/>
      </c>
      <c r="E311" s="8">
        <f>$D$5</f>
        <v/>
      </c>
      <c r="F311" s="8">
        <f>IF(G310&gt;=$D$11,0,MIN(D311*E311,$D$11-G310))</f>
        <v/>
      </c>
      <c r="G311" s="8">
        <f>G310+F311</f>
        <v/>
      </c>
      <c r="H311" s="10">
        <f>H310+$D$6*F311</f>
        <v/>
      </c>
      <c r="I311" s="10">
        <f>$D$7*F311+Q311</f>
        <v/>
      </c>
      <c r="J311" s="10">
        <f>J310+$D$8*F311+K311-P311</f>
        <v/>
      </c>
      <c r="K311" s="10">
        <f>($D$9/12)*J310</f>
        <v/>
      </c>
      <c r="L311" s="9">
        <f>IF(G311=0,0,J311/(G311*$D$12))</f>
        <v/>
      </c>
      <c r="M311" s="13">
        <f>I311/G311</f>
        <v/>
      </c>
      <c r="N311" s="8">
        <f>INDEX($G$6:$G$30,MIN(INT((A311-1)/12)+1,25))</f>
        <v/>
      </c>
      <c r="O311" s="126">
        <f>G311*$D$12</f>
        <v/>
      </c>
      <c r="P311">
        <f>IF(F311=0,0,MAX(0,0.01*G311-$D$7*F311))</f>
        <v/>
      </c>
    </row>
    <row r="312">
      <c r="A312" s="7" t="n">
        <v>280</v>
      </c>
      <c r="B312" s="98">
        <f>CEILING(0.0101*G311/$D$5,1)</f>
        <v/>
      </c>
      <c r="C312" s="8">
        <f>MAX(0,MIN(MAX(0,FLOOR($D$15*D311*MAX(0,1-D311/(($D$10+SUM($N$33:N311))/$D$5)),1)),IF(A312&gt;=$D$14,IF(AND(D311&gt;0,F311&gt;0),INT(K311*D311/F311),0),1000000000),MIN(IF($D$11&gt;G311,INT(($D$11-G311)/$D$5),0)-D311,MAX(B312,INT(($D$10+SUM($N$33:N311))/$D$5)-D311))))</f>
        <v/>
      </c>
      <c r="D312" s="8">
        <f>D311+C312</f>
        <v/>
      </c>
      <c r="E312" s="8">
        <f>$D$5</f>
        <v/>
      </c>
      <c r="F312" s="8">
        <f>IF(G311&gt;=$D$11,0,MIN(D312*E312,$D$11-G311))</f>
        <v/>
      </c>
      <c r="G312" s="8">
        <f>G311+F312</f>
        <v/>
      </c>
      <c r="H312" s="10">
        <f>H311+$D$6*F312</f>
        <v/>
      </c>
      <c r="I312" s="10">
        <f>$D$7*F312+Q312</f>
        <v/>
      </c>
      <c r="J312" s="10">
        <f>J311+$D$8*F312+K312-P312</f>
        <v/>
      </c>
      <c r="K312" s="10">
        <f>($D$9/12)*J311</f>
        <v/>
      </c>
      <c r="L312" s="9">
        <f>IF(G312=0,0,J312/(G312*$D$12))</f>
        <v/>
      </c>
      <c r="M312" s="13">
        <f>I312/G312</f>
        <v/>
      </c>
      <c r="N312" s="8">
        <f>INDEX($G$6:$G$30,MIN(INT((A312-1)/12)+1,25))</f>
        <v/>
      </c>
      <c r="O312" s="126">
        <f>G312*$D$12</f>
        <v/>
      </c>
      <c r="P312">
        <f>IF(F312=0,0,MAX(0,0.01*G312-$D$7*F312))</f>
        <v/>
      </c>
    </row>
    <row r="313">
      <c r="A313" s="7" t="n">
        <v>281</v>
      </c>
      <c r="B313" s="98">
        <f>CEILING(0.0101*G312/$D$5,1)</f>
        <v/>
      </c>
      <c r="C313" s="8">
        <f>MAX(0,MIN(MAX(0,FLOOR($D$15*D312*MAX(0,1-D312/(($D$10+SUM($N$33:N312))/$D$5)),1)),IF(A313&gt;=$D$14,IF(AND(D312&gt;0,F312&gt;0),INT(K312*D312/F312),0),1000000000),MIN(IF($D$11&gt;G312,INT(($D$11-G312)/$D$5),0)-D312,MAX(B313,INT(($D$10+SUM($N$33:N312))/$D$5)-D312))))</f>
        <v/>
      </c>
      <c r="D313" s="8">
        <f>D312+C313</f>
        <v/>
      </c>
      <c r="E313" s="8">
        <f>$D$5</f>
        <v/>
      </c>
      <c r="F313" s="8">
        <f>IF(G312&gt;=$D$11,0,MIN(D313*E313,$D$11-G312))</f>
        <v/>
      </c>
      <c r="G313" s="8">
        <f>G312+F313</f>
        <v/>
      </c>
      <c r="H313" s="10">
        <f>H312+$D$6*F313</f>
        <v/>
      </c>
      <c r="I313" s="10">
        <f>$D$7*F313+Q313</f>
        <v/>
      </c>
      <c r="J313" s="10">
        <f>J312+$D$8*F313+K313-P313</f>
        <v/>
      </c>
      <c r="K313" s="10">
        <f>($D$9/12)*J312</f>
        <v/>
      </c>
      <c r="L313" s="9">
        <f>IF(G313=0,0,J313/(G313*$D$12))</f>
        <v/>
      </c>
      <c r="M313" s="13">
        <f>I313/G313</f>
        <v/>
      </c>
      <c r="N313" s="8">
        <f>INDEX($G$6:$G$30,MIN(INT((A313-1)/12)+1,25))</f>
        <v/>
      </c>
      <c r="O313" s="126">
        <f>G313*$D$12</f>
        <v/>
      </c>
      <c r="P313">
        <f>IF(F313=0,0,MAX(0,0.01*G313-$D$7*F313))</f>
        <v/>
      </c>
    </row>
    <row r="314">
      <c r="A314" s="7" t="n">
        <v>282</v>
      </c>
      <c r="B314" s="98">
        <f>CEILING(0.0101*G313/$D$5,1)</f>
        <v/>
      </c>
      <c r="C314" s="8">
        <f>MAX(0,MIN(MAX(0,FLOOR($D$15*D313*MAX(0,1-D313/(($D$10+SUM($N$33:N313))/$D$5)),1)),IF(A314&gt;=$D$14,IF(AND(D313&gt;0,F313&gt;0),INT(K313*D313/F313),0),1000000000),MIN(IF($D$11&gt;G313,INT(($D$11-G313)/$D$5),0)-D313,MAX(B314,INT(($D$10+SUM($N$33:N313))/$D$5)-D313))))</f>
        <v/>
      </c>
      <c r="D314" s="8">
        <f>D313+C314</f>
        <v/>
      </c>
      <c r="E314" s="8">
        <f>$D$5</f>
        <v/>
      </c>
      <c r="F314" s="8">
        <f>IF(G313&gt;=$D$11,0,MIN(D314*E314,$D$11-G313))</f>
        <v/>
      </c>
      <c r="G314" s="8">
        <f>G313+F314</f>
        <v/>
      </c>
      <c r="H314" s="10">
        <f>H313+$D$6*F314</f>
        <v/>
      </c>
      <c r="I314" s="10">
        <f>$D$7*F314+Q314</f>
        <v/>
      </c>
      <c r="J314" s="10">
        <f>J313+$D$8*F314+K314-P314</f>
        <v/>
      </c>
      <c r="K314" s="10">
        <f>($D$9/12)*J313</f>
        <v/>
      </c>
      <c r="L314" s="9">
        <f>IF(G314=0,0,J314/(G314*$D$12))</f>
        <v/>
      </c>
      <c r="M314" s="13">
        <f>I314/G314</f>
        <v/>
      </c>
      <c r="N314" s="8">
        <f>INDEX($G$6:$G$30,MIN(INT((A314-1)/12)+1,25))</f>
        <v/>
      </c>
      <c r="O314" s="126">
        <f>G314*$D$12</f>
        <v/>
      </c>
      <c r="P314">
        <f>IF(F314=0,0,MAX(0,0.01*G314-$D$7*F314))</f>
        <v/>
      </c>
    </row>
    <row r="315">
      <c r="A315" s="7" t="n">
        <v>283</v>
      </c>
      <c r="B315" s="98">
        <f>CEILING(0.0101*G314/$D$5,1)</f>
        <v/>
      </c>
      <c r="C315" s="8">
        <f>MAX(0,MIN(MAX(0,FLOOR($D$15*D314*MAX(0,1-D314/(($D$10+SUM($N$33:N314))/$D$5)),1)),IF(A315&gt;=$D$14,IF(AND(D314&gt;0,F314&gt;0),INT(K314*D314/F314),0),1000000000),MIN(IF($D$11&gt;G314,INT(($D$11-G314)/$D$5),0)-D314,MAX(B315,INT(($D$10+SUM($N$33:N314))/$D$5)-D314))))</f>
        <v/>
      </c>
      <c r="D315" s="8">
        <f>D314+C315</f>
        <v/>
      </c>
      <c r="E315" s="8">
        <f>$D$5</f>
        <v/>
      </c>
      <c r="F315" s="8">
        <f>IF(G314&gt;=$D$11,0,MIN(D315*E315,$D$11-G314))</f>
        <v/>
      </c>
      <c r="G315" s="8">
        <f>G314+F315</f>
        <v/>
      </c>
      <c r="H315" s="10">
        <f>H314+$D$6*F315</f>
        <v/>
      </c>
      <c r="I315" s="10">
        <f>$D$7*F315+Q315</f>
        <v/>
      </c>
      <c r="J315" s="10">
        <f>J314+$D$8*F315+K315-P315</f>
        <v/>
      </c>
      <c r="K315" s="10">
        <f>($D$9/12)*J314</f>
        <v/>
      </c>
      <c r="L315" s="9">
        <f>IF(G315=0,0,J315/(G315*$D$12))</f>
        <v/>
      </c>
      <c r="M315" s="13">
        <f>I315/G315</f>
        <v/>
      </c>
      <c r="N315" s="8">
        <f>INDEX($G$6:$G$30,MIN(INT((A315-1)/12)+1,25))</f>
        <v/>
      </c>
      <c r="O315" s="126">
        <f>G315*$D$12</f>
        <v/>
      </c>
      <c r="P315">
        <f>IF(F315=0,0,MAX(0,0.01*G315-$D$7*F315))</f>
        <v/>
      </c>
    </row>
    <row r="316">
      <c r="A316" s="7" t="n">
        <v>284</v>
      </c>
      <c r="B316" s="98">
        <f>CEILING(0.0101*G315/$D$5,1)</f>
        <v/>
      </c>
      <c r="C316" s="8">
        <f>MAX(0,MIN(MAX(0,FLOOR($D$15*D315*MAX(0,1-D315/(($D$10+SUM($N$33:N315))/$D$5)),1)),IF(A316&gt;=$D$14,IF(AND(D315&gt;0,F315&gt;0),INT(K315*D315/F315),0),1000000000),MIN(IF($D$11&gt;G315,INT(($D$11-G315)/$D$5),0)-D315,MAX(B316,INT(($D$10+SUM($N$33:N315))/$D$5)-D315))))</f>
        <v/>
      </c>
      <c r="D316" s="8">
        <f>D315+C316</f>
        <v/>
      </c>
      <c r="E316" s="8">
        <f>$D$5</f>
        <v/>
      </c>
      <c r="F316" s="8">
        <f>IF(G315&gt;=$D$11,0,MIN(D316*E316,$D$11-G315))</f>
        <v/>
      </c>
      <c r="G316" s="8">
        <f>G315+F316</f>
        <v/>
      </c>
      <c r="H316" s="10">
        <f>H315+$D$6*F316</f>
        <v/>
      </c>
      <c r="I316" s="10">
        <f>$D$7*F316+Q316</f>
        <v/>
      </c>
      <c r="J316" s="10">
        <f>J315+$D$8*F316+K316-P316</f>
        <v/>
      </c>
      <c r="K316" s="10">
        <f>($D$9/12)*J315</f>
        <v/>
      </c>
      <c r="L316" s="9">
        <f>IF(G316=0,0,J316/(G316*$D$12))</f>
        <v/>
      </c>
      <c r="M316" s="13">
        <f>I316/G316</f>
        <v/>
      </c>
      <c r="N316" s="8">
        <f>INDEX($G$6:$G$30,MIN(INT((A316-1)/12)+1,25))</f>
        <v/>
      </c>
      <c r="O316" s="126">
        <f>G316*$D$12</f>
        <v/>
      </c>
      <c r="P316">
        <f>IF(F316=0,0,MAX(0,0.01*G316-$D$7*F316))</f>
        <v/>
      </c>
    </row>
    <row r="317">
      <c r="A317" s="7" t="n">
        <v>285</v>
      </c>
      <c r="B317" s="98">
        <f>CEILING(0.0101*G316/$D$5,1)</f>
        <v/>
      </c>
      <c r="C317" s="8">
        <f>MAX(0,MIN(MAX(0,FLOOR($D$15*D316*MAX(0,1-D316/(($D$10+SUM($N$33:N316))/$D$5)),1)),IF(A317&gt;=$D$14,IF(AND(D316&gt;0,F316&gt;0),INT(K316*D316/F316),0),1000000000),MIN(IF($D$11&gt;G316,INT(($D$11-G316)/$D$5),0)-D316,MAX(B317,INT(($D$10+SUM($N$33:N316))/$D$5)-D316))))</f>
        <v/>
      </c>
      <c r="D317" s="8">
        <f>D316+C317</f>
        <v/>
      </c>
      <c r="E317" s="8">
        <f>$D$5</f>
        <v/>
      </c>
      <c r="F317" s="8">
        <f>IF(G316&gt;=$D$11,0,MIN(D317*E317,$D$11-G316))</f>
        <v/>
      </c>
      <c r="G317" s="8">
        <f>G316+F317</f>
        <v/>
      </c>
      <c r="H317" s="10">
        <f>H316+$D$6*F317</f>
        <v/>
      </c>
      <c r="I317" s="10">
        <f>$D$7*F317+Q317</f>
        <v/>
      </c>
      <c r="J317" s="10">
        <f>J316+$D$8*F317+K317-P317</f>
        <v/>
      </c>
      <c r="K317" s="10">
        <f>($D$9/12)*J316</f>
        <v/>
      </c>
      <c r="L317" s="9">
        <f>IF(G317=0,0,J317/(G317*$D$12))</f>
        <v/>
      </c>
      <c r="M317" s="13">
        <f>I317/G317</f>
        <v/>
      </c>
      <c r="N317" s="8">
        <f>INDEX($G$6:$G$30,MIN(INT((A317-1)/12)+1,25))</f>
        <v/>
      </c>
      <c r="O317" s="126">
        <f>G317*$D$12</f>
        <v/>
      </c>
      <c r="P317">
        <f>IF(F317=0,0,MAX(0,0.01*G317-$D$7*F317))</f>
        <v/>
      </c>
    </row>
    <row r="318">
      <c r="A318" s="7" t="n">
        <v>286</v>
      </c>
      <c r="B318" s="98">
        <f>CEILING(0.0101*G317/$D$5,1)</f>
        <v/>
      </c>
      <c r="C318" s="8">
        <f>MAX(0,MIN(MAX(0,FLOOR($D$15*D317*MAX(0,1-D317/(($D$10+SUM($N$33:N317))/$D$5)),1)),IF(A318&gt;=$D$14,IF(AND(D317&gt;0,F317&gt;0),INT(K317*D317/F317),0),1000000000),MIN(IF($D$11&gt;G317,INT(($D$11-G317)/$D$5),0)-D317,MAX(B318,INT(($D$10+SUM($N$33:N317))/$D$5)-D317))))</f>
        <v/>
      </c>
      <c r="D318" s="8">
        <f>D317+C318</f>
        <v/>
      </c>
      <c r="E318" s="8">
        <f>$D$5</f>
        <v/>
      </c>
      <c r="F318" s="8">
        <f>IF(G317&gt;=$D$11,0,MIN(D318*E318,$D$11-G317))</f>
        <v/>
      </c>
      <c r="G318" s="8">
        <f>G317+F318</f>
        <v/>
      </c>
      <c r="H318" s="10">
        <f>H317+$D$6*F318</f>
        <v/>
      </c>
      <c r="I318" s="10">
        <f>$D$7*F318+Q318</f>
        <v/>
      </c>
      <c r="J318" s="10">
        <f>J317+$D$8*F318+K318-P318</f>
        <v/>
      </c>
      <c r="K318" s="10">
        <f>($D$9/12)*J317</f>
        <v/>
      </c>
      <c r="L318" s="9">
        <f>IF(G318=0,0,J318/(G318*$D$12))</f>
        <v/>
      </c>
      <c r="M318" s="13">
        <f>I318/G318</f>
        <v/>
      </c>
      <c r="N318" s="8">
        <f>INDEX($G$6:$G$30,MIN(INT((A318-1)/12)+1,25))</f>
        <v/>
      </c>
      <c r="O318" s="126">
        <f>G318*$D$12</f>
        <v/>
      </c>
      <c r="P318">
        <f>IF(F318=0,0,MAX(0,0.01*G318-$D$7*F318))</f>
        <v/>
      </c>
    </row>
    <row r="319">
      <c r="A319" s="7" t="n">
        <v>287</v>
      </c>
      <c r="B319" s="98">
        <f>CEILING(0.0101*G318/$D$5,1)</f>
        <v/>
      </c>
      <c r="C319" s="8">
        <f>MAX(0,MIN(MAX(0,FLOOR($D$15*D318*MAX(0,1-D318/(($D$10+SUM($N$33:N318))/$D$5)),1)),IF(A319&gt;=$D$14,IF(AND(D318&gt;0,F318&gt;0),INT(K318*D318/F318),0),1000000000),MIN(IF($D$11&gt;G318,INT(($D$11-G318)/$D$5),0)-D318,MAX(B319,INT(($D$10+SUM($N$33:N318))/$D$5)-D318))))</f>
        <v/>
      </c>
      <c r="D319" s="8">
        <f>D318+C319</f>
        <v/>
      </c>
      <c r="E319" s="8">
        <f>$D$5</f>
        <v/>
      </c>
      <c r="F319" s="8">
        <f>IF(G318&gt;=$D$11,0,MIN(D319*E319,$D$11-G318))</f>
        <v/>
      </c>
      <c r="G319" s="8">
        <f>G318+F319</f>
        <v/>
      </c>
      <c r="H319" s="10">
        <f>H318+$D$6*F319</f>
        <v/>
      </c>
      <c r="I319" s="10">
        <f>$D$7*F319+Q319</f>
        <v/>
      </c>
      <c r="J319" s="10">
        <f>J318+$D$8*F319+K319-P319</f>
        <v/>
      </c>
      <c r="K319" s="10">
        <f>($D$9/12)*J318</f>
        <v/>
      </c>
      <c r="L319" s="9">
        <f>IF(G319=0,0,J319/(G319*$D$12))</f>
        <v/>
      </c>
      <c r="M319" s="13">
        <f>I319/G319</f>
        <v/>
      </c>
      <c r="N319" s="8">
        <f>INDEX($G$6:$G$30,MIN(INT((A319-1)/12)+1,25))</f>
        <v/>
      </c>
      <c r="O319" s="126">
        <f>G319*$D$12</f>
        <v/>
      </c>
      <c r="P319">
        <f>IF(F319=0,0,MAX(0,0.01*G319-$D$7*F319))</f>
        <v/>
      </c>
    </row>
    <row r="320">
      <c r="A320" s="7" t="n">
        <v>288</v>
      </c>
      <c r="B320" s="98">
        <f>CEILING(0.0101*G319/$D$5,1)</f>
        <v/>
      </c>
      <c r="C320" s="8">
        <f>MAX(0,MIN(MAX(0,FLOOR($D$15*D319*MAX(0,1-D319/(($D$10+SUM($N$33:N319))/$D$5)),1)),IF(A320&gt;=$D$14,IF(AND(D319&gt;0,F319&gt;0),INT(K319*D319/F319),0),1000000000),MIN(IF($D$11&gt;G319,INT(($D$11-G319)/$D$5),0)-D319,MAX(B320,INT(($D$10+SUM($N$33:N319))/$D$5)-D319))))</f>
        <v/>
      </c>
      <c r="D320" s="8">
        <f>D319+C320</f>
        <v/>
      </c>
      <c r="E320" s="8">
        <f>$D$5</f>
        <v/>
      </c>
      <c r="F320" s="8">
        <f>IF(G319&gt;=$D$11,0,MIN(D320*E320,$D$11-G319))</f>
        <v/>
      </c>
      <c r="G320" s="8">
        <f>G319+F320</f>
        <v/>
      </c>
      <c r="H320" s="10">
        <f>H319+$D$6*F320</f>
        <v/>
      </c>
      <c r="I320" s="10">
        <f>$D$7*F320+Q320</f>
        <v/>
      </c>
      <c r="J320" s="10">
        <f>J319+$D$8*F320+K320-P320</f>
        <v/>
      </c>
      <c r="K320" s="10">
        <f>($D$9/12)*J319</f>
        <v/>
      </c>
      <c r="L320" s="9">
        <f>IF(G320=0,0,J320/(G320*$D$12))</f>
        <v/>
      </c>
      <c r="M320" s="13">
        <f>I320/G320</f>
        <v/>
      </c>
      <c r="N320" s="8">
        <f>INDEX($G$6:$G$30,MIN(INT((A320-1)/12)+1,25))</f>
        <v/>
      </c>
      <c r="O320" s="126">
        <f>G320*$D$12</f>
        <v/>
      </c>
      <c r="P320">
        <f>IF(F320=0,0,MAX(0,0.01*G320-$D$7*F320))</f>
        <v/>
      </c>
    </row>
    <row r="321">
      <c r="A321" s="7" t="n">
        <v>289</v>
      </c>
      <c r="B321" s="98">
        <f>CEILING(0.0101*G320/$D$5,1)</f>
        <v/>
      </c>
      <c r="C321" s="8">
        <f>MAX(0,MIN(MAX(0,FLOOR($D$15*D320*MAX(0,1-D320/(($D$10+SUM($N$33:N320))/$D$5)),1)),IF(A321&gt;=$D$14,IF(AND(D320&gt;0,F320&gt;0),INT(K320*D320/F320),0),1000000000),MIN(IF($D$11&gt;G320,INT(($D$11-G320)/$D$5),0)-D320,MAX(B321,INT(($D$10+SUM($N$33:N320))/$D$5)-D320))))</f>
        <v/>
      </c>
      <c r="D321" s="8">
        <f>D320+C321</f>
        <v/>
      </c>
      <c r="E321" s="8">
        <f>$D$5</f>
        <v/>
      </c>
      <c r="F321" s="8">
        <f>IF(G320&gt;=$D$11,0,MIN(D321*E321,$D$11-G320))</f>
        <v/>
      </c>
      <c r="G321" s="8">
        <f>G320+F321</f>
        <v/>
      </c>
      <c r="H321" s="10">
        <f>H320+$D$6*F321</f>
        <v/>
      </c>
      <c r="I321" s="10">
        <f>$D$7*F321+Q321</f>
        <v/>
      </c>
      <c r="J321" s="10">
        <f>J320+$D$8*F321+K321-P321</f>
        <v/>
      </c>
      <c r="K321" s="10">
        <f>($D$9/12)*J320</f>
        <v/>
      </c>
      <c r="L321" s="9">
        <f>IF(G321=0,0,J321/(G321*$D$12))</f>
        <v/>
      </c>
      <c r="M321" s="13">
        <f>I321/G321</f>
        <v/>
      </c>
      <c r="N321" s="8">
        <f>INDEX($G$6:$G$30,MIN(INT((A321-1)/12)+1,25))</f>
        <v/>
      </c>
      <c r="O321" s="126">
        <f>G321*$D$12</f>
        <v/>
      </c>
      <c r="P321">
        <f>IF(F321=0,0,MAX(0,0.01*G321-$D$7*F321))</f>
        <v/>
      </c>
    </row>
    <row r="322">
      <c r="A322" s="7" t="n">
        <v>290</v>
      </c>
      <c r="B322" s="98">
        <f>CEILING(0.0101*G321/$D$5,1)</f>
        <v/>
      </c>
      <c r="C322" s="8">
        <f>MAX(0,MIN(MAX(0,FLOOR($D$15*D321*MAX(0,1-D321/(($D$10+SUM($N$33:N321))/$D$5)),1)),IF(A322&gt;=$D$14,IF(AND(D321&gt;0,F321&gt;0),INT(K321*D321/F321),0),1000000000),MIN(IF($D$11&gt;G321,INT(($D$11-G321)/$D$5),0)-D321,MAX(B322,INT(($D$10+SUM($N$33:N321))/$D$5)-D321))))</f>
        <v/>
      </c>
      <c r="D322" s="8">
        <f>D321+C322</f>
        <v/>
      </c>
      <c r="E322" s="8">
        <f>$D$5</f>
        <v/>
      </c>
      <c r="F322" s="8">
        <f>IF(G321&gt;=$D$11,0,MIN(D322*E322,$D$11-G321))</f>
        <v/>
      </c>
      <c r="G322" s="8">
        <f>G321+F322</f>
        <v/>
      </c>
      <c r="H322" s="10">
        <f>H321+$D$6*F322</f>
        <v/>
      </c>
      <c r="I322" s="10">
        <f>$D$7*F322+Q322</f>
        <v/>
      </c>
      <c r="J322" s="10">
        <f>J321+$D$8*F322+K322-P322</f>
        <v/>
      </c>
      <c r="K322" s="10">
        <f>($D$9/12)*J321</f>
        <v/>
      </c>
      <c r="L322" s="9">
        <f>IF(G322=0,0,J322/(G322*$D$12))</f>
        <v/>
      </c>
      <c r="M322" s="13">
        <f>I322/G322</f>
        <v/>
      </c>
      <c r="N322" s="8">
        <f>INDEX($G$6:$G$30,MIN(INT((A322-1)/12)+1,25))</f>
        <v/>
      </c>
      <c r="O322" s="126">
        <f>G322*$D$12</f>
        <v/>
      </c>
      <c r="P322">
        <f>IF(F322=0,0,MAX(0,0.01*G322-$D$7*F322))</f>
        <v/>
      </c>
    </row>
    <row r="323">
      <c r="A323" s="7" t="n">
        <v>291</v>
      </c>
      <c r="B323" s="98">
        <f>CEILING(0.0101*G322/$D$5,1)</f>
        <v/>
      </c>
      <c r="C323" s="8">
        <f>MAX(0,MIN(MAX(0,FLOOR($D$15*D322*MAX(0,1-D322/(($D$10+SUM($N$33:N322))/$D$5)),1)),IF(A323&gt;=$D$14,IF(AND(D322&gt;0,F322&gt;0),INT(K322*D322/F322),0),1000000000),MIN(IF($D$11&gt;G322,INT(($D$11-G322)/$D$5),0)-D322,MAX(B323,INT(($D$10+SUM($N$33:N322))/$D$5)-D322))))</f>
        <v/>
      </c>
      <c r="D323" s="8">
        <f>D322+C323</f>
        <v/>
      </c>
      <c r="E323" s="8">
        <f>$D$5</f>
        <v/>
      </c>
      <c r="F323" s="8">
        <f>IF(G322&gt;=$D$11,0,MIN(D323*E323,$D$11-G322))</f>
        <v/>
      </c>
      <c r="G323" s="8">
        <f>G322+F323</f>
        <v/>
      </c>
      <c r="H323" s="10">
        <f>H322+$D$6*F323</f>
        <v/>
      </c>
      <c r="I323" s="10">
        <f>$D$7*F323+Q323</f>
        <v/>
      </c>
      <c r="J323" s="10">
        <f>J322+$D$8*F323+K323-P323</f>
        <v/>
      </c>
      <c r="K323" s="10">
        <f>($D$9/12)*J322</f>
        <v/>
      </c>
      <c r="L323" s="9">
        <f>IF(G323=0,0,J323/(G323*$D$12))</f>
        <v/>
      </c>
      <c r="M323" s="13">
        <f>I323/G323</f>
        <v/>
      </c>
      <c r="N323" s="8">
        <f>INDEX($G$6:$G$30,MIN(INT((A323-1)/12)+1,25))</f>
        <v/>
      </c>
      <c r="O323" s="126">
        <f>G323*$D$12</f>
        <v/>
      </c>
      <c r="P323">
        <f>IF(F323=0,0,MAX(0,0.01*G323-$D$7*F323))</f>
        <v/>
      </c>
    </row>
    <row r="324">
      <c r="A324" s="7" t="n">
        <v>292</v>
      </c>
      <c r="B324" s="98">
        <f>CEILING(0.0101*G323/$D$5,1)</f>
        <v/>
      </c>
      <c r="C324" s="8">
        <f>MAX(0,MIN(MAX(0,FLOOR($D$15*D323*MAX(0,1-D323/(($D$10+SUM($N$33:N323))/$D$5)),1)),IF(A324&gt;=$D$14,IF(AND(D323&gt;0,F323&gt;0),INT(K323*D323/F323),0),1000000000),MIN(IF($D$11&gt;G323,INT(($D$11-G323)/$D$5),0)-D323,MAX(B324,INT(($D$10+SUM($N$33:N323))/$D$5)-D323))))</f>
        <v/>
      </c>
      <c r="D324" s="8">
        <f>D323+C324</f>
        <v/>
      </c>
      <c r="E324" s="8">
        <f>$D$5</f>
        <v/>
      </c>
      <c r="F324" s="8">
        <f>IF(G323&gt;=$D$11,0,MIN(D324*E324,$D$11-G323))</f>
        <v/>
      </c>
      <c r="G324" s="8">
        <f>G323+F324</f>
        <v/>
      </c>
      <c r="H324" s="10">
        <f>H323+$D$6*F324</f>
        <v/>
      </c>
      <c r="I324" s="10">
        <f>$D$7*F324+Q324</f>
        <v/>
      </c>
      <c r="J324" s="10">
        <f>J323+$D$8*F324+K324-P324</f>
        <v/>
      </c>
      <c r="K324" s="10">
        <f>($D$9/12)*J323</f>
        <v/>
      </c>
      <c r="L324" s="9">
        <f>IF(G324=0,0,J324/(G324*$D$12))</f>
        <v/>
      </c>
      <c r="M324" s="13">
        <f>I324/G324</f>
        <v/>
      </c>
      <c r="N324" s="8">
        <f>INDEX($G$6:$G$30,MIN(INT((A324-1)/12)+1,25))</f>
        <v/>
      </c>
      <c r="O324" s="126">
        <f>G324*$D$12</f>
        <v/>
      </c>
      <c r="P324">
        <f>IF(F324=0,0,MAX(0,0.01*G324-$D$7*F324))</f>
        <v/>
      </c>
    </row>
    <row r="325">
      <c r="A325" s="7" t="n">
        <v>293</v>
      </c>
      <c r="B325" s="98">
        <f>CEILING(0.0101*G324/$D$5,1)</f>
        <v/>
      </c>
      <c r="C325" s="8">
        <f>MAX(0,MIN(MAX(0,FLOOR($D$15*D324*MAX(0,1-D324/(($D$10+SUM($N$33:N324))/$D$5)),1)),IF(A325&gt;=$D$14,IF(AND(D324&gt;0,F324&gt;0),INT(K324*D324/F324),0),1000000000),MIN(IF($D$11&gt;G324,INT(($D$11-G324)/$D$5),0)-D324,MAX(B325,INT(($D$10+SUM($N$33:N324))/$D$5)-D324))))</f>
        <v/>
      </c>
      <c r="D325" s="8">
        <f>D324+C325</f>
        <v/>
      </c>
      <c r="E325" s="8">
        <f>$D$5</f>
        <v/>
      </c>
      <c r="F325" s="8">
        <f>IF(G324&gt;=$D$11,0,MIN(D325*E325,$D$11-G324))</f>
        <v/>
      </c>
      <c r="G325" s="8">
        <f>G324+F325</f>
        <v/>
      </c>
      <c r="H325" s="10">
        <f>H324+$D$6*F325</f>
        <v/>
      </c>
      <c r="I325" s="10">
        <f>$D$7*F325+Q325</f>
        <v/>
      </c>
      <c r="J325" s="10">
        <f>J324+$D$8*F325+K325-P325</f>
        <v/>
      </c>
      <c r="K325" s="10">
        <f>($D$9/12)*J324</f>
        <v/>
      </c>
      <c r="L325" s="9">
        <f>IF(G325=0,0,J325/(G325*$D$12))</f>
        <v/>
      </c>
      <c r="M325" s="13">
        <f>I325/G325</f>
        <v/>
      </c>
      <c r="N325" s="8">
        <f>INDEX($G$6:$G$30,MIN(INT((A325-1)/12)+1,25))</f>
        <v/>
      </c>
      <c r="O325" s="126">
        <f>G325*$D$12</f>
        <v/>
      </c>
      <c r="P325">
        <f>IF(F325=0,0,MAX(0,0.01*G325-$D$7*F325))</f>
        <v/>
      </c>
    </row>
    <row r="326">
      <c r="A326" s="7" t="n">
        <v>294</v>
      </c>
      <c r="B326" s="98">
        <f>CEILING(0.0101*G325/$D$5,1)</f>
        <v/>
      </c>
      <c r="C326" s="8">
        <f>MAX(0,MIN(MAX(0,FLOOR($D$15*D325*MAX(0,1-D325/(($D$10+SUM($N$33:N325))/$D$5)),1)),IF(A326&gt;=$D$14,IF(AND(D325&gt;0,F325&gt;0),INT(K325*D325/F325),0),1000000000),MIN(IF($D$11&gt;G325,INT(($D$11-G325)/$D$5),0)-D325,MAX(B326,INT(($D$10+SUM($N$33:N325))/$D$5)-D325))))</f>
        <v/>
      </c>
      <c r="D326" s="8">
        <f>D325+C326</f>
        <v/>
      </c>
      <c r="E326" s="8">
        <f>$D$5</f>
        <v/>
      </c>
      <c r="F326" s="8">
        <f>IF(G325&gt;=$D$11,0,MIN(D326*E326,$D$11-G325))</f>
        <v/>
      </c>
      <c r="G326" s="8">
        <f>G325+F326</f>
        <v/>
      </c>
      <c r="H326" s="10">
        <f>H325+$D$6*F326</f>
        <v/>
      </c>
      <c r="I326" s="10">
        <f>$D$7*F326+Q326</f>
        <v/>
      </c>
      <c r="J326" s="10">
        <f>J325+$D$8*F326+K326-P326</f>
        <v/>
      </c>
      <c r="K326" s="10">
        <f>($D$9/12)*J325</f>
        <v/>
      </c>
      <c r="L326" s="9">
        <f>IF(G326=0,0,J326/(G326*$D$12))</f>
        <v/>
      </c>
      <c r="M326" s="13">
        <f>I326/G326</f>
        <v/>
      </c>
      <c r="N326" s="8">
        <f>INDEX($G$6:$G$30,MIN(INT((A326-1)/12)+1,25))</f>
        <v/>
      </c>
      <c r="O326" s="126">
        <f>G326*$D$12</f>
        <v/>
      </c>
      <c r="P326">
        <f>IF(F326=0,0,MAX(0,0.01*G326-$D$7*F326))</f>
        <v/>
      </c>
    </row>
    <row r="327">
      <c r="A327" s="7" t="n">
        <v>295</v>
      </c>
      <c r="B327" s="98">
        <f>CEILING(0.0101*G326/$D$5,1)</f>
        <v/>
      </c>
      <c r="C327" s="8">
        <f>MAX(0,MIN(MAX(0,FLOOR($D$15*D326*MAX(0,1-D326/(($D$10+SUM($N$33:N326))/$D$5)),1)),IF(A327&gt;=$D$14,IF(AND(D326&gt;0,F326&gt;0),INT(K326*D326/F326),0),1000000000),MIN(IF($D$11&gt;G326,INT(($D$11-G326)/$D$5),0)-D326,MAX(B327,INT(($D$10+SUM($N$33:N326))/$D$5)-D326))))</f>
        <v/>
      </c>
      <c r="D327" s="8">
        <f>D326+C327</f>
        <v/>
      </c>
      <c r="E327" s="8">
        <f>$D$5</f>
        <v/>
      </c>
      <c r="F327" s="8">
        <f>IF(G326&gt;=$D$11,0,MIN(D327*E327,$D$11-G326))</f>
        <v/>
      </c>
      <c r="G327" s="8">
        <f>G326+F327</f>
        <v/>
      </c>
      <c r="H327" s="10">
        <f>H326+$D$6*F327</f>
        <v/>
      </c>
      <c r="I327" s="10">
        <f>$D$7*F327+Q327</f>
        <v/>
      </c>
      <c r="J327" s="10">
        <f>J326+$D$8*F327+K327-P327</f>
        <v/>
      </c>
      <c r="K327" s="10">
        <f>($D$9/12)*J326</f>
        <v/>
      </c>
      <c r="L327" s="9">
        <f>IF(G327=0,0,J327/(G327*$D$12))</f>
        <v/>
      </c>
      <c r="M327" s="13">
        <f>I327/G327</f>
        <v/>
      </c>
      <c r="N327" s="8">
        <f>INDEX($G$6:$G$30,MIN(INT((A327-1)/12)+1,25))</f>
        <v/>
      </c>
      <c r="O327" s="126">
        <f>G327*$D$12</f>
        <v/>
      </c>
      <c r="P327">
        <f>IF(F327=0,0,MAX(0,0.01*G327-$D$7*F327))</f>
        <v/>
      </c>
    </row>
    <row r="328">
      <c r="A328" s="7" t="n">
        <v>296</v>
      </c>
      <c r="B328" s="98">
        <f>CEILING(0.0101*G327/$D$5,1)</f>
        <v/>
      </c>
      <c r="C328" s="8">
        <f>MAX(0,MIN(MAX(0,FLOOR($D$15*D327*MAX(0,1-D327/(($D$10+SUM($N$33:N327))/$D$5)),1)),IF(A328&gt;=$D$14,IF(AND(D327&gt;0,F327&gt;0),INT(K327*D327/F327),0),1000000000),MIN(IF($D$11&gt;G327,INT(($D$11-G327)/$D$5),0)-D327,MAX(B328,INT(($D$10+SUM($N$33:N327))/$D$5)-D327))))</f>
        <v/>
      </c>
      <c r="D328" s="8">
        <f>D327+C328</f>
        <v/>
      </c>
      <c r="E328" s="8">
        <f>$D$5</f>
        <v/>
      </c>
      <c r="F328" s="8">
        <f>IF(G327&gt;=$D$11,0,MIN(D328*E328,$D$11-G327))</f>
        <v/>
      </c>
      <c r="G328" s="8">
        <f>G327+F328</f>
        <v/>
      </c>
      <c r="H328" s="10">
        <f>H327+$D$6*F328</f>
        <v/>
      </c>
      <c r="I328" s="10">
        <f>$D$7*F328+Q328</f>
        <v/>
      </c>
      <c r="J328" s="10">
        <f>J327+$D$8*F328+K328-P328</f>
        <v/>
      </c>
      <c r="K328" s="10">
        <f>($D$9/12)*J327</f>
        <v/>
      </c>
      <c r="L328" s="9">
        <f>IF(G328=0,0,J328/(G328*$D$12))</f>
        <v/>
      </c>
      <c r="M328" s="13">
        <f>I328/G328</f>
        <v/>
      </c>
      <c r="N328" s="8">
        <f>INDEX($G$6:$G$30,MIN(INT((A328-1)/12)+1,25))</f>
        <v/>
      </c>
      <c r="O328" s="126">
        <f>G328*$D$12</f>
        <v/>
      </c>
      <c r="P328">
        <f>IF(F328=0,0,MAX(0,0.01*G328-$D$7*F328))</f>
        <v/>
      </c>
    </row>
    <row r="329">
      <c r="A329" s="7" t="n">
        <v>297</v>
      </c>
      <c r="B329" s="98">
        <f>CEILING(0.0101*G328/$D$5,1)</f>
        <v/>
      </c>
      <c r="C329" s="8">
        <f>MAX(0,MIN(MAX(0,FLOOR($D$15*D328*MAX(0,1-D328/(($D$10+SUM($N$33:N328))/$D$5)),1)),IF(A329&gt;=$D$14,IF(AND(D328&gt;0,F328&gt;0),INT(K328*D328/F328),0),1000000000),MIN(IF($D$11&gt;G328,INT(($D$11-G328)/$D$5),0)-D328,MAX(B329,INT(($D$10+SUM($N$33:N328))/$D$5)-D328))))</f>
        <v/>
      </c>
      <c r="D329" s="8">
        <f>D328+C329</f>
        <v/>
      </c>
      <c r="E329" s="8">
        <f>$D$5</f>
        <v/>
      </c>
      <c r="F329" s="8">
        <f>IF(G328&gt;=$D$11,0,MIN(D329*E329,$D$11-G328))</f>
        <v/>
      </c>
      <c r="G329" s="8">
        <f>G328+F329</f>
        <v/>
      </c>
      <c r="H329" s="10">
        <f>H328+$D$6*F329</f>
        <v/>
      </c>
      <c r="I329" s="10">
        <f>$D$7*F329+Q329</f>
        <v/>
      </c>
      <c r="J329" s="10">
        <f>J328+$D$8*F329+K329-P329</f>
        <v/>
      </c>
      <c r="K329" s="10">
        <f>($D$9/12)*J328</f>
        <v/>
      </c>
      <c r="L329" s="9">
        <f>IF(G329=0,0,J329/(G329*$D$12))</f>
        <v/>
      </c>
      <c r="M329" s="13">
        <f>I329/G329</f>
        <v/>
      </c>
      <c r="N329" s="8">
        <f>INDEX($G$6:$G$30,MIN(INT((A329-1)/12)+1,25))</f>
        <v/>
      </c>
      <c r="O329" s="126">
        <f>G329*$D$12</f>
        <v/>
      </c>
      <c r="P329">
        <f>IF(F329=0,0,MAX(0,0.01*G329-$D$7*F329))</f>
        <v/>
      </c>
    </row>
    <row r="330">
      <c r="A330" s="7" t="n">
        <v>298</v>
      </c>
      <c r="B330" s="98">
        <f>CEILING(0.0101*G329/$D$5,1)</f>
        <v/>
      </c>
      <c r="C330" s="8">
        <f>MAX(0,MIN(MAX(0,FLOOR($D$15*D329*MAX(0,1-D329/(($D$10+SUM($N$33:N329))/$D$5)),1)),IF(A330&gt;=$D$14,IF(AND(D329&gt;0,F329&gt;0),INT(K329*D329/F329),0),1000000000),MIN(IF($D$11&gt;G329,INT(($D$11-G329)/$D$5),0)-D329,MAX(B330,INT(($D$10+SUM($N$33:N329))/$D$5)-D329))))</f>
        <v/>
      </c>
      <c r="D330" s="8">
        <f>D329+C330</f>
        <v/>
      </c>
      <c r="E330" s="8">
        <f>$D$5</f>
        <v/>
      </c>
      <c r="F330" s="8">
        <f>IF(G329&gt;=$D$11,0,MIN(D330*E330,$D$11-G329))</f>
        <v/>
      </c>
      <c r="G330" s="8">
        <f>G329+F330</f>
        <v/>
      </c>
      <c r="H330" s="10">
        <f>H329+$D$6*F330</f>
        <v/>
      </c>
      <c r="I330" s="10">
        <f>$D$7*F330+Q330</f>
        <v/>
      </c>
      <c r="J330" s="10">
        <f>J329+$D$8*F330+K330-P330</f>
        <v/>
      </c>
      <c r="K330" s="10">
        <f>($D$9/12)*J329</f>
        <v/>
      </c>
      <c r="L330" s="9">
        <f>IF(G330=0,0,J330/(G330*$D$12))</f>
        <v/>
      </c>
      <c r="M330" s="13">
        <f>I330/G330</f>
        <v/>
      </c>
      <c r="N330" s="8">
        <f>INDEX($G$6:$G$30,MIN(INT((A330-1)/12)+1,25))</f>
        <v/>
      </c>
      <c r="O330" s="126">
        <f>G330*$D$12</f>
        <v/>
      </c>
      <c r="P330">
        <f>IF(F330=0,0,MAX(0,0.01*G330-$D$7*F330))</f>
        <v/>
      </c>
    </row>
    <row r="331">
      <c r="A331" s="7" t="n">
        <v>299</v>
      </c>
      <c r="B331" s="98">
        <f>CEILING(0.0101*G330/$D$5,1)</f>
        <v/>
      </c>
      <c r="C331" s="8">
        <f>MAX(0,MIN(MAX(0,FLOOR($D$15*D330*MAX(0,1-D330/(($D$10+SUM($N$33:N330))/$D$5)),1)),IF(A331&gt;=$D$14,IF(AND(D330&gt;0,F330&gt;0),INT(K330*D330/F330),0),1000000000),MIN(IF($D$11&gt;G330,INT(($D$11-G330)/$D$5),0)-D330,MAX(B331,INT(($D$10+SUM($N$33:N330))/$D$5)-D330))))</f>
        <v/>
      </c>
      <c r="D331" s="8">
        <f>D330+C331</f>
        <v/>
      </c>
      <c r="E331" s="8">
        <f>$D$5</f>
        <v/>
      </c>
      <c r="F331" s="8">
        <f>IF(G330&gt;=$D$11,0,MIN(D331*E331,$D$11-G330))</f>
        <v/>
      </c>
      <c r="G331" s="8">
        <f>G330+F331</f>
        <v/>
      </c>
      <c r="H331" s="10">
        <f>H330+$D$6*F331</f>
        <v/>
      </c>
      <c r="I331" s="10">
        <f>$D$7*F331+Q331</f>
        <v/>
      </c>
      <c r="J331" s="10">
        <f>J330+$D$8*F331+K331-P331</f>
        <v/>
      </c>
      <c r="K331" s="10">
        <f>($D$9/12)*J330</f>
        <v/>
      </c>
      <c r="L331" s="9">
        <f>IF(G331=0,0,J331/(G331*$D$12))</f>
        <v/>
      </c>
      <c r="M331" s="13">
        <f>I331/G331</f>
        <v/>
      </c>
      <c r="N331" s="8">
        <f>INDEX($G$6:$G$30,MIN(INT((A331-1)/12)+1,25))</f>
        <v/>
      </c>
      <c r="O331" s="126">
        <f>G331*$D$12</f>
        <v/>
      </c>
      <c r="P331">
        <f>IF(F331=0,0,MAX(0,0.01*G331-$D$7*F331))</f>
        <v/>
      </c>
    </row>
    <row r="332">
      <c r="A332" s="7" t="n">
        <v>300</v>
      </c>
      <c r="B332" s="98">
        <f>CEILING(0.0101*G331/$D$5,1)</f>
        <v/>
      </c>
      <c r="C332" s="8">
        <f>MAX(0,MIN(MAX(0,FLOOR($D$15*D331*MAX(0,1-D331/(($D$10+SUM($N$33:N331))/$D$5)),1)),IF(A332&gt;=$D$14,IF(AND(D331&gt;0,F331&gt;0),INT(K331*D331/F331),0),1000000000),MIN(IF($D$11&gt;G331,INT(($D$11-G331)/$D$5),0)-D331,MAX(B332,INT(($D$10+SUM($N$33:N331))/$D$5)-D331))))</f>
        <v/>
      </c>
      <c r="D332" s="8">
        <f>D331+C332</f>
        <v/>
      </c>
      <c r="E332" s="8">
        <f>$D$5</f>
        <v/>
      </c>
      <c r="F332" s="8">
        <f>IF(G331&gt;=$D$11,0,MIN(D332*E332,$D$11-G331))</f>
        <v/>
      </c>
      <c r="G332" s="8">
        <f>G331+F332</f>
        <v/>
      </c>
      <c r="H332" s="10">
        <f>H331+$D$6*F332</f>
        <v/>
      </c>
      <c r="I332" s="10">
        <f>$D$7*F332+Q332</f>
        <v/>
      </c>
      <c r="J332" s="10">
        <f>J331+$D$8*F332+K332-P332</f>
        <v/>
      </c>
      <c r="K332" s="10">
        <f>($D$9/12)*J331</f>
        <v/>
      </c>
      <c r="L332" s="9">
        <f>IF(G332=0,0,J332/(G332*$D$12))</f>
        <v/>
      </c>
      <c r="M332" s="13">
        <f>I332/G332</f>
        <v/>
      </c>
      <c r="N332" s="8">
        <f>INDEX($G$6:$G$30,MIN(INT((A332-1)/12)+1,25))</f>
        <v/>
      </c>
      <c r="O332" s="126">
        <f>G332*$D$12</f>
        <v/>
      </c>
      <c r="P332">
        <f>IF(F332=0,0,MAX(0,0.01*G332-$D$7*F332))</f>
        <v/>
      </c>
    </row>
  </sheetData>
  <mergeCells count="9">
    <mergeCell ref="A10:C10"/>
    <mergeCell ref="F4:G4"/>
    <mergeCell ref="A11:C11"/>
    <mergeCell ref="A5:C5"/>
    <mergeCell ref="A8:C8"/>
    <mergeCell ref="A6:C6"/>
    <mergeCell ref="A9:C9"/>
    <mergeCell ref="A7:C7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8" customWidth="1" style="103" min="1" max="1"/>
    <col width="18" customWidth="1" style="103" min="2" max="3"/>
    <col width="16" customWidth="1" style="103" min="4" max="8"/>
  </cols>
  <sheetData>
    <row r="1" ht="18.75" customHeight="1" s="103">
      <c r="A1" s="107" t="inlineStr">
        <is>
          <t>Wind-Down Analysis — RAISE Financial Model</t>
        </is>
      </c>
    </row>
    <row r="2">
      <c r="A2" s="106" t="inlineStr">
        <is>
          <t>Phase 1 ends Month 301 | E=2,000 credits/employee/mo | P=0 (no burns)</t>
        </is>
      </c>
    </row>
    <row r="4">
      <c r="A4" s="112" t="inlineStr">
        <is>
          <t>Phase 1 End State</t>
        </is>
      </c>
    </row>
    <row r="5">
      <c r="A5" s="19" t="inlineStr">
        <is>
          <t>Metric</t>
        </is>
      </c>
      <c r="B5" s="19" t="inlineStr">
        <is>
          <t>Value</t>
        </is>
      </c>
    </row>
    <row r="6">
      <c r="A6" s="114" t="inlineStr">
        <is>
          <t>Stop Month</t>
        </is>
      </c>
      <c r="B6" s="8" t="n">
        <v>301</v>
      </c>
    </row>
    <row r="7">
      <c r="A7" s="114" t="inlineStr">
        <is>
          <t>Total System Credits (G)</t>
        </is>
      </c>
      <c r="B7" s="128" t="n">
        <v>451295000000</v>
      </c>
    </row>
    <row r="8">
      <c r="A8" s="114" t="inlineStr">
        <is>
          <t>Escrow Wallet (J)</t>
        </is>
      </c>
      <c r="B8" s="128" t="n">
        <v>144962454916.518</v>
      </c>
    </row>
    <row r="9">
      <c r="A9" s="114" t="inlineStr">
        <is>
          <t>Cash/Credit Reserve (L = J/2G)</t>
        </is>
      </c>
      <c r="B9" s="22" t="n">
        <v>0.1606072025133428</v>
      </c>
    </row>
    <row r="10">
      <c r="A10" s="114" t="inlineStr">
        <is>
          <t>Monthly Interest @ 4%/yr</t>
        </is>
      </c>
      <c r="B10" s="128" t="n">
        <v>483208183.0550601</v>
      </c>
    </row>
    <row r="12">
      <c r="A12" s="112" t="inlineStr">
        <is>
          <t>Wind-Down Scenarios</t>
        </is>
      </c>
    </row>
    <row r="13" ht="26.25" customHeight="1" s="103">
      <c r="A13" s="19" t="inlineStr">
        <is>
          <t>Scenario</t>
        </is>
      </c>
      <c r="B13" s="19" t="inlineStr">
        <is>
          <t>L Min
Required</t>
        </is>
      </c>
      <c r="C13" s="19" t="inlineStr">
        <is>
          <t>Phase 2
(Accumulation)</t>
        </is>
      </c>
      <c r="D13" s="19" t="inlineStr">
        <is>
          <t>Phase 3
(Burn Period)</t>
        </is>
      </c>
      <c r="E13" s="19" t="inlineStr">
        <is>
          <t>J at Phase 3
Start</t>
        </is>
      </c>
      <c r="F13" s="19" t="inlineStr">
        <is>
          <t>L at Phase 3
Start</t>
        </is>
      </c>
      <c r="G13" s="19" t="inlineStr">
        <is>
          <t>Total
Duration</t>
        </is>
      </c>
      <c r="H13" s="19" t="inlineStr">
        <is>
          <t>Monthly
Payout (Ph3)</t>
        </is>
      </c>
    </row>
    <row r="14">
      <c r="A14" s="23" t="inlineStr">
        <is>
          <t>5-Year</t>
        </is>
      </c>
      <c r="B14" s="24" t="n">
        <v>0.9063462346100909</v>
      </c>
      <c r="C14" s="23" t="inlineStr">
        <is>
          <t>520 mo (43.3 yr)</t>
        </is>
      </c>
      <c r="D14" s="23" t="inlineStr">
        <is>
          <t>60 mo (5 yr)</t>
        </is>
      </c>
      <c r="E14" s="129" t="n">
        <v>818051771933.8541</v>
      </c>
      <c r="F14" s="24" t="n">
        <v>0.9063381734052606</v>
      </c>
      <c r="G14" s="23" t="inlineStr">
        <is>
          <t>881 mo (73.4 yr)</t>
        </is>
      </c>
      <c r="H14" s="130" t="n">
        <v>15043166666.66667</v>
      </c>
    </row>
    <row r="15">
      <c r="A15" s="27" t="inlineStr">
        <is>
          <t>7-Year</t>
        </is>
      </c>
      <c r="B15" s="28" t="n">
        <v>0.872200923372409</v>
      </c>
      <c r="C15" s="27" t="inlineStr">
        <is>
          <t>508 mo (42.3 yr)</t>
        </is>
      </c>
      <c r="D15" s="27" t="inlineStr">
        <is>
          <t>84 mo (7 yr)</t>
        </is>
      </c>
      <c r="E15" s="131" t="n">
        <v>786027787109.1968</v>
      </c>
      <c r="F15" s="28" t="n">
        <v>0.8708580718922178</v>
      </c>
      <c r="G15" s="27" t="inlineStr">
        <is>
          <t>893 mo (74.4 yr)</t>
        </is>
      </c>
      <c r="H15" s="132" t="n">
        <v>10745119047.61905</v>
      </c>
    </row>
    <row r="16">
      <c r="A16" s="31" t="inlineStr">
        <is>
          <t>10-Year</t>
        </is>
      </c>
      <c r="B16" s="32" t="n">
        <v>0.8241998849109017</v>
      </c>
      <c r="C16" s="31" t="inlineStr">
        <is>
          <t>491 mo (40.9 yr)</t>
        </is>
      </c>
      <c r="D16" s="31" t="inlineStr">
        <is>
          <t>120 mo (10 yr)</t>
        </is>
      </c>
      <c r="E16" s="133" t="n">
        <v>742794713738.8995</v>
      </c>
      <c r="F16" s="32" t="n">
        <v>0.8229591661096395</v>
      </c>
      <c r="G16" s="31" t="inlineStr">
        <is>
          <t>912 mo (76.0 yr)</t>
        </is>
      </c>
      <c r="H16" s="134" t="n">
        <v>7521583333.333333</v>
      </c>
    </row>
    <row r="17">
      <c r="A17" s="35" t="inlineStr">
        <is>
          <t>12-Year</t>
        </is>
      </c>
      <c r="B17" s="36" t="n">
        <v>0.7942012670705398</v>
      </c>
      <c r="C17" s="35" t="inlineStr">
        <is>
          <t>480 mo (40.0 yr)</t>
        </is>
      </c>
      <c r="D17" s="35" t="inlineStr">
        <is>
          <t>144 mo (12 yr)</t>
        </is>
      </c>
      <c r="E17" s="135" t="n">
        <v>716095846454.9991</v>
      </c>
      <c r="F17" s="36" t="n">
        <v>0.7933788834963816</v>
      </c>
      <c r="G17" s="35" t="inlineStr">
        <is>
          <t>925 mo (77.1 yr)</t>
        </is>
      </c>
      <c r="H17" s="136" t="n">
        <v>6267986111.111111</v>
      </c>
    </row>
    <row r="18">
      <c r="A18" s="39" t="inlineStr">
        <is>
          <t>15-Year</t>
        </is>
      </c>
      <c r="B18" s="40" t="n">
        <v>0.7519806065099559</v>
      </c>
      <c r="C18" s="39" t="inlineStr">
        <is>
          <t>464 mo (38.7 yr)</t>
        </is>
      </c>
      <c r="D18" s="39" t="inlineStr">
        <is>
          <t>180 mo (15 yr)</t>
        </is>
      </c>
      <c r="E18" s="137" t="n">
        <v>678964864508.7986</v>
      </c>
      <c r="F18" s="40" t="n">
        <v>0.7522406236594673</v>
      </c>
      <c r="G18" s="39" t="inlineStr">
        <is>
          <t>945 mo (78.8 yr)</t>
        </is>
      </c>
      <c r="H18" s="138" t="n">
        <v>5014388888.888889</v>
      </c>
    </row>
    <row r="20">
      <c r="A20" s="114" t="inlineStr">
        <is>
          <t>Notes</t>
        </is>
      </c>
    </row>
    <row r="21">
      <c r="A21" s="111" t="inlineStr">
        <is>
          <t>• Phase 1: Normal operations, P=0 (no burns). Stops when J peaks.</t>
        </is>
      </c>
    </row>
    <row r="22">
      <c r="A22" s="111" t="inlineStr">
        <is>
          <t>• Phase 2: Minting stops. G frozen. J compounds at 4%/yr. No admin fees, no Q transfers.</t>
        </is>
      </c>
    </row>
    <row r="23">
      <c r="A23" s="111" t="inlineStr">
        <is>
          <t>• Phase 3: Constant burns at $2/credit. Rate = Total Credits / Wind-Down Months.</t>
        </is>
      </c>
    </row>
    <row r="24">
      <c r="A24" s="111" t="inlineStr">
        <is>
          <t>• L_min = (1 − e^(−r·T)) / (r·T) — ensures J and G reach zero simultaneously.</t>
        </is>
      </c>
    </row>
    <row r="25">
      <c r="A25" s="111" t="inlineStr">
        <is>
          <t>• See "Phase 2 - Accumulation" and "Phase 3 - Wind-Down" sheets for month-by-month detail.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103" min="1" max="1"/>
    <col width="18" customWidth="1" style="103" min="2" max="2"/>
    <col width="16" customWidth="1" style="103" min="3" max="4"/>
    <col width="14" customWidth="1" style="103" min="5" max="5"/>
    <col width="16" customWidth="1" style="103" min="6" max="6"/>
    <col width="14" customWidth="1" style="103" min="7" max="7"/>
    <col width="16" customWidth="1" style="103" min="8" max="8"/>
    <col width="14" customWidth="1" style="103" min="9" max="9"/>
    <col width="16" customWidth="1" style="103" min="10" max="10"/>
    <col width="14" customWidth="1" style="103" min="11" max="11"/>
    <col width="16" customWidth="1" style="103" min="12" max="12"/>
    <col width="14" customWidth="1" style="103" min="13" max="13"/>
  </cols>
  <sheetData>
    <row r="1" ht="17.25" customHeight="1" s="103">
      <c r="A1" s="109" t="inlineStr">
        <is>
          <t>Phase 2 — Escrow Accumulation (Minting Stopped)</t>
        </is>
      </c>
    </row>
    <row r="2">
      <c r="A2" s="108" t="inlineStr">
        <is>
          <t>G frozen at 451.295B credits | J compounds at 4%/yr monthly | No admin fees, no Q transfers</t>
        </is>
      </c>
    </row>
    <row r="3" ht="26.25" customHeight="1" s="103">
      <c r="A3" s="19" t="inlineStr">
        <is>
          <t>Month
(Phase 2)</t>
        </is>
      </c>
      <c r="B3" s="19" t="inlineStr">
        <is>
          <t>Escrow (J)
All Scenarios</t>
        </is>
      </c>
      <c r="C3" s="19" t="inlineStr">
        <is>
          <t>G (frozen)</t>
        </is>
      </c>
      <c r="D3" s="110" t="inlineStr">
        <is>
          <t>5-Year
L (J/2G)</t>
        </is>
      </c>
      <c r="E3" s="110" t="inlineStr">
        <is>
          <t>Reached
L_min?</t>
        </is>
      </c>
      <c r="F3" s="110" t="inlineStr">
        <is>
          <t>7-Year
L (J/2G)</t>
        </is>
      </c>
      <c r="G3" s="110" t="inlineStr">
        <is>
          <t>Reached
L_min?</t>
        </is>
      </c>
      <c r="H3" s="110" t="inlineStr">
        <is>
          <t>10-Year
L (J/2G)</t>
        </is>
      </c>
      <c r="I3" s="110" t="inlineStr">
        <is>
          <t>Reached
L_min?</t>
        </is>
      </c>
      <c r="J3" s="110" t="inlineStr">
        <is>
          <t>12-Year
L (J/2G)</t>
        </is>
      </c>
      <c r="K3" s="110" t="inlineStr">
        <is>
          <t>Reached
L_min?</t>
        </is>
      </c>
      <c r="L3" s="110" t="inlineStr">
        <is>
          <t>15-Year
L (J/2G)</t>
        </is>
      </c>
      <c r="M3" s="110" t="inlineStr">
        <is>
          <t>Reached
L_min?</t>
        </is>
      </c>
    </row>
    <row r="4">
      <c r="A4" t="n">
        <v>0</v>
      </c>
      <c r="B4" s="128" t="n">
        <v>144962454916.518</v>
      </c>
      <c r="C4" s="128" t="n">
        <v>451295000000</v>
      </c>
      <c r="D4" s="22" t="n">
        <v>0.1606072025133428</v>
      </c>
      <c r="E4" t="inlineStr">
        <is>
          <t>START</t>
        </is>
      </c>
      <c r="F4" s="22" t="n">
        <v>0.1606072025133428</v>
      </c>
      <c r="G4" t="inlineStr">
        <is>
          <t>START</t>
        </is>
      </c>
      <c r="H4" s="22" t="n">
        <v>0.1606072025133428</v>
      </c>
      <c r="I4" t="inlineStr">
        <is>
          <t>START</t>
        </is>
      </c>
      <c r="J4" s="22" t="n">
        <v>0.1606072025133428</v>
      </c>
      <c r="K4" t="inlineStr">
        <is>
          <t>START</t>
        </is>
      </c>
      <c r="L4" s="22" t="n">
        <v>0.1606072025133428</v>
      </c>
      <c r="M4" t="inlineStr">
        <is>
          <t>START</t>
        </is>
      </c>
    </row>
    <row r="5">
      <c r="A5" s="7" t="n">
        <v>1</v>
      </c>
      <c r="B5" s="128" t="n">
        <v>145445663099.5731</v>
      </c>
      <c r="C5" s="128" t="n">
        <v>451295000000</v>
      </c>
      <c r="D5" s="22" t="n">
        <v>0.1611425598550539</v>
      </c>
      <c r="E5" t="inlineStr">
        <is>
          <t>&lt; target</t>
        </is>
      </c>
      <c r="F5" s="22" t="n">
        <v>0.1611425598550539</v>
      </c>
      <c r="G5" t="inlineStr">
        <is>
          <t>&lt; target</t>
        </is>
      </c>
      <c r="H5" s="22" t="n">
        <v>0.1611425598550539</v>
      </c>
      <c r="I5" t="inlineStr">
        <is>
          <t>&lt; target</t>
        </is>
      </c>
      <c r="J5" s="22" t="n">
        <v>0.1611425598550539</v>
      </c>
      <c r="K5" t="inlineStr">
        <is>
          <t>&lt; target</t>
        </is>
      </c>
      <c r="L5" s="22" t="n">
        <v>0.1611425598550539</v>
      </c>
      <c r="M5" t="inlineStr">
        <is>
          <t>&lt; target</t>
        </is>
      </c>
    </row>
    <row r="6">
      <c r="A6" s="45" t="n">
        <v>2</v>
      </c>
      <c r="B6" s="139" t="n">
        <v>145930481976.5717</v>
      </c>
      <c r="C6" s="139" t="n">
        <v>451295000000</v>
      </c>
      <c r="D6" s="47" t="n">
        <v>0.1616797017212375</v>
      </c>
      <c r="E6" s="48" t="inlineStr">
        <is>
          <t>&lt; target</t>
        </is>
      </c>
      <c r="F6" s="47" t="n">
        <v>0.1616797017212375</v>
      </c>
      <c r="G6" s="48" t="inlineStr">
        <is>
          <t>&lt; target</t>
        </is>
      </c>
      <c r="H6" s="47" t="n">
        <v>0.1616797017212375</v>
      </c>
      <c r="I6" s="48" t="inlineStr">
        <is>
          <t>&lt; target</t>
        </is>
      </c>
      <c r="J6" s="47" t="n">
        <v>0.1616797017212375</v>
      </c>
      <c r="K6" s="48" t="inlineStr">
        <is>
          <t>&lt; target</t>
        </is>
      </c>
      <c r="L6" s="47" t="n">
        <v>0.1616797017212375</v>
      </c>
      <c r="M6" s="48" t="inlineStr">
        <is>
          <t>&lt; target</t>
        </is>
      </c>
    </row>
    <row r="7">
      <c r="A7" s="7" t="n">
        <v>3</v>
      </c>
      <c r="B7" s="128" t="n">
        <v>146416916916.4936</v>
      </c>
      <c r="C7" s="128" t="n">
        <v>451295000000</v>
      </c>
      <c r="D7" s="22" t="n">
        <v>0.1622186340603082</v>
      </c>
      <c r="E7" t="inlineStr">
        <is>
          <t>&lt; target</t>
        </is>
      </c>
      <c r="F7" s="22" t="n">
        <v>0.1622186340603082</v>
      </c>
      <c r="G7" t="inlineStr">
        <is>
          <t>&lt; target</t>
        </is>
      </c>
      <c r="H7" s="22" t="n">
        <v>0.1622186340603082</v>
      </c>
      <c r="I7" t="inlineStr">
        <is>
          <t>&lt; target</t>
        </is>
      </c>
      <c r="J7" s="22" t="n">
        <v>0.1622186340603082</v>
      </c>
      <c r="K7" t="inlineStr">
        <is>
          <t>&lt; target</t>
        </is>
      </c>
      <c r="L7" s="22" t="n">
        <v>0.1622186340603082</v>
      </c>
      <c r="M7" t="inlineStr">
        <is>
          <t>&lt; target</t>
        </is>
      </c>
    </row>
    <row r="8">
      <c r="A8" s="45" t="n">
        <v>4</v>
      </c>
      <c r="B8" s="139" t="n">
        <v>146904973306.2153</v>
      </c>
      <c r="C8" s="139" t="n">
        <v>451295000000</v>
      </c>
      <c r="D8" s="47" t="n">
        <v>0.1627593628405093</v>
      </c>
      <c r="E8" s="48" t="inlineStr">
        <is>
          <t>&lt; target</t>
        </is>
      </c>
      <c r="F8" s="47" t="n">
        <v>0.1627593628405093</v>
      </c>
      <c r="G8" s="48" t="inlineStr">
        <is>
          <t>&lt; target</t>
        </is>
      </c>
      <c r="H8" s="47" t="n">
        <v>0.1627593628405093</v>
      </c>
      <c r="I8" s="48" t="inlineStr">
        <is>
          <t>&lt; target</t>
        </is>
      </c>
      <c r="J8" s="47" t="n">
        <v>0.1627593628405093</v>
      </c>
      <c r="K8" s="48" t="inlineStr">
        <is>
          <t>&lt; target</t>
        </is>
      </c>
      <c r="L8" s="47" t="n">
        <v>0.1627593628405093</v>
      </c>
      <c r="M8" s="48" t="inlineStr">
        <is>
          <t>&lt; target</t>
        </is>
      </c>
    </row>
    <row r="9">
      <c r="A9" s="7" t="n">
        <v>5</v>
      </c>
      <c r="B9" s="128" t="n">
        <v>147394656550.5693</v>
      </c>
      <c r="C9" s="128" t="n">
        <v>451295000000</v>
      </c>
      <c r="D9" s="22" t="n">
        <v>0.1633018940499777</v>
      </c>
      <c r="E9" t="inlineStr">
        <is>
          <t>&lt; target</t>
        </is>
      </c>
      <c r="F9" s="22" t="n">
        <v>0.1633018940499777</v>
      </c>
      <c r="G9" t="inlineStr">
        <is>
          <t>&lt; target</t>
        </is>
      </c>
      <c r="H9" s="22" t="n">
        <v>0.1633018940499777</v>
      </c>
      <c r="I9" t="inlineStr">
        <is>
          <t>&lt; target</t>
        </is>
      </c>
      <c r="J9" s="22" t="n">
        <v>0.1633018940499777</v>
      </c>
      <c r="K9" t="inlineStr">
        <is>
          <t>&lt; target</t>
        </is>
      </c>
      <c r="L9" s="22" t="n">
        <v>0.1633018940499777</v>
      </c>
      <c r="M9" t="inlineStr">
        <is>
          <t>&lt; target</t>
        </is>
      </c>
    </row>
    <row r="10">
      <c r="A10" s="45" t="n">
        <v>6</v>
      </c>
      <c r="B10" s="139" t="n">
        <v>147885972072.4046</v>
      </c>
      <c r="C10" s="139" t="n">
        <v>451295000000</v>
      </c>
      <c r="D10" s="47" t="n">
        <v>0.163846233696811</v>
      </c>
      <c r="E10" s="48" t="inlineStr">
        <is>
          <t>&lt; target</t>
        </is>
      </c>
      <c r="F10" s="47" t="n">
        <v>0.163846233696811</v>
      </c>
      <c r="G10" s="48" t="inlineStr">
        <is>
          <t>&lt; target</t>
        </is>
      </c>
      <c r="H10" s="47" t="n">
        <v>0.163846233696811</v>
      </c>
      <c r="I10" s="48" t="inlineStr">
        <is>
          <t>&lt; target</t>
        </is>
      </c>
      <c r="J10" s="47" t="n">
        <v>0.163846233696811</v>
      </c>
      <c r="K10" s="48" t="inlineStr">
        <is>
          <t>&lt; target</t>
        </is>
      </c>
      <c r="L10" s="47" t="n">
        <v>0.163846233696811</v>
      </c>
      <c r="M10" s="48" t="inlineStr">
        <is>
          <t>&lt; target</t>
        </is>
      </c>
    </row>
    <row r="11">
      <c r="A11" s="7" t="n">
        <v>7</v>
      </c>
      <c r="B11" s="128" t="n">
        <v>148378925312.6459</v>
      </c>
      <c r="C11" s="128" t="n">
        <v>451295000000</v>
      </c>
      <c r="D11" s="22" t="n">
        <v>0.1643923878091336</v>
      </c>
      <c r="E11" t="inlineStr">
        <is>
          <t>&lt; target</t>
        </is>
      </c>
      <c r="F11" s="22" t="n">
        <v>0.1643923878091336</v>
      </c>
      <c r="G11" t="inlineStr">
        <is>
          <t>&lt; target</t>
        </is>
      </c>
      <c r="H11" s="22" t="n">
        <v>0.1643923878091336</v>
      </c>
      <c r="I11" t="inlineStr">
        <is>
          <t>&lt; target</t>
        </is>
      </c>
      <c r="J11" s="22" t="n">
        <v>0.1643923878091336</v>
      </c>
      <c r="K11" t="inlineStr">
        <is>
          <t>&lt; target</t>
        </is>
      </c>
      <c r="L11" s="22" t="n">
        <v>0.1643923878091336</v>
      </c>
      <c r="M11" t="inlineStr">
        <is>
          <t>&lt; target</t>
        </is>
      </c>
    </row>
    <row r="12">
      <c r="A12" s="45" t="n">
        <v>8</v>
      </c>
      <c r="B12" s="139" t="n">
        <v>148873521730.3548</v>
      </c>
      <c r="C12" s="139" t="n">
        <v>451295000000</v>
      </c>
      <c r="D12" s="47" t="n">
        <v>0.1649403624351641</v>
      </c>
      <c r="E12" s="48" t="inlineStr">
        <is>
          <t>&lt; target</t>
        </is>
      </c>
      <c r="F12" s="47" t="n">
        <v>0.1649403624351641</v>
      </c>
      <c r="G12" s="48" t="inlineStr">
        <is>
          <t>&lt; target</t>
        </is>
      </c>
      <c r="H12" s="47" t="n">
        <v>0.1649403624351641</v>
      </c>
      <c r="I12" s="48" t="inlineStr">
        <is>
          <t>&lt; target</t>
        </is>
      </c>
      <c r="J12" s="47" t="n">
        <v>0.1649403624351641</v>
      </c>
      <c r="K12" s="48" t="inlineStr">
        <is>
          <t>&lt; target</t>
        </is>
      </c>
      <c r="L12" s="47" t="n">
        <v>0.1649403624351641</v>
      </c>
      <c r="M12" s="48" t="inlineStr">
        <is>
          <t>&lt; target</t>
        </is>
      </c>
    </row>
    <row r="13">
      <c r="A13" s="7" t="n">
        <v>9</v>
      </c>
      <c r="B13" s="128" t="n">
        <v>149369766802.7893</v>
      </c>
      <c r="C13" s="128" t="n">
        <v>451295000000</v>
      </c>
      <c r="D13" s="22" t="n">
        <v>0.1654901636432813</v>
      </c>
      <c r="E13" t="inlineStr">
        <is>
          <t>&lt; target</t>
        </is>
      </c>
      <c r="F13" s="22" t="n">
        <v>0.1654901636432813</v>
      </c>
      <c r="G13" t="inlineStr">
        <is>
          <t>&lt; target</t>
        </is>
      </c>
      <c r="H13" s="22" t="n">
        <v>0.1654901636432813</v>
      </c>
      <c r="I13" t="inlineStr">
        <is>
          <t>&lt; target</t>
        </is>
      </c>
      <c r="J13" s="22" t="n">
        <v>0.1654901636432813</v>
      </c>
      <c r="K13" t="inlineStr">
        <is>
          <t>&lt; target</t>
        </is>
      </c>
      <c r="L13" s="22" t="n">
        <v>0.1654901636432813</v>
      </c>
      <c r="M13" t="inlineStr">
        <is>
          <t>&lt; target</t>
        </is>
      </c>
    </row>
    <row r="14">
      <c r="A14" s="45" t="n">
        <v>10</v>
      </c>
      <c r="B14" s="139" t="n">
        <v>149867666025.4653</v>
      </c>
      <c r="C14" s="139" t="n">
        <v>451295000000</v>
      </c>
      <c r="D14" s="47" t="n">
        <v>0.1660417975220923</v>
      </c>
      <c r="E14" s="48" t="inlineStr">
        <is>
          <t>&lt; target</t>
        </is>
      </c>
      <c r="F14" s="47" t="n">
        <v>0.1660417975220923</v>
      </c>
      <c r="G14" s="48" t="inlineStr">
        <is>
          <t>&lt; target</t>
        </is>
      </c>
      <c r="H14" s="47" t="n">
        <v>0.1660417975220923</v>
      </c>
      <c r="I14" s="48" t="inlineStr">
        <is>
          <t>&lt; target</t>
        </is>
      </c>
      <c r="J14" s="47" t="n">
        <v>0.1660417975220923</v>
      </c>
      <c r="K14" s="48" t="inlineStr">
        <is>
          <t>&lt; target</t>
        </is>
      </c>
      <c r="L14" s="47" t="n">
        <v>0.1660417975220923</v>
      </c>
      <c r="M14" s="48" t="inlineStr">
        <is>
          <t>&lt; target</t>
        </is>
      </c>
    </row>
    <row r="15">
      <c r="A15" s="7" t="n">
        <v>11</v>
      </c>
      <c r="B15" s="128" t="n">
        <v>150367224912.2169</v>
      </c>
      <c r="C15" s="128" t="n">
        <v>451295000000</v>
      </c>
      <c r="D15" s="22" t="n">
        <v>0.1665952701804993</v>
      </c>
      <c r="E15" t="inlineStr">
        <is>
          <t>&lt; target</t>
        </is>
      </c>
      <c r="F15" s="22" t="n">
        <v>0.1665952701804993</v>
      </c>
      <c r="G15" t="inlineStr">
        <is>
          <t>&lt; target</t>
        </is>
      </c>
      <c r="H15" s="22" t="n">
        <v>0.1665952701804993</v>
      </c>
      <c r="I15" t="inlineStr">
        <is>
          <t>&lt; target</t>
        </is>
      </c>
      <c r="J15" s="22" t="n">
        <v>0.1665952701804993</v>
      </c>
      <c r="K15" t="inlineStr">
        <is>
          <t>&lt; target</t>
        </is>
      </c>
      <c r="L15" s="22" t="n">
        <v>0.1665952701804993</v>
      </c>
      <c r="M15" t="inlineStr">
        <is>
          <t>&lt; target</t>
        </is>
      </c>
    </row>
    <row r="16">
      <c r="A16" s="45" t="n">
        <v>12</v>
      </c>
      <c r="B16" s="139" t="n">
        <v>150868448995.2576</v>
      </c>
      <c r="C16" s="139" t="n">
        <v>451295000000</v>
      </c>
      <c r="D16" s="47" t="n">
        <v>0.1671505877477676</v>
      </c>
      <c r="E16" s="48" t="inlineStr">
        <is>
          <t>&lt; target</t>
        </is>
      </c>
      <c r="F16" s="47" t="n">
        <v>0.1671505877477676</v>
      </c>
      <c r="G16" s="48" t="inlineStr">
        <is>
          <t>&lt; target</t>
        </is>
      </c>
      <c r="H16" s="47" t="n">
        <v>0.1671505877477676</v>
      </c>
      <c r="I16" s="48" t="inlineStr">
        <is>
          <t>&lt; target</t>
        </is>
      </c>
      <c r="J16" s="47" t="n">
        <v>0.1671505877477676</v>
      </c>
      <c r="K16" s="48" t="inlineStr">
        <is>
          <t>&lt; target</t>
        </is>
      </c>
      <c r="L16" s="47" t="n">
        <v>0.1671505877477676</v>
      </c>
      <c r="M16" s="48" t="inlineStr">
        <is>
          <t>&lt; target</t>
        </is>
      </c>
    </row>
    <row r="17">
      <c r="A17" s="7" t="n">
        <v>13</v>
      </c>
      <c r="B17" s="128" t="n">
        <v>151371343825.2418</v>
      </c>
      <c r="C17" s="128" t="n">
        <v>451295000000</v>
      </c>
      <c r="D17" s="22" t="n">
        <v>0.1677077563735935</v>
      </c>
      <c r="E17" t="inlineStr">
        <is>
          <t>&lt; target</t>
        </is>
      </c>
      <c r="F17" s="22" t="n">
        <v>0.1677077563735935</v>
      </c>
      <c r="G17" t="inlineStr">
        <is>
          <t>&lt; target</t>
        </is>
      </c>
      <c r="H17" s="22" t="n">
        <v>0.1677077563735935</v>
      </c>
      <c r="I17" t="inlineStr">
        <is>
          <t>&lt; target</t>
        </is>
      </c>
      <c r="J17" s="22" t="n">
        <v>0.1677077563735935</v>
      </c>
      <c r="K17" t="inlineStr">
        <is>
          <t>&lt; target</t>
        </is>
      </c>
      <c r="L17" s="22" t="n">
        <v>0.1677077563735935</v>
      </c>
      <c r="M17" t="inlineStr">
        <is>
          <t>&lt; target</t>
        </is>
      </c>
    </row>
    <row r="18">
      <c r="A18" s="45" t="n">
        <v>14</v>
      </c>
      <c r="B18" s="139" t="n">
        <v>151875914971.3259</v>
      </c>
      <c r="C18" s="139" t="n">
        <v>451295000000</v>
      </c>
      <c r="D18" s="47" t="n">
        <v>0.1682667822281722</v>
      </c>
      <c r="E18" s="48" t="inlineStr">
        <is>
          <t>&lt; target</t>
        </is>
      </c>
      <c r="F18" s="47" t="n">
        <v>0.1682667822281722</v>
      </c>
      <c r="G18" s="48" t="inlineStr">
        <is>
          <t>&lt; target</t>
        </is>
      </c>
      <c r="H18" s="47" t="n">
        <v>0.1682667822281722</v>
      </c>
      <c r="I18" s="48" t="inlineStr">
        <is>
          <t>&lt; target</t>
        </is>
      </c>
      <c r="J18" s="47" t="n">
        <v>0.1682667822281722</v>
      </c>
      <c r="K18" s="48" t="inlineStr">
        <is>
          <t>&lt; target</t>
        </is>
      </c>
      <c r="L18" s="47" t="n">
        <v>0.1682667822281722</v>
      </c>
      <c r="M18" s="48" t="inlineStr">
        <is>
          <t>&lt; target</t>
        </is>
      </c>
    </row>
    <row r="19">
      <c r="A19" s="7" t="n">
        <v>15</v>
      </c>
      <c r="B19" s="128" t="n">
        <v>152382168021.2303</v>
      </c>
      <c r="C19" s="128" t="n">
        <v>451295000000</v>
      </c>
      <c r="D19" s="22" t="n">
        <v>0.1688276715022661</v>
      </c>
      <c r="E19" t="inlineStr">
        <is>
          <t>&lt; target</t>
        </is>
      </c>
      <c r="F19" s="22" t="n">
        <v>0.1688276715022661</v>
      </c>
      <c r="G19" t="inlineStr">
        <is>
          <t>&lt; target</t>
        </is>
      </c>
      <c r="H19" s="22" t="n">
        <v>0.1688276715022661</v>
      </c>
      <c r="I19" t="inlineStr">
        <is>
          <t>&lt; target</t>
        </is>
      </c>
      <c r="J19" s="22" t="n">
        <v>0.1688276715022661</v>
      </c>
      <c r="K19" t="inlineStr">
        <is>
          <t>&lt; target</t>
        </is>
      </c>
      <c r="L19" s="22" t="n">
        <v>0.1688276715022661</v>
      </c>
      <c r="M19" t="inlineStr">
        <is>
          <t>&lt; target</t>
        </is>
      </c>
    </row>
    <row r="20">
      <c r="A20" s="45" t="n">
        <v>16</v>
      </c>
      <c r="B20" s="139" t="n">
        <v>152890108581.3011</v>
      </c>
      <c r="C20" s="139" t="n">
        <v>451295000000</v>
      </c>
      <c r="D20" s="47" t="n">
        <v>0.1693904304072736</v>
      </c>
      <c r="E20" s="48" t="inlineStr">
        <is>
          <t>&lt; target</t>
        </is>
      </c>
      <c r="F20" s="47" t="n">
        <v>0.1693904304072736</v>
      </c>
      <c r="G20" s="48" t="inlineStr">
        <is>
          <t>&lt; target</t>
        </is>
      </c>
      <c r="H20" s="47" t="n">
        <v>0.1693904304072736</v>
      </c>
      <c r="I20" s="48" t="inlineStr">
        <is>
          <t>&lt; target</t>
        </is>
      </c>
      <c r="J20" s="47" t="n">
        <v>0.1693904304072736</v>
      </c>
      <c r="K20" s="48" t="inlineStr">
        <is>
          <t>&lt; target</t>
        </is>
      </c>
      <c r="L20" s="47" t="n">
        <v>0.1693904304072736</v>
      </c>
      <c r="M20" s="48" t="inlineStr">
        <is>
          <t>&lt; target</t>
        </is>
      </c>
    </row>
    <row r="21">
      <c r="A21" s="7" t="n">
        <v>17</v>
      </c>
      <c r="B21" s="128" t="n">
        <v>153399742276.5722</v>
      </c>
      <c r="C21" s="128" t="n">
        <v>451295000000</v>
      </c>
      <c r="D21" s="22" t="n">
        <v>0.169955065175298</v>
      </c>
      <c r="E21" t="inlineStr">
        <is>
          <t>&lt; target</t>
        </is>
      </c>
      <c r="F21" s="22" t="n">
        <v>0.169955065175298</v>
      </c>
      <c r="G21" t="inlineStr">
        <is>
          <t>&lt; target</t>
        </is>
      </c>
      <c r="H21" s="22" t="n">
        <v>0.169955065175298</v>
      </c>
      <c r="I21" t="inlineStr">
        <is>
          <t>&lt; target</t>
        </is>
      </c>
      <c r="J21" s="22" t="n">
        <v>0.169955065175298</v>
      </c>
      <c r="K21" t="inlineStr">
        <is>
          <t>&lt; target</t>
        </is>
      </c>
      <c r="L21" s="22" t="n">
        <v>0.169955065175298</v>
      </c>
      <c r="M21" t="inlineStr">
        <is>
          <t>&lt; target</t>
        </is>
      </c>
    </row>
    <row r="22">
      <c r="A22" s="45" t="n">
        <v>18</v>
      </c>
      <c r="B22" s="139" t="n">
        <v>153911074750.8274</v>
      </c>
      <c r="C22" s="139" t="n">
        <v>451295000000</v>
      </c>
      <c r="D22" s="47" t="n">
        <v>0.1705215820592156</v>
      </c>
      <c r="E22" s="48" t="inlineStr">
        <is>
          <t>&lt; target</t>
        </is>
      </c>
      <c r="F22" s="47" t="n">
        <v>0.1705215820592156</v>
      </c>
      <c r="G22" s="48" t="inlineStr">
        <is>
          <t>&lt; target</t>
        </is>
      </c>
      <c r="H22" s="47" t="n">
        <v>0.1705215820592156</v>
      </c>
      <c r="I22" s="48" t="inlineStr">
        <is>
          <t>&lt; target</t>
        </is>
      </c>
      <c r="J22" s="47" t="n">
        <v>0.1705215820592156</v>
      </c>
      <c r="K22" s="48" t="inlineStr">
        <is>
          <t>&lt; target</t>
        </is>
      </c>
      <c r="L22" s="47" t="n">
        <v>0.1705215820592156</v>
      </c>
      <c r="M22" s="48" t="inlineStr">
        <is>
          <t>&lt; target</t>
        </is>
      </c>
    </row>
    <row r="23">
      <c r="A23" s="7" t="n">
        <v>19</v>
      </c>
      <c r="B23" s="128" t="n">
        <v>154424111666.6635</v>
      </c>
      <c r="C23" s="128" t="n">
        <v>451295000000</v>
      </c>
      <c r="D23" s="22" t="n">
        <v>0.1710899873327463</v>
      </c>
      <c r="E23" t="inlineStr">
        <is>
          <t>&lt; target</t>
        </is>
      </c>
      <c r="F23" s="22" t="n">
        <v>0.1710899873327463</v>
      </c>
      <c r="G23" t="inlineStr">
        <is>
          <t>&lt; target</t>
        </is>
      </c>
      <c r="H23" s="22" t="n">
        <v>0.1710899873327463</v>
      </c>
      <c r="I23" t="inlineStr">
        <is>
          <t>&lt; target</t>
        </is>
      </c>
      <c r="J23" s="22" t="n">
        <v>0.1710899873327463</v>
      </c>
      <c r="K23" t="inlineStr">
        <is>
          <t>&lt; target</t>
        </is>
      </c>
      <c r="L23" s="22" t="n">
        <v>0.1710899873327463</v>
      </c>
      <c r="M23" t="inlineStr">
        <is>
          <t>&lt; target</t>
        </is>
      </c>
    </row>
    <row r="24">
      <c r="A24" s="45" t="n">
        <v>20</v>
      </c>
      <c r="B24" s="139" t="n">
        <v>154938858705.5524</v>
      </c>
      <c r="C24" s="139" t="n">
        <v>451295000000</v>
      </c>
      <c r="D24" s="47" t="n">
        <v>0.1716602872905221</v>
      </c>
      <c r="E24" s="48" t="inlineStr">
        <is>
          <t>&lt; target</t>
        </is>
      </c>
      <c r="F24" s="47" t="n">
        <v>0.1716602872905221</v>
      </c>
      <c r="G24" s="48" t="inlineStr">
        <is>
          <t>&lt; target</t>
        </is>
      </c>
      <c r="H24" s="47" t="n">
        <v>0.1716602872905221</v>
      </c>
      <c r="I24" s="48" t="inlineStr">
        <is>
          <t>&lt; target</t>
        </is>
      </c>
      <c r="J24" s="47" t="n">
        <v>0.1716602872905221</v>
      </c>
      <c r="K24" s="48" t="inlineStr">
        <is>
          <t>&lt; target</t>
        </is>
      </c>
      <c r="L24" s="47" t="n">
        <v>0.1716602872905221</v>
      </c>
      <c r="M24" s="48" t="inlineStr">
        <is>
          <t>&lt; target</t>
        </is>
      </c>
    </row>
    <row r="25">
      <c r="A25" s="7" t="n">
        <v>21</v>
      </c>
      <c r="B25" s="128" t="n">
        <v>155455321567.9042</v>
      </c>
      <c r="C25" s="128" t="n">
        <v>451295000000</v>
      </c>
      <c r="D25" s="22" t="n">
        <v>0.1722324882481572</v>
      </c>
      <c r="E25" t="inlineStr">
        <is>
          <t>&lt; target</t>
        </is>
      </c>
      <c r="F25" s="22" t="n">
        <v>0.1722324882481572</v>
      </c>
      <c r="G25" t="inlineStr">
        <is>
          <t>&lt; target</t>
        </is>
      </c>
      <c r="H25" s="22" t="n">
        <v>0.1722324882481572</v>
      </c>
      <c r="I25" t="inlineStr">
        <is>
          <t>&lt; target</t>
        </is>
      </c>
      <c r="J25" s="22" t="n">
        <v>0.1722324882481572</v>
      </c>
      <c r="K25" t="inlineStr">
        <is>
          <t>&lt; target</t>
        </is>
      </c>
      <c r="L25" s="22" t="n">
        <v>0.1722324882481572</v>
      </c>
      <c r="M25" t="inlineStr">
        <is>
          <t>&lt; target</t>
        </is>
      </c>
    </row>
    <row r="26">
      <c r="A26" s="45" t="n">
        <v>22</v>
      </c>
      <c r="B26" s="139" t="n">
        <v>155973505973.1306</v>
      </c>
      <c r="C26" s="139" t="n">
        <v>451295000000</v>
      </c>
      <c r="D26" s="47" t="n">
        <v>0.1728065965423178</v>
      </c>
      <c r="E26" s="48" t="inlineStr">
        <is>
          <t>&lt; target</t>
        </is>
      </c>
      <c r="F26" s="47" t="n">
        <v>0.1728065965423178</v>
      </c>
      <c r="G26" s="48" t="inlineStr">
        <is>
          <t>&lt; target</t>
        </is>
      </c>
      <c r="H26" s="47" t="n">
        <v>0.1728065965423178</v>
      </c>
      <c r="I26" s="48" t="inlineStr">
        <is>
          <t>&lt; target</t>
        </is>
      </c>
      <c r="J26" s="47" t="n">
        <v>0.1728065965423178</v>
      </c>
      <c r="K26" s="48" t="inlineStr">
        <is>
          <t>&lt; target</t>
        </is>
      </c>
      <c r="L26" s="47" t="n">
        <v>0.1728065965423178</v>
      </c>
      <c r="M26" s="48" t="inlineStr">
        <is>
          <t>&lt; target</t>
        </is>
      </c>
    </row>
    <row r="27">
      <c r="A27" s="7" t="n">
        <v>23</v>
      </c>
      <c r="B27" s="128" t="n">
        <v>156493417659.7077</v>
      </c>
      <c r="C27" s="128" t="n">
        <v>451295000000</v>
      </c>
      <c r="D27" s="22" t="n">
        <v>0.1733826185307922</v>
      </c>
      <c r="E27" t="inlineStr">
        <is>
          <t>&lt; target</t>
        </is>
      </c>
      <c r="F27" s="22" t="n">
        <v>0.1733826185307922</v>
      </c>
      <c r="G27" t="inlineStr">
        <is>
          <t>&lt; target</t>
        </is>
      </c>
      <c r="H27" s="22" t="n">
        <v>0.1733826185307922</v>
      </c>
      <c r="I27" t="inlineStr">
        <is>
          <t>&lt; target</t>
        </is>
      </c>
      <c r="J27" s="22" t="n">
        <v>0.1733826185307922</v>
      </c>
      <c r="K27" t="inlineStr">
        <is>
          <t>&lt; target</t>
        </is>
      </c>
      <c r="L27" s="22" t="n">
        <v>0.1733826185307922</v>
      </c>
      <c r="M27" t="inlineStr">
        <is>
          <t>&lt; target</t>
        </is>
      </c>
    </row>
    <row r="28">
      <c r="A28" s="45" t="n">
        <v>24</v>
      </c>
      <c r="B28" s="139" t="n">
        <v>157015062385.2401</v>
      </c>
      <c r="C28" s="139" t="n">
        <v>451295000000</v>
      </c>
      <c r="D28" s="47" t="n">
        <v>0.1739605605925615</v>
      </c>
      <c r="E28" s="48" t="inlineStr">
        <is>
          <t>&lt; target</t>
        </is>
      </c>
      <c r="F28" s="47" t="n">
        <v>0.1739605605925615</v>
      </c>
      <c r="G28" s="48" t="inlineStr">
        <is>
          <t>&lt; target</t>
        </is>
      </c>
      <c r="H28" s="47" t="n">
        <v>0.1739605605925615</v>
      </c>
      <c r="I28" s="48" t="inlineStr">
        <is>
          <t>&lt; target</t>
        </is>
      </c>
      <c r="J28" s="47" t="n">
        <v>0.1739605605925615</v>
      </c>
      <c r="K28" s="48" t="inlineStr">
        <is>
          <t>&lt; target</t>
        </is>
      </c>
      <c r="L28" s="47" t="n">
        <v>0.1739605605925615</v>
      </c>
      <c r="M28" s="48" t="inlineStr">
        <is>
          <t>&lt; target</t>
        </is>
      </c>
    </row>
    <row r="29">
      <c r="A29" s="7" t="n">
        <v>25</v>
      </c>
      <c r="B29" s="128" t="n">
        <v>157538445926.5242</v>
      </c>
      <c r="C29" s="128" t="n">
        <v>451295000000</v>
      </c>
      <c r="D29" s="22" t="n">
        <v>0.17454042912787</v>
      </c>
      <c r="E29" t="inlineStr">
        <is>
          <t>&lt; target</t>
        </is>
      </c>
      <c r="F29" s="22" t="n">
        <v>0.17454042912787</v>
      </c>
      <c r="G29" t="inlineStr">
        <is>
          <t>&lt; target</t>
        </is>
      </c>
      <c r="H29" s="22" t="n">
        <v>0.17454042912787</v>
      </c>
      <c r="I29" t="inlineStr">
        <is>
          <t>&lt; target</t>
        </is>
      </c>
      <c r="J29" s="22" t="n">
        <v>0.17454042912787</v>
      </c>
      <c r="K29" t="inlineStr">
        <is>
          <t>&lt; target</t>
        </is>
      </c>
      <c r="L29" s="22" t="n">
        <v>0.17454042912787</v>
      </c>
      <c r="M29" t="inlineStr">
        <is>
          <t>&lt; target</t>
        </is>
      </c>
    </row>
    <row r="30">
      <c r="A30" s="45" t="n">
        <v>26</v>
      </c>
      <c r="B30" s="139" t="n">
        <v>158063574079.6127</v>
      </c>
      <c r="C30" s="139" t="n">
        <v>451295000000</v>
      </c>
      <c r="D30" s="47" t="n">
        <v>0.1751222305582963</v>
      </c>
      <c r="E30" s="48" t="inlineStr">
        <is>
          <t>&lt; target</t>
        </is>
      </c>
      <c r="F30" s="47" t="n">
        <v>0.1751222305582963</v>
      </c>
      <c r="G30" s="48" t="inlineStr">
        <is>
          <t>&lt; target</t>
        </is>
      </c>
      <c r="H30" s="47" t="n">
        <v>0.1751222305582963</v>
      </c>
      <c r="I30" s="48" t="inlineStr">
        <is>
          <t>&lt; target</t>
        </is>
      </c>
      <c r="J30" s="47" t="n">
        <v>0.1751222305582963</v>
      </c>
      <c r="K30" s="48" t="inlineStr">
        <is>
          <t>&lt; target</t>
        </is>
      </c>
      <c r="L30" s="47" t="n">
        <v>0.1751222305582963</v>
      </c>
      <c r="M30" s="48" t="inlineStr">
        <is>
          <t>&lt; target</t>
        </is>
      </c>
    </row>
    <row r="31">
      <c r="A31" s="7" t="n">
        <v>27</v>
      </c>
      <c r="B31" s="128" t="n">
        <v>158590452659.8781</v>
      </c>
      <c r="C31" s="128" t="n">
        <v>451295000000</v>
      </c>
      <c r="D31" s="22" t="n">
        <v>0.175705971326824</v>
      </c>
      <c r="E31" t="inlineStr">
        <is>
          <t>&lt; target</t>
        </is>
      </c>
      <c r="F31" s="22" t="n">
        <v>0.175705971326824</v>
      </c>
      <c r="G31" t="inlineStr">
        <is>
          <t>&lt; target</t>
        </is>
      </c>
      <c r="H31" s="22" t="n">
        <v>0.175705971326824</v>
      </c>
      <c r="I31" t="inlineStr">
        <is>
          <t>&lt; target</t>
        </is>
      </c>
      <c r="J31" s="22" t="n">
        <v>0.175705971326824</v>
      </c>
      <c r="K31" t="inlineStr">
        <is>
          <t>&lt; target</t>
        </is>
      </c>
      <c r="L31" s="22" t="n">
        <v>0.175705971326824</v>
      </c>
      <c r="M31" t="inlineStr">
        <is>
          <t>&lt; target</t>
        </is>
      </c>
    </row>
    <row r="32">
      <c r="A32" s="45" t="n">
        <v>28</v>
      </c>
      <c r="B32" s="139" t="n">
        <v>159119087502.0777</v>
      </c>
      <c r="C32" s="139" t="n">
        <v>451295000000</v>
      </c>
      <c r="D32" s="47" t="n">
        <v>0.1762916578979134</v>
      </c>
      <c r="E32" s="48" t="inlineStr">
        <is>
          <t>&lt; target</t>
        </is>
      </c>
      <c r="F32" s="47" t="n">
        <v>0.1762916578979134</v>
      </c>
      <c r="G32" s="48" t="inlineStr">
        <is>
          <t>&lt; target</t>
        </is>
      </c>
      <c r="H32" s="47" t="n">
        <v>0.1762916578979134</v>
      </c>
      <c r="I32" s="48" t="inlineStr">
        <is>
          <t>&lt; target</t>
        </is>
      </c>
      <c r="J32" s="47" t="n">
        <v>0.1762916578979134</v>
      </c>
      <c r="K32" s="48" t="inlineStr">
        <is>
          <t>&lt; target</t>
        </is>
      </c>
      <c r="L32" s="47" t="n">
        <v>0.1762916578979134</v>
      </c>
      <c r="M32" s="48" t="inlineStr">
        <is>
          <t>&lt; target</t>
        </is>
      </c>
    </row>
    <row r="33">
      <c r="A33" s="7" t="n">
        <v>29</v>
      </c>
      <c r="B33" s="128" t="n">
        <v>159649484460.4179</v>
      </c>
      <c r="C33" s="128" t="n">
        <v>451295000000</v>
      </c>
      <c r="D33" s="22" t="n">
        <v>0.1768792967575731</v>
      </c>
      <c r="E33" t="inlineStr">
        <is>
          <t>&lt; target</t>
        </is>
      </c>
      <c r="F33" s="22" t="n">
        <v>0.1768792967575731</v>
      </c>
      <c r="G33" t="inlineStr">
        <is>
          <t>&lt; target</t>
        </is>
      </c>
      <c r="H33" s="22" t="n">
        <v>0.1768792967575731</v>
      </c>
      <c r="I33" t="inlineStr">
        <is>
          <t>&lt; target</t>
        </is>
      </c>
      <c r="J33" s="22" t="n">
        <v>0.1768792967575731</v>
      </c>
      <c r="K33" t="inlineStr">
        <is>
          <t>&lt; target</t>
        </is>
      </c>
      <c r="L33" s="22" t="n">
        <v>0.1768792967575731</v>
      </c>
      <c r="M33" t="inlineStr">
        <is>
          <t>&lt; target</t>
        </is>
      </c>
    </row>
    <row r="34">
      <c r="A34" s="45" t="n">
        <v>30</v>
      </c>
      <c r="B34" s="139" t="n">
        <v>160181649408.6194</v>
      </c>
      <c r="C34" s="139" t="n">
        <v>451295000000</v>
      </c>
      <c r="D34" s="47" t="n">
        <v>0.1774688944134317</v>
      </c>
      <c r="E34" s="48" t="inlineStr">
        <is>
          <t>&lt; target</t>
        </is>
      </c>
      <c r="F34" s="47" t="n">
        <v>0.1774688944134317</v>
      </c>
      <c r="G34" s="48" t="inlineStr">
        <is>
          <t>&lt; target</t>
        </is>
      </c>
      <c r="H34" s="47" t="n">
        <v>0.1774688944134317</v>
      </c>
      <c r="I34" s="48" t="inlineStr">
        <is>
          <t>&lt; target</t>
        </is>
      </c>
      <c r="J34" s="47" t="n">
        <v>0.1774688944134317</v>
      </c>
      <c r="K34" s="48" t="inlineStr">
        <is>
          <t>&lt; target</t>
        </is>
      </c>
      <c r="L34" s="47" t="n">
        <v>0.1774688944134317</v>
      </c>
      <c r="M34" s="48" t="inlineStr">
        <is>
          <t>&lt; target</t>
        </is>
      </c>
    </row>
    <row r="35">
      <c r="A35" s="7" t="n">
        <v>31</v>
      </c>
      <c r="B35" s="128" t="n">
        <v>160715588239.9814</v>
      </c>
      <c r="C35" s="128" t="n">
        <v>451295000000</v>
      </c>
      <c r="D35" s="22" t="n">
        <v>0.1780604573948098</v>
      </c>
      <c r="E35" t="inlineStr">
        <is>
          <t>&lt; target</t>
        </is>
      </c>
      <c r="F35" s="22" t="n">
        <v>0.1780604573948098</v>
      </c>
      <c r="G35" t="inlineStr">
        <is>
          <t>&lt; target</t>
        </is>
      </c>
      <c r="H35" s="22" t="n">
        <v>0.1780604573948098</v>
      </c>
      <c r="I35" t="inlineStr">
        <is>
          <t>&lt; target</t>
        </is>
      </c>
      <c r="J35" s="22" t="n">
        <v>0.1780604573948098</v>
      </c>
      <c r="K35" t="inlineStr">
        <is>
          <t>&lt; target</t>
        </is>
      </c>
      <c r="L35" s="22" t="n">
        <v>0.1780604573948098</v>
      </c>
      <c r="M35" t="inlineStr">
        <is>
          <t>&lt; target</t>
        </is>
      </c>
    </row>
    <row r="36">
      <c r="A36" s="45" t="n">
        <v>32</v>
      </c>
      <c r="B36" s="139" t="n">
        <v>161251306867.448</v>
      </c>
      <c r="C36" s="139" t="n">
        <v>451295000000</v>
      </c>
      <c r="D36" s="47" t="n">
        <v>0.1786539922527925</v>
      </c>
      <c r="E36" s="48" t="inlineStr">
        <is>
          <t>&lt; target</t>
        </is>
      </c>
      <c r="F36" s="47" t="n">
        <v>0.1786539922527925</v>
      </c>
      <c r="G36" s="48" t="inlineStr">
        <is>
          <t>&lt; target</t>
        </is>
      </c>
      <c r="H36" s="47" t="n">
        <v>0.1786539922527925</v>
      </c>
      <c r="I36" s="48" t="inlineStr">
        <is>
          <t>&lt; target</t>
        </is>
      </c>
      <c r="J36" s="47" t="n">
        <v>0.1786539922527925</v>
      </c>
      <c r="K36" s="48" t="inlineStr">
        <is>
          <t>&lt; target</t>
        </is>
      </c>
      <c r="L36" s="47" t="n">
        <v>0.1786539922527925</v>
      </c>
      <c r="M36" s="48" t="inlineStr">
        <is>
          <t>&lt; target</t>
        </is>
      </c>
    </row>
    <row r="37">
      <c r="A37" s="7" t="n">
        <v>33</v>
      </c>
      <c r="B37" s="128" t="n">
        <v>161788811223.6729</v>
      </c>
      <c r="C37" s="128" t="n">
        <v>451295000000</v>
      </c>
      <c r="D37" s="22" t="n">
        <v>0.1792495055603019</v>
      </c>
      <c r="E37" t="inlineStr">
        <is>
          <t>&lt; target</t>
        </is>
      </c>
      <c r="F37" s="22" t="n">
        <v>0.1792495055603019</v>
      </c>
      <c r="G37" t="inlineStr">
        <is>
          <t>&lt; target</t>
        </is>
      </c>
      <c r="H37" s="22" t="n">
        <v>0.1792495055603019</v>
      </c>
      <c r="I37" t="inlineStr">
        <is>
          <t>&lt; target</t>
        </is>
      </c>
      <c r="J37" s="22" t="n">
        <v>0.1792495055603019</v>
      </c>
      <c r="K37" t="inlineStr">
        <is>
          <t>&lt; target</t>
        </is>
      </c>
      <c r="L37" s="22" t="n">
        <v>0.1792495055603019</v>
      </c>
      <c r="M37" t="inlineStr">
        <is>
          <t>&lt; target</t>
        </is>
      </c>
    </row>
    <row r="38">
      <c r="A38" s="45" t="n">
        <v>34</v>
      </c>
      <c r="B38" s="139" t="n">
        <v>162328107261.0851</v>
      </c>
      <c r="C38" s="139" t="n">
        <v>451295000000</v>
      </c>
      <c r="D38" s="47" t="n">
        <v>0.1798470039121696</v>
      </c>
      <c r="E38" s="48" t="inlineStr">
        <is>
          <t>&lt; target</t>
        </is>
      </c>
      <c r="F38" s="47" t="n">
        <v>0.1798470039121696</v>
      </c>
      <c r="G38" s="48" t="inlineStr">
        <is>
          <t>&lt; target</t>
        </is>
      </c>
      <c r="H38" s="47" t="n">
        <v>0.1798470039121696</v>
      </c>
      <c r="I38" s="48" t="inlineStr">
        <is>
          <t>&lt; target</t>
        </is>
      </c>
      <c r="J38" s="47" t="n">
        <v>0.1798470039121696</v>
      </c>
      <c r="K38" s="48" t="inlineStr">
        <is>
          <t>&lt; target</t>
        </is>
      </c>
      <c r="L38" s="47" t="n">
        <v>0.1798470039121696</v>
      </c>
      <c r="M38" s="48" t="inlineStr">
        <is>
          <t>&lt; target</t>
        </is>
      </c>
    </row>
    <row r="39">
      <c r="A39" s="7" t="n">
        <v>35</v>
      </c>
      <c r="B39" s="128" t="n">
        <v>162869200951.9554</v>
      </c>
      <c r="C39" s="128" t="n">
        <v>451295000000</v>
      </c>
      <c r="D39" s="22" t="n">
        <v>0.1804464939252101</v>
      </c>
      <c r="E39" t="inlineStr">
        <is>
          <t>&lt; target</t>
        </is>
      </c>
      <c r="F39" s="22" t="n">
        <v>0.1804464939252101</v>
      </c>
      <c r="G39" t="inlineStr">
        <is>
          <t>&lt; target</t>
        </is>
      </c>
      <c r="H39" s="22" t="n">
        <v>0.1804464939252101</v>
      </c>
      <c r="I39" t="inlineStr">
        <is>
          <t>&lt; target</t>
        </is>
      </c>
      <c r="J39" s="22" t="n">
        <v>0.1804464939252101</v>
      </c>
      <c r="K39" t="inlineStr">
        <is>
          <t>&lt; target</t>
        </is>
      </c>
      <c r="L39" s="22" t="n">
        <v>0.1804464939252101</v>
      </c>
      <c r="M39" t="inlineStr">
        <is>
          <t>&lt; target</t>
        </is>
      </c>
    </row>
    <row r="40">
      <c r="A40" s="45" t="n">
        <v>36</v>
      </c>
      <c r="B40" s="139" t="n">
        <v>163412098288.4619</v>
      </c>
      <c r="C40" s="139" t="n">
        <v>451295000000</v>
      </c>
      <c r="D40" s="47" t="n">
        <v>0.1810479822382942</v>
      </c>
      <c r="E40" s="48" t="inlineStr">
        <is>
          <t>&lt; target</t>
        </is>
      </c>
      <c r="F40" s="47" t="n">
        <v>0.1810479822382942</v>
      </c>
      <c r="G40" s="48" t="inlineStr">
        <is>
          <t>&lt; target</t>
        </is>
      </c>
      <c r="H40" s="47" t="n">
        <v>0.1810479822382942</v>
      </c>
      <c r="I40" s="48" t="inlineStr">
        <is>
          <t>&lt; target</t>
        </is>
      </c>
      <c r="J40" s="47" t="n">
        <v>0.1810479822382942</v>
      </c>
      <c r="K40" s="48" t="inlineStr">
        <is>
          <t>&lt; target</t>
        </is>
      </c>
      <c r="L40" s="47" t="n">
        <v>0.1810479822382942</v>
      </c>
      <c r="M40" s="48" t="inlineStr">
        <is>
          <t>&lt; target</t>
        </is>
      </c>
    </row>
    <row r="41">
      <c r="A41" s="7" t="n">
        <v>37</v>
      </c>
      <c r="B41" s="128" t="n">
        <v>163956805282.7568</v>
      </c>
      <c r="C41" s="128" t="n">
        <v>451295000000</v>
      </c>
      <c r="D41" s="22" t="n">
        <v>0.1816514755124219</v>
      </c>
      <c r="E41" t="inlineStr">
        <is>
          <t>&lt; target</t>
        </is>
      </c>
      <c r="F41" s="22" t="n">
        <v>0.1816514755124219</v>
      </c>
      <c r="G41" t="inlineStr">
        <is>
          <t>&lt; target</t>
        </is>
      </c>
      <c r="H41" s="22" t="n">
        <v>0.1816514755124219</v>
      </c>
      <c r="I41" t="inlineStr">
        <is>
          <t>&lt; target</t>
        </is>
      </c>
      <c r="J41" s="22" t="n">
        <v>0.1816514755124219</v>
      </c>
      <c r="K41" t="inlineStr">
        <is>
          <t>&lt; target</t>
        </is>
      </c>
      <c r="L41" s="22" t="n">
        <v>0.1816514755124219</v>
      </c>
      <c r="M41" t="inlineStr">
        <is>
          <t>&lt; target</t>
        </is>
      </c>
    </row>
    <row r="42">
      <c r="A42" s="45" t="n">
        <v>38</v>
      </c>
      <c r="B42" s="139" t="n">
        <v>164503327967.0327</v>
      </c>
      <c r="C42" s="139" t="n">
        <v>451295000000</v>
      </c>
      <c r="D42" s="47" t="n">
        <v>0.1822569804307966</v>
      </c>
      <c r="E42" s="48" t="inlineStr">
        <is>
          <t>&lt; target</t>
        </is>
      </c>
      <c r="F42" s="47" t="n">
        <v>0.1822569804307966</v>
      </c>
      <c r="G42" s="48" t="inlineStr">
        <is>
          <t>&lt; target</t>
        </is>
      </c>
      <c r="H42" s="47" t="n">
        <v>0.1822569804307966</v>
      </c>
      <c r="I42" s="48" t="inlineStr">
        <is>
          <t>&lt; target</t>
        </is>
      </c>
      <c r="J42" s="47" t="n">
        <v>0.1822569804307966</v>
      </c>
      <c r="K42" s="48" t="inlineStr">
        <is>
          <t>&lt; target</t>
        </is>
      </c>
      <c r="L42" s="47" t="n">
        <v>0.1822569804307966</v>
      </c>
      <c r="M42" s="48" t="inlineStr">
        <is>
          <t>&lt; target</t>
        </is>
      </c>
    </row>
    <row r="43">
      <c r="A43" s="7" t="n">
        <v>39</v>
      </c>
      <c r="B43" s="128" t="n">
        <v>165051672393.5895</v>
      </c>
      <c r="C43" s="128" t="n">
        <v>451295000000</v>
      </c>
      <c r="D43" s="22" t="n">
        <v>0.1828645036988993</v>
      </c>
      <c r="E43" t="inlineStr">
        <is>
          <t>&lt; target</t>
        </is>
      </c>
      <c r="F43" s="22" t="n">
        <v>0.1828645036988993</v>
      </c>
      <c r="G43" t="inlineStr">
        <is>
          <t>&lt; target</t>
        </is>
      </c>
      <c r="H43" s="22" t="n">
        <v>0.1828645036988993</v>
      </c>
      <c r="I43" t="inlineStr">
        <is>
          <t>&lt; target</t>
        </is>
      </c>
      <c r="J43" s="22" t="n">
        <v>0.1828645036988993</v>
      </c>
      <c r="K43" t="inlineStr">
        <is>
          <t>&lt; target</t>
        </is>
      </c>
      <c r="L43" s="22" t="n">
        <v>0.1828645036988993</v>
      </c>
      <c r="M43" t="inlineStr">
        <is>
          <t>&lt; target</t>
        </is>
      </c>
    </row>
    <row r="44">
      <c r="A44" s="45" t="n">
        <v>40</v>
      </c>
      <c r="B44" s="139" t="n">
        <v>165601844634.9015</v>
      </c>
      <c r="C44" s="139" t="n">
        <v>451295000000</v>
      </c>
      <c r="D44" s="47" t="n">
        <v>0.1834740520445623</v>
      </c>
      <c r="E44" s="48" t="inlineStr">
        <is>
          <t>&lt; target</t>
        </is>
      </c>
      <c r="F44" s="47" t="n">
        <v>0.1834740520445623</v>
      </c>
      <c r="G44" s="48" t="inlineStr">
        <is>
          <t>&lt; target</t>
        </is>
      </c>
      <c r="H44" s="47" t="n">
        <v>0.1834740520445623</v>
      </c>
      <c r="I44" s="48" t="inlineStr">
        <is>
          <t>&lt; target</t>
        </is>
      </c>
      <c r="J44" s="47" t="n">
        <v>0.1834740520445623</v>
      </c>
      <c r="K44" s="48" t="inlineStr">
        <is>
          <t>&lt; target</t>
        </is>
      </c>
      <c r="L44" s="47" t="n">
        <v>0.1834740520445623</v>
      </c>
      <c r="M44" s="48" t="inlineStr">
        <is>
          <t>&lt; target</t>
        </is>
      </c>
    </row>
    <row r="45">
      <c r="A45" s="7" t="n">
        <v>41</v>
      </c>
      <c r="B45" s="128" t="n">
        <v>166153850783.6845</v>
      </c>
      <c r="C45" s="128" t="n">
        <v>451295000000</v>
      </c>
      <c r="D45" s="22" t="n">
        <v>0.1840856322180442</v>
      </c>
      <c r="E45" t="inlineStr">
        <is>
          <t>&lt; target</t>
        </is>
      </c>
      <c r="F45" s="22" t="n">
        <v>0.1840856322180442</v>
      </c>
      <c r="G45" t="inlineStr">
        <is>
          <t>&lt; target</t>
        </is>
      </c>
      <c r="H45" s="22" t="n">
        <v>0.1840856322180442</v>
      </c>
      <c r="I45" t="inlineStr">
        <is>
          <t>&lt; target</t>
        </is>
      </c>
      <c r="J45" s="22" t="n">
        <v>0.1840856322180442</v>
      </c>
      <c r="K45" t="inlineStr">
        <is>
          <t>&lt; target</t>
        </is>
      </c>
      <c r="L45" s="22" t="n">
        <v>0.1840856322180442</v>
      </c>
      <c r="M45" t="inlineStr">
        <is>
          <t>&lt; target</t>
        </is>
      </c>
    </row>
    <row r="46">
      <c r="A46" s="45" t="n">
        <v>42</v>
      </c>
      <c r="B46" s="139" t="n">
        <v>166707696952.9634</v>
      </c>
      <c r="C46" s="139" t="n">
        <v>451295000000</v>
      </c>
      <c r="D46" s="47" t="n">
        <v>0.1846992509921043</v>
      </c>
      <c r="E46" s="48" t="inlineStr">
        <is>
          <t>&lt; target</t>
        </is>
      </c>
      <c r="F46" s="47" t="n">
        <v>0.1846992509921043</v>
      </c>
      <c r="G46" s="48" t="inlineStr">
        <is>
          <t>&lt; target</t>
        </is>
      </c>
      <c r="H46" s="47" t="n">
        <v>0.1846992509921043</v>
      </c>
      <c r="I46" s="48" t="inlineStr">
        <is>
          <t>&lt; target</t>
        </is>
      </c>
      <c r="J46" s="47" t="n">
        <v>0.1846992509921043</v>
      </c>
      <c r="K46" s="48" t="inlineStr">
        <is>
          <t>&lt; target</t>
        </is>
      </c>
      <c r="L46" s="47" t="n">
        <v>0.1846992509921043</v>
      </c>
      <c r="M46" s="48" t="inlineStr">
        <is>
          <t>&lt; target</t>
        </is>
      </c>
    </row>
    <row r="47">
      <c r="A47" s="7" t="n">
        <v>43</v>
      </c>
      <c r="B47" s="128" t="n">
        <v>167263389276.14</v>
      </c>
      <c r="C47" s="128" t="n">
        <v>451295000000</v>
      </c>
      <c r="D47" s="22" t="n">
        <v>0.185314915162078</v>
      </c>
      <c r="E47" t="inlineStr">
        <is>
          <t>&lt; target</t>
        </is>
      </c>
      <c r="F47" s="22" t="n">
        <v>0.185314915162078</v>
      </c>
      <c r="G47" t="inlineStr">
        <is>
          <t>&lt; target</t>
        </is>
      </c>
      <c r="H47" s="22" t="n">
        <v>0.185314915162078</v>
      </c>
      <c r="I47" t="inlineStr">
        <is>
          <t>&lt; target</t>
        </is>
      </c>
      <c r="J47" s="22" t="n">
        <v>0.185314915162078</v>
      </c>
      <c r="K47" t="inlineStr">
        <is>
          <t>&lt; target</t>
        </is>
      </c>
      <c r="L47" s="22" t="n">
        <v>0.185314915162078</v>
      </c>
      <c r="M47" t="inlineStr">
        <is>
          <t>&lt; target</t>
        </is>
      </c>
    </row>
    <row r="48">
      <c r="A48" s="45" t="n">
        <v>44</v>
      </c>
      <c r="B48" s="139" t="n">
        <v>167820933907.0605</v>
      </c>
      <c r="C48" s="139" t="n">
        <v>451295000000</v>
      </c>
      <c r="D48" s="47" t="n">
        <v>0.1859326315459516</v>
      </c>
      <c r="E48" s="48" t="inlineStr">
        <is>
          <t>&lt; target</t>
        </is>
      </c>
      <c r="F48" s="47" t="n">
        <v>0.1859326315459516</v>
      </c>
      <c r="G48" s="48" t="inlineStr">
        <is>
          <t>&lt; target</t>
        </is>
      </c>
      <c r="H48" s="47" t="n">
        <v>0.1859326315459516</v>
      </c>
      <c r="I48" s="48" t="inlineStr">
        <is>
          <t>&lt; target</t>
        </is>
      </c>
      <c r="J48" s="47" t="n">
        <v>0.1859326315459516</v>
      </c>
      <c r="K48" s="48" t="inlineStr">
        <is>
          <t>&lt; target</t>
        </is>
      </c>
      <c r="L48" s="47" t="n">
        <v>0.1859326315459516</v>
      </c>
      <c r="M48" s="48" t="inlineStr">
        <is>
          <t>&lt; target</t>
        </is>
      </c>
    </row>
    <row r="49">
      <c r="A49" s="7" t="n">
        <v>45</v>
      </c>
      <c r="B49" s="128" t="n">
        <v>168380337020.084</v>
      </c>
      <c r="C49" s="128" t="n">
        <v>451295000000</v>
      </c>
      <c r="D49" s="22" t="n">
        <v>0.1865524069844381</v>
      </c>
      <c r="E49" t="inlineStr">
        <is>
          <t>&lt; target</t>
        </is>
      </c>
      <c r="F49" s="22" t="n">
        <v>0.1865524069844381</v>
      </c>
      <c r="G49" t="inlineStr">
        <is>
          <t>&lt; target</t>
        </is>
      </c>
      <c r="H49" s="22" t="n">
        <v>0.1865524069844381</v>
      </c>
      <c r="I49" t="inlineStr">
        <is>
          <t>&lt; target</t>
        </is>
      </c>
      <c r="J49" s="22" t="n">
        <v>0.1865524069844381</v>
      </c>
      <c r="K49" t="inlineStr">
        <is>
          <t>&lt; target</t>
        </is>
      </c>
      <c r="L49" s="22" t="n">
        <v>0.1865524069844381</v>
      </c>
      <c r="M49" t="inlineStr">
        <is>
          <t>&lt; target</t>
        </is>
      </c>
    </row>
    <row r="50">
      <c r="A50" s="45" t="n">
        <v>46</v>
      </c>
      <c r="B50" s="139" t="n">
        <v>168941604810.151</v>
      </c>
      <c r="C50" s="139" t="n">
        <v>451295000000</v>
      </c>
      <c r="D50" s="47" t="n">
        <v>0.187174248341053</v>
      </c>
      <c r="E50" s="48" t="inlineStr">
        <is>
          <t>&lt; target</t>
        </is>
      </c>
      <c r="F50" s="47" t="n">
        <v>0.187174248341053</v>
      </c>
      <c r="G50" s="48" t="inlineStr">
        <is>
          <t>&lt; target</t>
        </is>
      </c>
      <c r="H50" s="47" t="n">
        <v>0.187174248341053</v>
      </c>
      <c r="I50" s="48" t="inlineStr">
        <is>
          <t>&lt; target</t>
        </is>
      </c>
      <c r="J50" s="47" t="n">
        <v>0.187174248341053</v>
      </c>
      <c r="K50" s="48" t="inlineStr">
        <is>
          <t>&lt; target</t>
        </is>
      </c>
      <c r="L50" s="47" t="n">
        <v>0.187174248341053</v>
      </c>
      <c r="M50" s="48" t="inlineStr">
        <is>
          <t>&lt; target</t>
        </is>
      </c>
    </row>
    <row r="51">
      <c r="A51" s="7" t="n">
        <v>47</v>
      </c>
      <c r="B51" s="128" t="n">
        <v>169504743492.8515</v>
      </c>
      <c r="C51" s="128" t="n">
        <v>451295000000</v>
      </c>
      <c r="D51" s="22" t="n">
        <v>0.1877981625021898</v>
      </c>
      <c r="E51" t="inlineStr">
        <is>
          <t>&lt; target</t>
        </is>
      </c>
      <c r="F51" s="22" t="n">
        <v>0.1877981625021898</v>
      </c>
      <c r="G51" t="inlineStr">
        <is>
          <t>&lt; target</t>
        </is>
      </c>
      <c r="H51" s="22" t="n">
        <v>0.1877981625021898</v>
      </c>
      <c r="I51" t="inlineStr">
        <is>
          <t>&lt; target</t>
        </is>
      </c>
      <c r="J51" s="22" t="n">
        <v>0.1877981625021898</v>
      </c>
      <c r="K51" t="inlineStr">
        <is>
          <t>&lt; target</t>
        </is>
      </c>
      <c r="L51" s="22" t="n">
        <v>0.1877981625021898</v>
      </c>
      <c r="M51" t="inlineStr">
        <is>
          <t>&lt; target</t>
        </is>
      </c>
    </row>
    <row r="52">
      <c r="A52" s="45" t="n">
        <v>48</v>
      </c>
      <c r="B52" s="139" t="n">
        <v>170069759304.4944</v>
      </c>
      <c r="C52" s="139" t="n">
        <v>451295000000</v>
      </c>
      <c r="D52" s="47" t="n">
        <v>0.1884241563771971</v>
      </c>
      <c r="E52" s="48" t="inlineStr">
        <is>
          <t>&lt; target</t>
        </is>
      </c>
      <c r="F52" s="47" t="n">
        <v>0.1884241563771971</v>
      </c>
      <c r="G52" s="48" t="inlineStr">
        <is>
          <t>&lt; target</t>
        </is>
      </c>
      <c r="H52" s="47" t="n">
        <v>0.1884241563771971</v>
      </c>
      <c r="I52" s="48" t="inlineStr">
        <is>
          <t>&lt; target</t>
        </is>
      </c>
      <c r="J52" s="47" t="n">
        <v>0.1884241563771971</v>
      </c>
      <c r="K52" s="48" t="inlineStr">
        <is>
          <t>&lt; target</t>
        </is>
      </c>
      <c r="L52" s="47" t="n">
        <v>0.1884241563771971</v>
      </c>
      <c r="M52" s="48" t="inlineStr">
        <is>
          <t>&lt; target</t>
        </is>
      </c>
    </row>
    <row r="53">
      <c r="A53" s="7" t="n">
        <v>49</v>
      </c>
      <c r="B53" s="128" t="n">
        <v>170636658502.176</v>
      </c>
      <c r="C53" s="128" t="n">
        <v>451295000000</v>
      </c>
      <c r="D53" s="22" t="n">
        <v>0.1890522368984545</v>
      </c>
      <c r="E53" t="inlineStr">
        <is>
          <t>&lt; target</t>
        </is>
      </c>
      <c r="F53" s="22" t="n">
        <v>0.1890522368984545</v>
      </c>
      <c r="G53" t="inlineStr">
        <is>
          <t>&lt; target</t>
        </is>
      </c>
      <c r="H53" s="22" t="n">
        <v>0.1890522368984545</v>
      </c>
      <c r="I53" t="inlineStr">
        <is>
          <t>&lt; target</t>
        </is>
      </c>
      <c r="J53" s="22" t="n">
        <v>0.1890522368984545</v>
      </c>
      <c r="K53" t="inlineStr">
        <is>
          <t>&lt; target</t>
        </is>
      </c>
      <c r="L53" s="22" t="n">
        <v>0.1890522368984545</v>
      </c>
      <c r="M53" t="inlineStr">
        <is>
          <t>&lt; target</t>
        </is>
      </c>
    </row>
    <row r="54">
      <c r="A54" s="45" t="n">
        <v>50</v>
      </c>
      <c r="B54" s="139" t="n">
        <v>171205447363.8499</v>
      </c>
      <c r="C54" s="139" t="n">
        <v>451295000000</v>
      </c>
      <c r="D54" s="47" t="n">
        <v>0.1896824110214493</v>
      </c>
      <c r="E54" s="48" t="inlineStr">
        <is>
          <t>&lt; target</t>
        </is>
      </c>
      <c r="F54" s="47" t="n">
        <v>0.1896824110214493</v>
      </c>
      <c r="G54" s="48" t="inlineStr">
        <is>
          <t>&lt; target</t>
        </is>
      </c>
      <c r="H54" s="47" t="n">
        <v>0.1896824110214493</v>
      </c>
      <c r="I54" s="48" t="inlineStr">
        <is>
          <t>&lt; target</t>
        </is>
      </c>
      <c r="J54" s="47" t="n">
        <v>0.1896824110214493</v>
      </c>
      <c r="K54" s="48" t="inlineStr">
        <is>
          <t>&lt; target</t>
        </is>
      </c>
      <c r="L54" s="47" t="n">
        <v>0.1896824110214493</v>
      </c>
      <c r="M54" s="48" t="inlineStr">
        <is>
          <t>&lt; target</t>
        </is>
      </c>
    </row>
    <row r="55">
      <c r="A55" s="7" t="n">
        <v>51</v>
      </c>
      <c r="B55" s="128" t="n">
        <v>171776132188.3961</v>
      </c>
      <c r="C55" s="128" t="n">
        <v>451295000000</v>
      </c>
      <c r="D55" s="22" t="n">
        <v>0.1903146857248542</v>
      </c>
      <c r="E55" t="inlineStr">
        <is>
          <t>&lt; target</t>
        </is>
      </c>
      <c r="F55" s="22" t="n">
        <v>0.1903146857248542</v>
      </c>
      <c r="G55" t="inlineStr">
        <is>
          <t>&lt; target</t>
        </is>
      </c>
      <c r="H55" s="22" t="n">
        <v>0.1903146857248542</v>
      </c>
      <c r="I55" t="inlineStr">
        <is>
          <t>&lt; target</t>
        </is>
      </c>
      <c r="J55" s="22" t="n">
        <v>0.1903146857248542</v>
      </c>
      <c r="K55" t="inlineStr">
        <is>
          <t>&lt; target</t>
        </is>
      </c>
      <c r="L55" s="22" t="n">
        <v>0.1903146857248542</v>
      </c>
      <c r="M55" t="inlineStr">
        <is>
          <t>&lt; target</t>
        </is>
      </c>
    </row>
    <row r="56">
      <c r="A56" s="45" t="n">
        <v>52</v>
      </c>
      <c r="B56" s="139" t="n">
        <v>172348719295.6908</v>
      </c>
      <c r="C56" s="139" t="n">
        <v>451295000000</v>
      </c>
      <c r="D56" s="47" t="n">
        <v>0.1909490680106037</v>
      </c>
      <c r="E56" s="48" t="inlineStr">
        <is>
          <t>&lt; target</t>
        </is>
      </c>
      <c r="F56" s="47" t="n">
        <v>0.1909490680106037</v>
      </c>
      <c r="G56" s="48" t="inlineStr">
        <is>
          <t>&lt; target</t>
        </is>
      </c>
      <c r="H56" s="47" t="n">
        <v>0.1909490680106037</v>
      </c>
      <c r="I56" s="48" t="inlineStr">
        <is>
          <t>&lt; target</t>
        </is>
      </c>
      <c r="J56" s="47" t="n">
        <v>0.1909490680106037</v>
      </c>
      <c r="K56" s="48" t="inlineStr">
        <is>
          <t>&lt; target</t>
        </is>
      </c>
      <c r="L56" s="47" t="n">
        <v>0.1909490680106037</v>
      </c>
      <c r="M56" s="48" t="inlineStr">
        <is>
          <t>&lt; target</t>
        </is>
      </c>
    </row>
    <row r="57">
      <c r="A57" s="7" t="n">
        <v>53</v>
      </c>
      <c r="B57" s="128" t="n">
        <v>172923215026.6764</v>
      </c>
      <c r="C57" s="128" t="n">
        <v>451295000000</v>
      </c>
      <c r="D57" s="22" t="n">
        <v>0.1915855649039724</v>
      </c>
      <c r="E57" t="inlineStr">
        <is>
          <t>&lt; target</t>
        </is>
      </c>
      <c r="F57" s="22" t="n">
        <v>0.1915855649039724</v>
      </c>
      <c r="G57" t="inlineStr">
        <is>
          <t>&lt; target</t>
        </is>
      </c>
      <c r="H57" s="22" t="n">
        <v>0.1915855649039724</v>
      </c>
      <c r="I57" t="inlineStr">
        <is>
          <t>&lt; target</t>
        </is>
      </c>
      <c r="J57" s="22" t="n">
        <v>0.1915855649039724</v>
      </c>
      <c r="K57" t="inlineStr">
        <is>
          <t>&lt; target</t>
        </is>
      </c>
      <c r="L57" s="22" t="n">
        <v>0.1915855649039724</v>
      </c>
      <c r="M57" t="inlineStr">
        <is>
          <t>&lt; target</t>
        </is>
      </c>
    </row>
    <row r="58">
      <c r="A58" s="45" t="n">
        <v>54</v>
      </c>
      <c r="B58" s="139" t="n">
        <v>173499625743.4321</v>
      </c>
      <c r="C58" s="139" t="n">
        <v>451295000000</v>
      </c>
      <c r="D58" s="47" t="n">
        <v>0.1922241834536523</v>
      </c>
      <c r="E58" s="48" t="inlineStr">
        <is>
          <t>&lt; target</t>
        </is>
      </c>
      <c r="F58" s="47" t="n">
        <v>0.1922241834536523</v>
      </c>
      <c r="G58" s="48" t="inlineStr">
        <is>
          <t>&lt; target</t>
        </is>
      </c>
      <c r="H58" s="47" t="n">
        <v>0.1922241834536523</v>
      </c>
      <c r="I58" s="48" t="inlineStr">
        <is>
          <t>&lt; target</t>
        </is>
      </c>
      <c r="J58" s="47" t="n">
        <v>0.1922241834536523</v>
      </c>
      <c r="K58" s="48" t="inlineStr">
        <is>
          <t>&lt; target</t>
        </is>
      </c>
      <c r="L58" s="47" t="n">
        <v>0.1922241834536523</v>
      </c>
      <c r="M58" s="48" t="inlineStr">
        <is>
          <t>&lt; target</t>
        </is>
      </c>
    </row>
    <row r="59">
      <c r="A59" s="7" t="n">
        <v>55</v>
      </c>
      <c r="B59" s="128" t="n">
        <v>174077957829.2435</v>
      </c>
      <c r="C59" s="128" t="n">
        <v>451295000000</v>
      </c>
      <c r="D59" s="22" t="n">
        <v>0.1928649307318312</v>
      </c>
      <c r="E59" t="inlineStr">
        <is>
          <t>&lt; target</t>
        </is>
      </c>
      <c r="F59" s="22" t="n">
        <v>0.1928649307318312</v>
      </c>
      <c r="G59" t="inlineStr">
        <is>
          <t>&lt; target</t>
        </is>
      </c>
      <c r="H59" s="22" t="n">
        <v>0.1928649307318312</v>
      </c>
      <c r="I59" t="inlineStr">
        <is>
          <t>&lt; target</t>
        </is>
      </c>
      <c r="J59" s="22" t="n">
        <v>0.1928649307318312</v>
      </c>
      <c r="K59" t="inlineStr">
        <is>
          <t>&lt; target</t>
        </is>
      </c>
      <c r="L59" s="22" t="n">
        <v>0.1928649307318312</v>
      </c>
      <c r="M59" t="inlineStr">
        <is>
          <t>&lt; target</t>
        </is>
      </c>
    </row>
    <row r="60">
      <c r="A60" s="45" t="n">
        <v>56</v>
      </c>
      <c r="B60" s="139" t="n">
        <v>174658217688.6743</v>
      </c>
      <c r="C60" s="139" t="n">
        <v>451295000000</v>
      </c>
      <c r="D60" s="47" t="n">
        <v>0.1935078138342707</v>
      </c>
      <c r="E60" s="48" t="inlineStr">
        <is>
          <t>&lt; target</t>
        </is>
      </c>
      <c r="F60" s="47" t="n">
        <v>0.1935078138342707</v>
      </c>
      <c r="G60" s="48" t="inlineStr">
        <is>
          <t>&lt; target</t>
        </is>
      </c>
      <c r="H60" s="47" t="n">
        <v>0.1935078138342707</v>
      </c>
      <c r="I60" s="48" t="inlineStr">
        <is>
          <t>&lt; target</t>
        </is>
      </c>
      <c r="J60" s="47" t="n">
        <v>0.1935078138342707</v>
      </c>
      <c r="K60" s="48" t="inlineStr">
        <is>
          <t>&lt; target</t>
        </is>
      </c>
      <c r="L60" s="47" t="n">
        <v>0.1935078138342707</v>
      </c>
      <c r="M60" s="48" t="inlineStr">
        <is>
          <t>&lt; target</t>
        </is>
      </c>
    </row>
    <row r="61">
      <c r="A61" s="7" t="n">
        <v>57</v>
      </c>
      <c r="B61" s="128" t="n">
        <v>175240411747.6366</v>
      </c>
      <c r="C61" s="128" t="n">
        <v>451295000000</v>
      </c>
      <c r="D61" s="22" t="n">
        <v>0.1941528398803849</v>
      </c>
      <c r="E61" t="inlineStr">
        <is>
          <t>&lt; target</t>
        </is>
      </c>
      <c r="F61" s="22" t="n">
        <v>0.1941528398803849</v>
      </c>
      <c r="G61" t="inlineStr">
        <is>
          <t>&lt; target</t>
        </is>
      </c>
      <c r="H61" s="22" t="n">
        <v>0.1941528398803849</v>
      </c>
      <c r="I61" t="inlineStr">
        <is>
          <t>&lt; target</t>
        </is>
      </c>
      <c r="J61" s="22" t="n">
        <v>0.1941528398803849</v>
      </c>
      <c r="K61" t="inlineStr">
        <is>
          <t>&lt; target</t>
        </is>
      </c>
      <c r="L61" s="22" t="n">
        <v>0.1941528398803849</v>
      </c>
      <c r="M61" t="inlineStr">
        <is>
          <t>&lt; target</t>
        </is>
      </c>
    </row>
    <row r="62">
      <c r="A62" s="45" t="n">
        <v>58</v>
      </c>
      <c r="B62" s="139" t="n">
        <v>175824546453.4621</v>
      </c>
      <c r="C62" s="139" t="n">
        <v>451295000000</v>
      </c>
      <c r="D62" s="47" t="n">
        <v>0.1948000160133195</v>
      </c>
      <c r="E62" s="48" t="inlineStr">
        <is>
          <t>&lt; target</t>
        </is>
      </c>
      <c r="F62" s="47" t="n">
        <v>0.1948000160133195</v>
      </c>
      <c r="G62" s="48" t="inlineStr">
        <is>
          <t>&lt; target</t>
        </is>
      </c>
      <c r="H62" s="47" t="n">
        <v>0.1948000160133195</v>
      </c>
      <c r="I62" s="48" t="inlineStr">
        <is>
          <t>&lt; target</t>
        </is>
      </c>
      <c r="J62" s="47" t="n">
        <v>0.1948000160133195</v>
      </c>
      <c r="K62" s="48" t="inlineStr">
        <is>
          <t>&lt; target</t>
        </is>
      </c>
      <c r="L62" s="47" t="n">
        <v>0.1948000160133195</v>
      </c>
      <c r="M62" s="48" t="inlineStr">
        <is>
          <t>&lt; target</t>
        </is>
      </c>
    </row>
    <row r="63">
      <c r="A63" s="7" t="n">
        <v>59</v>
      </c>
      <c r="B63" s="128" t="n">
        <v>176410628274.9736</v>
      </c>
      <c r="C63" s="128" t="n">
        <v>451295000000</v>
      </c>
      <c r="D63" s="22" t="n">
        <v>0.1954493494000306</v>
      </c>
      <c r="E63" t="inlineStr">
        <is>
          <t>&lt; target</t>
        </is>
      </c>
      <c r="F63" s="22" t="n">
        <v>0.1954493494000306</v>
      </c>
      <c r="G63" t="inlineStr">
        <is>
          <t>&lt; target</t>
        </is>
      </c>
      <c r="H63" s="22" t="n">
        <v>0.1954493494000306</v>
      </c>
      <c r="I63" t="inlineStr">
        <is>
          <t>&lt; target</t>
        </is>
      </c>
      <c r="J63" s="22" t="n">
        <v>0.1954493494000306</v>
      </c>
      <c r="K63" t="inlineStr">
        <is>
          <t>&lt; target</t>
        </is>
      </c>
      <c r="L63" s="22" t="n">
        <v>0.1954493494000306</v>
      </c>
      <c r="M63" t="inlineStr">
        <is>
          <t>&lt; target</t>
        </is>
      </c>
    </row>
    <row r="64">
      <c r="A64" s="45" t="n">
        <v>60</v>
      </c>
      <c r="B64" s="139" t="n">
        <v>176998663702.5569</v>
      </c>
      <c r="C64" s="139" t="n">
        <v>451295000000</v>
      </c>
      <c r="D64" s="47" t="n">
        <v>0.196100847231364</v>
      </c>
      <c r="E64" s="48" t="inlineStr">
        <is>
          <t>&lt; target</t>
        </is>
      </c>
      <c r="F64" s="47" t="n">
        <v>0.196100847231364</v>
      </c>
      <c r="G64" s="48" t="inlineStr">
        <is>
          <t>&lt; target</t>
        </is>
      </c>
      <c r="H64" s="47" t="n">
        <v>0.196100847231364</v>
      </c>
      <c r="I64" s="48" t="inlineStr">
        <is>
          <t>&lt; target</t>
        </is>
      </c>
      <c r="J64" s="47" t="n">
        <v>0.196100847231364</v>
      </c>
      <c r="K64" s="48" t="inlineStr">
        <is>
          <t>&lt; target</t>
        </is>
      </c>
      <c r="L64" s="47" t="n">
        <v>0.196100847231364</v>
      </c>
      <c r="M64" s="48" t="inlineStr">
        <is>
          <t>&lt; target</t>
        </is>
      </c>
    </row>
    <row r="65">
      <c r="A65" s="7" t="n">
        <v>61</v>
      </c>
      <c r="B65" s="128" t="n">
        <v>177588659248.2321</v>
      </c>
      <c r="C65" s="128" t="n">
        <v>451295000000</v>
      </c>
      <c r="D65" s="22" t="n">
        <v>0.1967545167221353</v>
      </c>
      <c r="E65" t="inlineStr">
        <is>
          <t>&lt; target</t>
        </is>
      </c>
      <c r="F65" s="22" t="n">
        <v>0.1967545167221353</v>
      </c>
      <c r="G65" t="inlineStr">
        <is>
          <t>&lt; target</t>
        </is>
      </c>
      <c r="H65" s="22" t="n">
        <v>0.1967545167221353</v>
      </c>
      <c r="I65" t="inlineStr">
        <is>
          <t>&lt; target</t>
        </is>
      </c>
      <c r="J65" s="22" t="n">
        <v>0.1967545167221353</v>
      </c>
      <c r="K65" t="inlineStr">
        <is>
          <t>&lt; target</t>
        </is>
      </c>
      <c r="L65" s="22" t="n">
        <v>0.1967545167221353</v>
      </c>
      <c r="M65" t="inlineStr">
        <is>
          <t>&lt; target</t>
        </is>
      </c>
    </row>
    <row r="66">
      <c r="A66" s="45" t="n">
        <v>62</v>
      </c>
      <c r="B66" s="139" t="n">
        <v>178180621445.7262</v>
      </c>
      <c r="C66" s="139" t="n">
        <v>451295000000</v>
      </c>
      <c r="D66" s="47" t="n">
        <v>0.1974103651112091</v>
      </c>
      <c r="E66" s="48" t="inlineStr">
        <is>
          <t>&lt; target</t>
        </is>
      </c>
      <c r="F66" s="47" t="n">
        <v>0.1974103651112091</v>
      </c>
      <c r="G66" s="48" t="inlineStr">
        <is>
          <t>&lt; target</t>
        </is>
      </c>
      <c r="H66" s="47" t="n">
        <v>0.1974103651112091</v>
      </c>
      <c r="I66" s="48" t="inlineStr">
        <is>
          <t>&lt; target</t>
        </is>
      </c>
      <c r="J66" s="47" t="n">
        <v>0.1974103651112091</v>
      </c>
      <c r="K66" s="48" t="inlineStr">
        <is>
          <t>&lt; target</t>
        </is>
      </c>
      <c r="L66" s="47" t="n">
        <v>0.1974103651112091</v>
      </c>
      <c r="M66" s="48" t="inlineStr">
        <is>
          <t>&lt; target</t>
        </is>
      </c>
    </row>
    <row r="67">
      <c r="A67" s="7" t="n">
        <v>63</v>
      </c>
      <c r="B67" s="128" t="n">
        <v>178774556850.5453</v>
      </c>
      <c r="C67" s="128" t="n">
        <v>451295000000</v>
      </c>
      <c r="D67" s="22" t="n">
        <v>0.1980683996615798</v>
      </c>
      <c r="E67" t="inlineStr">
        <is>
          <t>&lt; target</t>
        </is>
      </c>
      <c r="F67" s="22" t="n">
        <v>0.1980683996615798</v>
      </c>
      <c r="G67" t="inlineStr">
        <is>
          <t>&lt; target</t>
        </is>
      </c>
      <c r="H67" s="22" t="n">
        <v>0.1980683996615798</v>
      </c>
      <c r="I67" t="inlineStr">
        <is>
          <t>&lt; target</t>
        </is>
      </c>
      <c r="J67" s="22" t="n">
        <v>0.1980683996615798</v>
      </c>
      <c r="K67" t="inlineStr">
        <is>
          <t>&lt; target</t>
        </is>
      </c>
      <c r="L67" s="22" t="n">
        <v>0.1980683996615798</v>
      </c>
      <c r="M67" t="inlineStr">
        <is>
          <t>&lt; target</t>
        </is>
      </c>
    </row>
    <row r="68">
      <c r="A68" s="45" t="n">
        <v>64</v>
      </c>
      <c r="B68" s="139" t="n">
        <v>179370472040.0471</v>
      </c>
      <c r="C68" s="139" t="n">
        <v>451295000000</v>
      </c>
      <c r="D68" s="47" t="n">
        <v>0.1987286276604517</v>
      </c>
      <c r="E68" s="48" t="inlineStr">
        <is>
          <t>&lt; target</t>
        </is>
      </c>
      <c r="F68" s="47" t="n">
        <v>0.1987286276604517</v>
      </c>
      <c r="G68" s="48" t="inlineStr">
        <is>
          <t>&lt; target</t>
        </is>
      </c>
      <c r="H68" s="47" t="n">
        <v>0.1987286276604517</v>
      </c>
      <c r="I68" s="48" t="inlineStr">
        <is>
          <t>&lt; target</t>
        </is>
      </c>
      <c r="J68" s="47" t="n">
        <v>0.1987286276604517</v>
      </c>
      <c r="K68" s="48" t="inlineStr">
        <is>
          <t>&lt; target</t>
        </is>
      </c>
      <c r="L68" s="47" t="n">
        <v>0.1987286276604517</v>
      </c>
      <c r="M68" s="48" t="inlineStr">
        <is>
          <t>&lt; target</t>
        </is>
      </c>
    </row>
    <row r="69">
      <c r="A69" s="7" t="n">
        <v>65</v>
      </c>
      <c r="B69" s="128" t="n">
        <v>179968373613.514</v>
      </c>
      <c r="C69" s="128" t="n">
        <v>451295000000</v>
      </c>
      <c r="D69" s="22" t="n">
        <v>0.1993910564193199</v>
      </c>
      <c r="E69" t="inlineStr">
        <is>
          <t>&lt; target</t>
        </is>
      </c>
      <c r="F69" s="22" t="n">
        <v>0.1993910564193199</v>
      </c>
      <c r="G69" t="inlineStr">
        <is>
          <t>&lt; target</t>
        </is>
      </c>
      <c r="H69" s="22" t="n">
        <v>0.1993910564193199</v>
      </c>
      <c r="I69" t="inlineStr">
        <is>
          <t>&lt; target</t>
        </is>
      </c>
      <c r="J69" s="22" t="n">
        <v>0.1993910564193199</v>
      </c>
      <c r="K69" t="inlineStr">
        <is>
          <t>&lt; target</t>
        </is>
      </c>
      <c r="L69" s="22" t="n">
        <v>0.1993910564193199</v>
      </c>
      <c r="M69" t="inlineStr">
        <is>
          <t>&lt; target</t>
        </is>
      </c>
    </row>
    <row r="70">
      <c r="A70" s="45" t="n">
        <v>66</v>
      </c>
      <c r="B70" s="139" t="n">
        <v>180568268192.2257</v>
      </c>
      <c r="C70" s="139" t="n">
        <v>451295000000</v>
      </c>
      <c r="D70" s="47" t="n">
        <v>0.200055693274051</v>
      </c>
      <c r="E70" s="48" t="inlineStr">
        <is>
          <t>&lt; target</t>
        </is>
      </c>
      <c r="F70" s="47" t="n">
        <v>0.200055693274051</v>
      </c>
      <c r="G70" s="48" t="inlineStr">
        <is>
          <t>&lt; target</t>
        </is>
      </c>
      <c r="H70" s="47" t="n">
        <v>0.200055693274051</v>
      </c>
      <c r="I70" s="48" t="inlineStr">
        <is>
          <t>&lt; target</t>
        </is>
      </c>
      <c r="J70" s="47" t="n">
        <v>0.200055693274051</v>
      </c>
      <c r="K70" s="48" t="inlineStr">
        <is>
          <t>&lt; target</t>
        </is>
      </c>
      <c r="L70" s="47" t="n">
        <v>0.200055693274051</v>
      </c>
      <c r="M70" s="48" t="inlineStr">
        <is>
          <t>&lt; target</t>
        </is>
      </c>
    </row>
    <row r="71">
      <c r="A71" s="7" t="n">
        <v>67</v>
      </c>
      <c r="B71" s="128" t="n">
        <v>181170162419.5331</v>
      </c>
      <c r="C71" s="128" t="n">
        <v>451295000000</v>
      </c>
      <c r="D71" s="22" t="n">
        <v>0.2007225455849645</v>
      </c>
      <c r="E71" t="inlineStr">
        <is>
          <t>&lt; target</t>
        </is>
      </c>
      <c r="F71" s="22" t="n">
        <v>0.2007225455849645</v>
      </c>
      <c r="G71" t="inlineStr">
        <is>
          <t>&lt; target</t>
        </is>
      </c>
      <c r="H71" s="22" t="n">
        <v>0.2007225455849645</v>
      </c>
      <c r="I71" t="inlineStr">
        <is>
          <t>&lt; target</t>
        </is>
      </c>
      <c r="J71" s="22" t="n">
        <v>0.2007225455849645</v>
      </c>
      <c r="K71" t="inlineStr">
        <is>
          <t>&lt; target</t>
        </is>
      </c>
      <c r="L71" s="22" t="n">
        <v>0.2007225455849645</v>
      </c>
      <c r="M71" t="inlineStr">
        <is>
          <t>&lt; target</t>
        </is>
      </c>
    </row>
    <row r="72">
      <c r="A72" s="45" t="n">
        <v>68</v>
      </c>
      <c r="B72" s="139" t="n">
        <v>181774062960.9316</v>
      </c>
      <c r="C72" s="139" t="n">
        <v>451295000000</v>
      </c>
      <c r="D72" s="47" t="n">
        <v>0.2013916207369144</v>
      </c>
      <c r="E72" s="48" t="inlineStr">
        <is>
          <t>&lt; target</t>
        </is>
      </c>
      <c r="F72" s="47" t="n">
        <v>0.2013916207369144</v>
      </c>
      <c r="G72" s="48" t="inlineStr">
        <is>
          <t>&lt; target</t>
        </is>
      </c>
      <c r="H72" s="47" t="n">
        <v>0.2013916207369144</v>
      </c>
      <c r="I72" s="48" t="inlineStr">
        <is>
          <t>&lt; target</t>
        </is>
      </c>
      <c r="J72" s="47" t="n">
        <v>0.2013916207369144</v>
      </c>
      <c r="K72" s="48" t="inlineStr">
        <is>
          <t>&lt; target</t>
        </is>
      </c>
      <c r="L72" s="47" t="n">
        <v>0.2013916207369144</v>
      </c>
      <c r="M72" s="48" t="inlineStr">
        <is>
          <t>&lt; target</t>
        </is>
      </c>
    </row>
    <row r="73">
      <c r="A73" s="7" t="n">
        <v>69</v>
      </c>
      <c r="B73" s="128" t="n">
        <v>182379976504.1347</v>
      </c>
      <c r="C73" s="128" t="n">
        <v>451295000000</v>
      </c>
      <c r="D73" s="22" t="n">
        <v>0.2020629261393708</v>
      </c>
      <c r="E73" t="inlineStr">
        <is>
          <t>&lt; target</t>
        </is>
      </c>
      <c r="F73" s="22" t="n">
        <v>0.2020629261393708</v>
      </c>
      <c r="G73" t="inlineStr">
        <is>
          <t>&lt; target</t>
        </is>
      </c>
      <c r="H73" s="22" t="n">
        <v>0.2020629261393708</v>
      </c>
      <c r="I73" t="inlineStr">
        <is>
          <t>&lt; target</t>
        </is>
      </c>
      <c r="J73" s="22" t="n">
        <v>0.2020629261393708</v>
      </c>
      <c r="K73" t="inlineStr">
        <is>
          <t>&lt; target</t>
        </is>
      </c>
      <c r="L73" s="22" t="n">
        <v>0.2020629261393708</v>
      </c>
      <c r="M73" t="inlineStr">
        <is>
          <t>&lt; target</t>
        </is>
      </c>
    </row>
    <row r="74">
      <c r="A74" s="45" t="n">
        <v>70</v>
      </c>
      <c r="B74" s="139" t="n">
        <v>182987909759.1485</v>
      </c>
      <c r="C74" s="139" t="n">
        <v>451295000000</v>
      </c>
      <c r="D74" s="47" t="n">
        <v>0.2027364692265021</v>
      </c>
      <c r="E74" s="48" t="inlineStr">
        <is>
          <t>&lt; target</t>
        </is>
      </c>
      <c r="F74" s="47" t="n">
        <v>0.2027364692265021</v>
      </c>
      <c r="G74" s="48" t="inlineStr">
        <is>
          <t>&lt; target</t>
        </is>
      </c>
      <c r="H74" s="47" t="n">
        <v>0.2027364692265021</v>
      </c>
      <c r="I74" s="48" t="inlineStr">
        <is>
          <t>&lt; target</t>
        </is>
      </c>
      <c r="J74" s="47" t="n">
        <v>0.2027364692265021</v>
      </c>
      <c r="K74" s="48" t="inlineStr">
        <is>
          <t>&lt; target</t>
        </is>
      </c>
      <c r="L74" s="47" t="n">
        <v>0.2027364692265021</v>
      </c>
      <c r="M74" s="48" t="inlineStr">
        <is>
          <t>&lt; target</t>
        </is>
      </c>
    </row>
    <row r="75">
      <c r="A75" s="7" t="n">
        <v>71</v>
      </c>
      <c r="B75" s="128" t="n">
        <v>183597869458.3457</v>
      </c>
      <c r="C75" s="128" t="n">
        <v>451295000000</v>
      </c>
      <c r="D75" s="22" t="n">
        <v>0.2034122574572571</v>
      </c>
      <c r="E75" t="inlineStr">
        <is>
          <t>&lt; target</t>
        </is>
      </c>
      <c r="F75" s="22" t="n">
        <v>0.2034122574572571</v>
      </c>
      <c r="G75" t="inlineStr">
        <is>
          <t>&lt; target</t>
        </is>
      </c>
      <c r="H75" s="22" t="n">
        <v>0.2034122574572571</v>
      </c>
      <c r="I75" t="inlineStr">
        <is>
          <t>&lt; target</t>
        </is>
      </c>
      <c r="J75" s="22" t="n">
        <v>0.2034122574572571</v>
      </c>
      <c r="K75" t="inlineStr">
        <is>
          <t>&lt; target</t>
        </is>
      </c>
      <c r="L75" s="22" t="n">
        <v>0.2034122574572571</v>
      </c>
      <c r="M75" t="inlineStr">
        <is>
          <t>&lt; target</t>
        </is>
      </c>
    </row>
    <row r="76">
      <c r="A76" s="45" t="n">
        <v>72</v>
      </c>
      <c r="B76" s="139" t="n">
        <v>184209862356.5402</v>
      </c>
      <c r="C76" s="139" t="n">
        <v>451295000000</v>
      </c>
      <c r="D76" s="47" t="n">
        <v>0.2040902983154479</v>
      </c>
      <c r="E76" s="48" t="inlineStr">
        <is>
          <t>&lt; target</t>
        </is>
      </c>
      <c r="F76" s="47" t="n">
        <v>0.2040902983154479</v>
      </c>
      <c r="G76" s="48" t="inlineStr">
        <is>
          <t>&lt; target</t>
        </is>
      </c>
      <c r="H76" s="47" t="n">
        <v>0.2040902983154479</v>
      </c>
      <c r="I76" s="48" t="inlineStr">
        <is>
          <t>&lt; target</t>
        </is>
      </c>
      <c r="J76" s="47" t="n">
        <v>0.2040902983154479</v>
      </c>
      <c r="K76" s="48" t="inlineStr">
        <is>
          <t>&lt; target</t>
        </is>
      </c>
      <c r="L76" s="47" t="n">
        <v>0.2040902983154479</v>
      </c>
      <c r="M76" s="48" t="inlineStr">
        <is>
          <t>&lt; target</t>
        </is>
      </c>
    </row>
    <row r="77">
      <c r="A77" s="7" t="n">
        <v>73</v>
      </c>
      <c r="B77" s="128" t="n">
        <v>184823895231.062</v>
      </c>
      <c r="C77" s="128" t="n">
        <v>451295000000</v>
      </c>
      <c r="D77" s="22" t="n">
        <v>0.2047705993098328</v>
      </c>
      <c r="E77" t="inlineStr">
        <is>
          <t>&lt; target</t>
        </is>
      </c>
      <c r="F77" s="22" t="n">
        <v>0.2047705993098328</v>
      </c>
      <c r="G77" t="inlineStr">
        <is>
          <t>&lt; target</t>
        </is>
      </c>
      <c r="H77" s="22" t="n">
        <v>0.2047705993098328</v>
      </c>
      <c r="I77" t="inlineStr">
        <is>
          <t>&lt; target</t>
        </is>
      </c>
      <c r="J77" s="22" t="n">
        <v>0.2047705993098328</v>
      </c>
      <c r="K77" t="inlineStr">
        <is>
          <t>&lt; target</t>
        </is>
      </c>
      <c r="L77" s="22" t="n">
        <v>0.2047705993098328</v>
      </c>
      <c r="M77" t="inlineStr">
        <is>
          <t>&lt; target</t>
        </is>
      </c>
    </row>
    <row r="78">
      <c r="A78" s="45" t="n">
        <v>74</v>
      </c>
      <c r="B78" s="139" t="n">
        <v>185439974881.8322</v>
      </c>
      <c r="C78" s="139" t="n">
        <v>451295000000</v>
      </c>
      <c r="D78" s="47" t="n">
        <v>0.2054531679741989</v>
      </c>
      <c r="E78" s="48" t="inlineStr">
        <is>
          <t>&lt; target</t>
        </is>
      </c>
      <c r="F78" s="47" t="n">
        <v>0.2054531679741989</v>
      </c>
      <c r="G78" s="48" t="inlineStr">
        <is>
          <t>&lt; target</t>
        </is>
      </c>
      <c r="H78" s="47" t="n">
        <v>0.2054531679741989</v>
      </c>
      <c r="I78" s="48" t="inlineStr">
        <is>
          <t>&lt; target</t>
        </is>
      </c>
      <c r="J78" s="47" t="n">
        <v>0.2054531679741989</v>
      </c>
      <c r="K78" s="48" t="inlineStr">
        <is>
          <t>&lt; target</t>
        </is>
      </c>
      <c r="L78" s="47" t="n">
        <v>0.2054531679741989</v>
      </c>
      <c r="M78" s="48" t="inlineStr">
        <is>
          <t>&lt; target</t>
        </is>
      </c>
    </row>
    <row r="79">
      <c r="A79" s="7" t="n">
        <v>75</v>
      </c>
      <c r="B79" s="128" t="n">
        <v>186058108131.4383</v>
      </c>
      <c r="C79" s="128" t="n">
        <v>451295000000</v>
      </c>
      <c r="D79" s="22" t="n">
        <v>0.2061380118674463</v>
      </c>
      <c r="E79" t="inlineStr">
        <is>
          <t>&lt; target</t>
        </is>
      </c>
      <c r="F79" s="22" t="n">
        <v>0.2061380118674463</v>
      </c>
      <c r="G79" t="inlineStr">
        <is>
          <t>&lt; target</t>
        </is>
      </c>
      <c r="H79" s="22" t="n">
        <v>0.2061380118674463</v>
      </c>
      <c r="I79" t="inlineStr">
        <is>
          <t>&lt; target</t>
        </is>
      </c>
      <c r="J79" s="22" t="n">
        <v>0.2061380118674463</v>
      </c>
      <c r="K79" t="inlineStr">
        <is>
          <t>&lt; target</t>
        </is>
      </c>
      <c r="L79" s="22" t="n">
        <v>0.2061380118674463</v>
      </c>
      <c r="M79" t="inlineStr">
        <is>
          <t>&lt; target</t>
        </is>
      </c>
    </row>
    <row r="80">
      <c r="A80" s="45" t="n">
        <v>76</v>
      </c>
      <c r="B80" s="139" t="n">
        <v>186678301825.2098</v>
      </c>
      <c r="C80" s="139" t="n">
        <v>451295000000</v>
      </c>
      <c r="D80" s="47" t="n">
        <v>0.2068251385736711</v>
      </c>
      <c r="E80" s="48" t="inlineStr">
        <is>
          <t>&lt; target</t>
        </is>
      </c>
      <c r="F80" s="47" t="n">
        <v>0.2068251385736711</v>
      </c>
      <c r="G80" s="48" t="inlineStr">
        <is>
          <t>&lt; target</t>
        </is>
      </c>
      <c r="H80" s="47" t="n">
        <v>0.2068251385736711</v>
      </c>
      <c r="I80" s="48" t="inlineStr">
        <is>
          <t>&lt; target</t>
        </is>
      </c>
      <c r="J80" s="47" t="n">
        <v>0.2068251385736711</v>
      </c>
      <c r="K80" s="48" t="inlineStr">
        <is>
          <t>&lt; target</t>
        </is>
      </c>
      <c r="L80" s="47" t="n">
        <v>0.2068251385736711</v>
      </c>
      <c r="M80" s="48" t="inlineStr">
        <is>
          <t>&lt; target</t>
        </is>
      </c>
    </row>
    <row r="81">
      <c r="A81" s="7" t="n">
        <v>77</v>
      </c>
      <c r="B81" s="128" t="n">
        <v>187300562831.2939</v>
      </c>
      <c r="C81" s="128" t="n">
        <v>451295000000</v>
      </c>
      <c r="D81" s="22" t="n">
        <v>0.20751455570225</v>
      </c>
      <c r="E81" t="inlineStr">
        <is>
          <t>&lt; target</t>
        </is>
      </c>
      <c r="F81" s="22" t="n">
        <v>0.20751455570225</v>
      </c>
      <c r="G81" t="inlineStr">
        <is>
          <t>&lt; target</t>
        </is>
      </c>
      <c r="H81" s="22" t="n">
        <v>0.20751455570225</v>
      </c>
      <c r="I81" t="inlineStr">
        <is>
          <t>&lt; target</t>
        </is>
      </c>
      <c r="J81" s="22" t="n">
        <v>0.20751455570225</v>
      </c>
      <c r="K81" t="inlineStr">
        <is>
          <t>&lt; target</t>
        </is>
      </c>
      <c r="L81" s="22" t="n">
        <v>0.20751455570225</v>
      </c>
      <c r="M81" t="inlineStr">
        <is>
          <t>&lt; target</t>
        </is>
      </c>
    </row>
    <row r="82">
      <c r="A82" s="45" t="n">
        <v>78</v>
      </c>
      <c r="B82" s="139" t="n">
        <v>187924898040.7315</v>
      </c>
      <c r="C82" s="139" t="n">
        <v>451295000000</v>
      </c>
      <c r="D82" s="47" t="n">
        <v>0.2082062708879242</v>
      </c>
      <c r="E82" s="48" t="inlineStr">
        <is>
          <t>&lt; target</t>
        </is>
      </c>
      <c r="F82" s="47" t="n">
        <v>0.2082062708879242</v>
      </c>
      <c r="G82" s="48" t="inlineStr">
        <is>
          <t>&lt; target</t>
        </is>
      </c>
      <c r="H82" s="47" t="n">
        <v>0.2082062708879242</v>
      </c>
      <c r="I82" s="48" t="inlineStr">
        <is>
          <t>&lt; target</t>
        </is>
      </c>
      <c r="J82" s="47" t="n">
        <v>0.2082062708879242</v>
      </c>
      <c r="K82" s="48" t="inlineStr">
        <is>
          <t>&lt; target</t>
        </is>
      </c>
      <c r="L82" s="47" t="n">
        <v>0.2082062708879242</v>
      </c>
      <c r="M82" s="48" t="inlineStr">
        <is>
          <t>&lt; target</t>
        </is>
      </c>
    </row>
    <row r="83">
      <c r="A83" s="7" t="n">
        <v>79</v>
      </c>
      <c r="B83" s="128" t="n">
        <v>188551314367.534</v>
      </c>
      <c r="C83" s="128" t="n">
        <v>451295000000</v>
      </c>
      <c r="D83" s="22" t="n">
        <v>0.208900291790884</v>
      </c>
      <c r="E83" t="inlineStr">
        <is>
          <t>&lt; target</t>
        </is>
      </c>
      <c r="F83" s="22" t="n">
        <v>0.208900291790884</v>
      </c>
      <c r="G83" t="inlineStr">
        <is>
          <t>&lt; target</t>
        </is>
      </c>
      <c r="H83" s="22" t="n">
        <v>0.208900291790884</v>
      </c>
      <c r="I83" t="inlineStr">
        <is>
          <t>&lt; target</t>
        </is>
      </c>
      <c r="J83" s="22" t="n">
        <v>0.208900291790884</v>
      </c>
      <c r="K83" t="inlineStr">
        <is>
          <t>&lt; target</t>
        </is>
      </c>
      <c r="L83" s="22" t="n">
        <v>0.208900291790884</v>
      </c>
      <c r="M83" t="inlineStr">
        <is>
          <t>&lt; target</t>
        </is>
      </c>
    </row>
    <row r="84">
      <c r="A84" s="45" t="n">
        <v>80</v>
      </c>
      <c r="B84" s="139" t="n">
        <v>189179818748.7591</v>
      </c>
      <c r="C84" s="139" t="n">
        <v>451295000000</v>
      </c>
      <c r="D84" s="47" t="n">
        <v>0.2095966260968536</v>
      </c>
      <c r="E84" s="48" t="inlineStr">
        <is>
          <t>&lt; target</t>
        </is>
      </c>
      <c r="F84" s="47" t="n">
        <v>0.2095966260968536</v>
      </c>
      <c r="G84" s="48" t="inlineStr">
        <is>
          <t>&lt; target</t>
        </is>
      </c>
      <c r="H84" s="47" t="n">
        <v>0.2095966260968536</v>
      </c>
      <c r="I84" s="48" t="inlineStr">
        <is>
          <t>&lt; target</t>
        </is>
      </c>
      <c r="J84" s="47" t="n">
        <v>0.2095966260968536</v>
      </c>
      <c r="K84" s="48" t="inlineStr">
        <is>
          <t>&lt; target</t>
        </is>
      </c>
      <c r="L84" s="47" t="n">
        <v>0.2095966260968536</v>
      </c>
      <c r="M84" s="48" t="inlineStr">
        <is>
          <t>&lt; target</t>
        </is>
      </c>
    </row>
    <row r="85">
      <c r="A85" s="7" t="n">
        <v>81</v>
      </c>
      <c r="B85" s="128" t="n">
        <v>189810418144.5883</v>
      </c>
      <c r="C85" s="128" t="n">
        <v>451295000000</v>
      </c>
      <c r="D85" s="22" t="n">
        <v>0.2102952815171764</v>
      </c>
      <c r="E85" t="inlineStr">
        <is>
          <t>&lt; target</t>
        </is>
      </c>
      <c r="F85" s="22" t="n">
        <v>0.2102952815171764</v>
      </c>
      <c r="G85" t="inlineStr">
        <is>
          <t>&lt; target</t>
        </is>
      </c>
      <c r="H85" s="22" t="n">
        <v>0.2102952815171764</v>
      </c>
      <c r="I85" t="inlineStr">
        <is>
          <t>&lt; target</t>
        </is>
      </c>
      <c r="J85" s="22" t="n">
        <v>0.2102952815171764</v>
      </c>
      <c r="K85" t="inlineStr">
        <is>
          <t>&lt; target</t>
        </is>
      </c>
      <c r="L85" s="22" t="n">
        <v>0.2102952815171764</v>
      </c>
      <c r="M85" t="inlineStr">
        <is>
          <t>&lt; target</t>
        </is>
      </c>
    </row>
    <row r="86">
      <c r="A86" s="45" t="n">
        <v>82</v>
      </c>
      <c r="B86" s="139" t="n">
        <v>190443119538.4036</v>
      </c>
      <c r="C86" s="139" t="n">
        <v>451295000000</v>
      </c>
      <c r="D86" s="47" t="n">
        <v>0.2109962657889004</v>
      </c>
      <c r="E86" s="48" t="inlineStr">
        <is>
          <t>&lt; target</t>
        </is>
      </c>
      <c r="F86" s="47" t="n">
        <v>0.2109962657889004</v>
      </c>
      <c r="G86" s="48" t="inlineStr">
        <is>
          <t>&lt; target</t>
        </is>
      </c>
      <c r="H86" s="47" t="n">
        <v>0.2109962657889004</v>
      </c>
      <c r="I86" s="48" t="inlineStr">
        <is>
          <t>&lt; target</t>
        </is>
      </c>
      <c r="J86" s="47" t="n">
        <v>0.2109962657889004</v>
      </c>
      <c r="K86" s="48" t="inlineStr">
        <is>
          <t>&lt; target</t>
        </is>
      </c>
      <c r="L86" s="47" t="n">
        <v>0.2109962657889004</v>
      </c>
      <c r="M86" s="48" t="inlineStr">
        <is>
          <t>&lt; target</t>
        </is>
      </c>
    </row>
    <row r="87">
      <c r="A87" s="7" t="n">
        <v>83</v>
      </c>
      <c r="B87" s="128" t="n">
        <v>191077929936.865</v>
      </c>
      <c r="C87" s="128" t="n">
        <v>451295000000</v>
      </c>
      <c r="D87" s="22" t="n">
        <v>0.2116995866748634</v>
      </c>
      <c r="E87" t="inlineStr">
        <is>
          <t>&lt; target</t>
        </is>
      </c>
      <c r="F87" s="22" t="n">
        <v>0.2116995866748634</v>
      </c>
      <c r="G87" t="inlineStr">
        <is>
          <t>&lt; target</t>
        </is>
      </c>
      <c r="H87" s="22" t="n">
        <v>0.2116995866748634</v>
      </c>
      <c r="I87" t="inlineStr">
        <is>
          <t>&lt; target</t>
        </is>
      </c>
      <c r="J87" s="22" t="n">
        <v>0.2116995866748634</v>
      </c>
      <c r="K87" t="inlineStr">
        <is>
          <t>&lt; target</t>
        </is>
      </c>
      <c r="L87" s="22" t="n">
        <v>0.2116995866748634</v>
      </c>
      <c r="M87" t="inlineStr">
        <is>
          <t>&lt; target</t>
        </is>
      </c>
    </row>
    <row r="88">
      <c r="A88" s="45" t="n">
        <v>84</v>
      </c>
      <c r="B88" s="139" t="n">
        <v>191714856369.9879</v>
      </c>
      <c r="C88" s="139" t="n">
        <v>451295000000</v>
      </c>
      <c r="D88" s="47" t="n">
        <v>0.2124052519637797</v>
      </c>
      <c r="E88" s="48" t="inlineStr">
        <is>
          <t>&lt; target</t>
        </is>
      </c>
      <c r="F88" s="47" t="n">
        <v>0.2124052519637797</v>
      </c>
      <c r="G88" s="48" t="inlineStr">
        <is>
          <t>&lt; target</t>
        </is>
      </c>
      <c r="H88" s="47" t="n">
        <v>0.2124052519637797</v>
      </c>
      <c r="I88" s="48" t="inlineStr">
        <is>
          <t>&lt; target</t>
        </is>
      </c>
      <c r="J88" s="47" t="n">
        <v>0.2124052519637797</v>
      </c>
      <c r="K88" s="48" t="inlineStr">
        <is>
          <t>&lt; target</t>
        </is>
      </c>
      <c r="L88" s="47" t="n">
        <v>0.2124052519637797</v>
      </c>
      <c r="M88" s="48" t="inlineStr">
        <is>
          <t>&lt; target</t>
        </is>
      </c>
    </row>
    <row r="89">
      <c r="A89" s="7" t="n">
        <v>85</v>
      </c>
      <c r="B89" s="128" t="n">
        <v>192353905891.2212</v>
      </c>
      <c r="C89" s="128" t="n">
        <v>451295000000</v>
      </c>
      <c r="D89" s="22" t="n">
        <v>0.2131132694703256</v>
      </c>
      <c r="E89" t="inlineStr">
        <is>
          <t>&lt; target</t>
        </is>
      </c>
      <c r="F89" s="22" t="n">
        <v>0.2131132694703256</v>
      </c>
      <c r="G89" t="inlineStr">
        <is>
          <t>&lt; target</t>
        </is>
      </c>
      <c r="H89" s="22" t="n">
        <v>0.2131132694703256</v>
      </c>
      <c r="I89" t="inlineStr">
        <is>
          <t>&lt; target</t>
        </is>
      </c>
      <c r="J89" s="22" t="n">
        <v>0.2131132694703256</v>
      </c>
      <c r="K89" t="inlineStr">
        <is>
          <t>&lt; target</t>
        </is>
      </c>
      <c r="L89" s="22" t="n">
        <v>0.2131132694703256</v>
      </c>
      <c r="M89" t="inlineStr">
        <is>
          <t>&lt; target</t>
        </is>
      </c>
    </row>
    <row r="90">
      <c r="A90" s="45" t="n">
        <v>86</v>
      </c>
      <c r="B90" s="139" t="n">
        <v>192995085577.5253</v>
      </c>
      <c r="C90" s="139" t="n">
        <v>451295000000</v>
      </c>
      <c r="D90" s="47" t="n">
        <v>0.2138236470352267</v>
      </c>
      <c r="E90" s="48" t="inlineStr">
        <is>
          <t>&lt; target</t>
        </is>
      </c>
      <c r="F90" s="47" t="n">
        <v>0.2138236470352267</v>
      </c>
      <c r="G90" s="48" t="inlineStr">
        <is>
          <t>&lt; target</t>
        </is>
      </c>
      <c r="H90" s="47" t="n">
        <v>0.2138236470352267</v>
      </c>
      <c r="I90" s="48" t="inlineStr">
        <is>
          <t>&lt; target</t>
        </is>
      </c>
      <c r="J90" s="47" t="n">
        <v>0.2138236470352267</v>
      </c>
      <c r="K90" s="48" t="inlineStr">
        <is>
          <t>&lt; target</t>
        </is>
      </c>
      <c r="L90" s="47" t="n">
        <v>0.2138236470352267</v>
      </c>
      <c r="M90" s="48" t="inlineStr">
        <is>
          <t>&lt; target</t>
        </is>
      </c>
    </row>
    <row r="91">
      <c r="A91" s="7" t="n">
        <v>87</v>
      </c>
      <c r="B91" s="128" t="n">
        <v>193638402529.4504</v>
      </c>
      <c r="C91" s="128" t="n">
        <v>451295000000</v>
      </c>
      <c r="D91" s="22" t="n">
        <v>0.2145363925253441</v>
      </c>
      <c r="E91" t="inlineStr">
        <is>
          <t>&lt; target</t>
        </is>
      </c>
      <c r="F91" s="22" t="n">
        <v>0.2145363925253441</v>
      </c>
      <c r="G91" t="inlineStr">
        <is>
          <t>&lt; target</t>
        </is>
      </c>
      <c r="H91" s="22" t="n">
        <v>0.2145363925253441</v>
      </c>
      <c r="I91" t="inlineStr">
        <is>
          <t>&lt; target</t>
        </is>
      </c>
      <c r="J91" s="22" t="n">
        <v>0.2145363925253441</v>
      </c>
      <c r="K91" t="inlineStr">
        <is>
          <t>&lt; target</t>
        </is>
      </c>
      <c r="L91" s="22" t="n">
        <v>0.2145363925253441</v>
      </c>
      <c r="M91" t="inlineStr">
        <is>
          <t>&lt; target</t>
        </is>
      </c>
    </row>
    <row r="92">
      <c r="A92" s="45" t="n">
        <v>88</v>
      </c>
      <c r="B92" s="139" t="n">
        <v>194283863871.2152</v>
      </c>
      <c r="C92" s="139" t="n">
        <v>451295000000</v>
      </c>
      <c r="D92" s="47" t="n">
        <v>0.215251513833762</v>
      </c>
      <c r="E92" s="48" t="inlineStr">
        <is>
          <t>&lt; target</t>
        </is>
      </c>
      <c r="F92" s="47" t="n">
        <v>0.215251513833762</v>
      </c>
      <c r="G92" s="48" t="inlineStr">
        <is>
          <t>&lt; target</t>
        </is>
      </c>
      <c r="H92" s="47" t="n">
        <v>0.215251513833762</v>
      </c>
      <c r="I92" s="48" t="inlineStr">
        <is>
          <t>&lt; target</t>
        </is>
      </c>
      <c r="J92" s="47" t="n">
        <v>0.215251513833762</v>
      </c>
      <c r="K92" s="48" t="inlineStr">
        <is>
          <t>&lt; target</t>
        </is>
      </c>
      <c r="L92" s="47" t="n">
        <v>0.215251513833762</v>
      </c>
      <c r="M92" s="48" t="inlineStr">
        <is>
          <t>&lt; target</t>
        </is>
      </c>
    </row>
    <row r="93">
      <c r="A93" s="7" t="n">
        <v>89</v>
      </c>
      <c r="B93" s="128" t="n">
        <v>194931476750.7859</v>
      </c>
      <c r="C93" s="128" t="n">
        <v>451295000000</v>
      </c>
      <c r="D93" s="22" t="n">
        <v>0.2159690188798745</v>
      </c>
      <c r="E93" t="inlineStr">
        <is>
          <t>&lt; target</t>
        </is>
      </c>
      <c r="F93" s="22" t="n">
        <v>0.2159690188798745</v>
      </c>
      <c r="G93" t="inlineStr">
        <is>
          <t>&lt; target</t>
        </is>
      </c>
      <c r="H93" s="22" t="n">
        <v>0.2159690188798745</v>
      </c>
      <c r="I93" t="inlineStr">
        <is>
          <t>&lt; target</t>
        </is>
      </c>
      <c r="J93" s="22" t="n">
        <v>0.2159690188798745</v>
      </c>
      <c r="K93" t="inlineStr">
        <is>
          <t>&lt; target</t>
        </is>
      </c>
      <c r="L93" s="22" t="n">
        <v>0.2159690188798745</v>
      </c>
      <c r="M93" t="inlineStr">
        <is>
          <t>&lt; target</t>
        </is>
      </c>
    </row>
    <row r="94">
      <c r="A94" s="45" t="n">
        <v>90</v>
      </c>
      <c r="B94" s="139" t="n">
        <v>195581248339.9553</v>
      </c>
      <c r="C94" s="139" t="n">
        <v>451295000000</v>
      </c>
      <c r="D94" s="47" t="n">
        <v>0.2166889156094741</v>
      </c>
      <c r="E94" s="48" t="inlineStr">
        <is>
          <t>&lt; target</t>
        </is>
      </c>
      <c r="F94" s="47" t="n">
        <v>0.2166889156094741</v>
      </c>
      <c r="G94" s="48" t="inlineStr">
        <is>
          <t>&lt; target</t>
        </is>
      </c>
      <c r="H94" s="47" t="n">
        <v>0.2166889156094741</v>
      </c>
      <c r="I94" s="48" t="inlineStr">
        <is>
          <t>&lt; target</t>
        </is>
      </c>
      <c r="J94" s="47" t="n">
        <v>0.2166889156094741</v>
      </c>
      <c r="K94" s="48" t="inlineStr">
        <is>
          <t>&lt; target</t>
        </is>
      </c>
      <c r="L94" s="47" t="n">
        <v>0.2166889156094741</v>
      </c>
      <c r="M94" s="48" t="inlineStr">
        <is>
          <t>&lt; target</t>
        </is>
      </c>
    </row>
    <row r="95">
      <c r="A95" s="7" t="n">
        <v>91</v>
      </c>
      <c r="B95" s="128" t="n">
        <v>196233185834.4218</v>
      </c>
      <c r="C95" s="128" t="n">
        <v>451295000000</v>
      </c>
      <c r="D95" s="22" t="n">
        <v>0.2174112119948391</v>
      </c>
      <c r="E95" t="inlineStr">
        <is>
          <t>&lt; target</t>
        </is>
      </c>
      <c r="F95" s="22" t="n">
        <v>0.2174112119948391</v>
      </c>
      <c r="G95" t="inlineStr">
        <is>
          <t>&lt; target</t>
        </is>
      </c>
      <c r="H95" s="22" t="n">
        <v>0.2174112119948391</v>
      </c>
      <c r="I95" t="inlineStr">
        <is>
          <t>&lt; target</t>
        </is>
      </c>
      <c r="J95" s="22" t="n">
        <v>0.2174112119948391</v>
      </c>
      <c r="K95" t="inlineStr">
        <is>
          <t>&lt; target</t>
        </is>
      </c>
      <c r="L95" s="22" t="n">
        <v>0.2174112119948391</v>
      </c>
      <c r="M95" t="inlineStr">
        <is>
          <t>&lt; target</t>
        </is>
      </c>
    </row>
    <row r="96">
      <c r="A96" s="45" t="n">
        <v>92</v>
      </c>
      <c r="B96" s="139" t="n">
        <v>196887296453.8698</v>
      </c>
      <c r="C96" s="139" t="n">
        <v>451295000000</v>
      </c>
      <c r="D96" s="47" t="n">
        <v>0.2181359160348218</v>
      </c>
      <c r="E96" s="48" t="inlineStr">
        <is>
          <t>&lt; target</t>
        </is>
      </c>
      <c r="F96" s="47" t="n">
        <v>0.2181359160348218</v>
      </c>
      <c r="G96" s="48" t="inlineStr">
        <is>
          <t>&lt; target</t>
        </is>
      </c>
      <c r="H96" s="47" t="n">
        <v>0.2181359160348218</v>
      </c>
      <c r="I96" s="48" t="inlineStr">
        <is>
          <t>&lt; target</t>
        </is>
      </c>
      <c r="J96" s="47" t="n">
        <v>0.2181359160348218</v>
      </c>
      <c r="K96" s="48" t="inlineStr">
        <is>
          <t>&lt; target</t>
        </is>
      </c>
      <c r="L96" s="47" t="n">
        <v>0.2181359160348218</v>
      </c>
      <c r="M96" s="48" t="inlineStr">
        <is>
          <t>&lt; target</t>
        </is>
      </c>
    </row>
    <row r="97">
      <c r="A97" s="7" t="n">
        <v>93</v>
      </c>
      <c r="B97" s="128" t="n">
        <v>197543587442.0495</v>
      </c>
      <c r="C97" s="128" t="n">
        <v>451295000000</v>
      </c>
      <c r="D97" s="22" t="n">
        <v>0.218863035754938</v>
      </c>
      <c r="E97" t="inlineStr">
        <is>
          <t>&lt; target</t>
        </is>
      </c>
      <c r="F97" s="22" t="n">
        <v>0.218863035754938</v>
      </c>
      <c r="G97" t="inlineStr">
        <is>
          <t>&lt; target</t>
        </is>
      </c>
      <c r="H97" s="22" t="n">
        <v>0.218863035754938</v>
      </c>
      <c r="I97" t="inlineStr">
        <is>
          <t>&lt; target</t>
        </is>
      </c>
      <c r="J97" s="22" t="n">
        <v>0.218863035754938</v>
      </c>
      <c r="K97" t="inlineStr">
        <is>
          <t>&lt; target</t>
        </is>
      </c>
      <c r="L97" s="22" t="n">
        <v>0.218863035754938</v>
      </c>
      <c r="M97" t="inlineStr">
        <is>
          <t>&lt; target</t>
        </is>
      </c>
    </row>
    <row r="98">
      <c r="A98" s="45" t="n">
        <v>94</v>
      </c>
      <c r="B98" s="139" t="n">
        <v>198202066066.8563</v>
      </c>
      <c r="C98" s="139" t="n">
        <v>451295000000</v>
      </c>
      <c r="D98" s="47" t="n">
        <v>0.2195925792074545</v>
      </c>
      <c r="E98" s="48" t="inlineStr">
        <is>
          <t>&lt; target</t>
        </is>
      </c>
      <c r="F98" s="47" t="n">
        <v>0.2195925792074545</v>
      </c>
      <c r="G98" s="48" t="inlineStr">
        <is>
          <t>&lt; target</t>
        </is>
      </c>
      <c r="H98" s="47" t="n">
        <v>0.2195925792074545</v>
      </c>
      <c r="I98" s="48" t="inlineStr">
        <is>
          <t>&lt; target</t>
        </is>
      </c>
      <c r="J98" s="47" t="n">
        <v>0.2195925792074545</v>
      </c>
      <c r="K98" s="48" t="inlineStr">
        <is>
          <t>&lt; target</t>
        </is>
      </c>
      <c r="L98" s="47" t="n">
        <v>0.2195925792074545</v>
      </c>
      <c r="M98" s="48" t="inlineStr">
        <is>
          <t>&lt; target</t>
        </is>
      </c>
    </row>
    <row r="99">
      <c r="A99" s="7" t="n">
        <v>95</v>
      </c>
      <c r="B99" s="128" t="n">
        <v>198862739620.4125</v>
      </c>
      <c r="C99" s="128" t="n">
        <v>451295000000</v>
      </c>
      <c r="D99" s="22" t="n">
        <v>0.2203245544714793</v>
      </c>
      <c r="E99" t="inlineStr">
        <is>
          <t>&lt; target</t>
        </is>
      </c>
      <c r="F99" s="22" t="n">
        <v>0.2203245544714793</v>
      </c>
      <c r="G99" t="inlineStr">
        <is>
          <t>&lt; target</t>
        </is>
      </c>
      <c r="H99" s="22" t="n">
        <v>0.2203245544714793</v>
      </c>
      <c r="I99" t="inlineStr">
        <is>
          <t>&lt; target</t>
        </is>
      </c>
      <c r="J99" s="22" t="n">
        <v>0.2203245544714793</v>
      </c>
      <c r="K99" t="inlineStr">
        <is>
          <t>&lt; target</t>
        </is>
      </c>
      <c r="L99" s="22" t="n">
        <v>0.2203245544714793</v>
      </c>
      <c r="M99" t="inlineStr">
        <is>
          <t>&lt; target</t>
        </is>
      </c>
    </row>
    <row r="100">
      <c r="A100" s="45" t="n">
        <v>96</v>
      </c>
      <c r="B100" s="139" t="n">
        <v>199525615419.1472</v>
      </c>
      <c r="C100" s="139" t="n">
        <v>451295000000</v>
      </c>
      <c r="D100" s="47" t="n">
        <v>0.2210589696530509</v>
      </c>
      <c r="E100" s="48" t="inlineStr">
        <is>
          <t>&lt; target</t>
        </is>
      </c>
      <c r="F100" s="47" t="n">
        <v>0.2210589696530509</v>
      </c>
      <c r="G100" s="48" t="inlineStr">
        <is>
          <t>&lt; target</t>
        </is>
      </c>
      <c r="H100" s="47" t="n">
        <v>0.2210589696530509</v>
      </c>
      <c r="I100" s="48" t="inlineStr">
        <is>
          <t>&lt; target</t>
        </is>
      </c>
      <c r="J100" s="47" t="n">
        <v>0.2210589696530509</v>
      </c>
      <c r="K100" s="48" t="inlineStr">
        <is>
          <t>&lt; target</t>
        </is>
      </c>
      <c r="L100" s="47" t="n">
        <v>0.2210589696530509</v>
      </c>
      <c r="M100" s="48" t="inlineStr">
        <is>
          <t>&lt; target</t>
        </is>
      </c>
    </row>
    <row r="101">
      <c r="A101" s="7" t="n">
        <v>97</v>
      </c>
      <c r="B101" s="128" t="n">
        <v>200190700803.8777</v>
      </c>
      <c r="C101" s="128" t="n">
        <v>451295000000</v>
      </c>
      <c r="D101" s="22" t="n">
        <v>0.2217958328852278</v>
      </c>
      <c r="E101" t="inlineStr">
        <is>
          <t>&lt; target</t>
        </is>
      </c>
      <c r="F101" s="22" t="n">
        <v>0.2217958328852278</v>
      </c>
      <c r="G101" t="inlineStr">
        <is>
          <t>&lt; target</t>
        </is>
      </c>
      <c r="H101" s="22" t="n">
        <v>0.2217958328852278</v>
      </c>
      <c r="I101" t="inlineStr">
        <is>
          <t>&lt; target</t>
        </is>
      </c>
      <c r="J101" s="22" t="n">
        <v>0.2217958328852278</v>
      </c>
      <c r="K101" t="inlineStr">
        <is>
          <t>&lt; target</t>
        </is>
      </c>
      <c r="L101" s="22" t="n">
        <v>0.2217958328852278</v>
      </c>
      <c r="M101" t="inlineStr">
        <is>
          <t>&lt; target</t>
        </is>
      </c>
    </row>
    <row r="102">
      <c r="A102" s="45" t="n">
        <v>98</v>
      </c>
      <c r="B102" s="139" t="n">
        <v>200858003139.8907</v>
      </c>
      <c r="C102" s="139" t="n">
        <v>451295000000</v>
      </c>
      <c r="D102" s="47" t="n">
        <v>0.2225351523281785</v>
      </c>
      <c r="E102" s="48" t="inlineStr">
        <is>
          <t>&lt; target</t>
        </is>
      </c>
      <c r="F102" s="47" t="n">
        <v>0.2225351523281785</v>
      </c>
      <c r="G102" s="48" t="inlineStr">
        <is>
          <t>&lt; target</t>
        </is>
      </c>
      <c r="H102" s="47" t="n">
        <v>0.2225351523281785</v>
      </c>
      <c r="I102" s="48" t="inlineStr">
        <is>
          <t>&lt; target</t>
        </is>
      </c>
      <c r="J102" s="47" t="n">
        <v>0.2225351523281785</v>
      </c>
      <c r="K102" s="48" t="inlineStr">
        <is>
          <t>&lt; target</t>
        </is>
      </c>
      <c r="L102" s="47" t="n">
        <v>0.2225351523281785</v>
      </c>
      <c r="M102" s="48" t="inlineStr">
        <is>
          <t>&lt; target</t>
        </is>
      </c>
    </row>
    <row r="103">
      <c r="A103" s="7" t="n">
        <v>99</v>
      </c>
      <c r="B103" s="128" t="n">
        <v>201527529817.0237</v>
      </c>
      <c r="C103" s="128" t="n">
        <v>451295000000</v>
      </c>
      <c r="D103" s="22" t="n">
        <v>0.2232769361692725</v>
      </c>
      <c r="E103" t="inlineStr">
        <is>
          <t>&lt; target</t>
        </is>
      </c>
      <c r="F103" s="22" t="n">
        <v>0.2232769361692725</v>
      </c>
      <c r="G103" t="inlineStr">
        <is>
          <t>&lt; target</t>
        </is>
      </c>
      <c r="H103" s="22" t="n">
        <v>0.2232769361692725</v>
      </c>
      <c r="I103" t="inlineStr">
        <is>
          <t>&lt; target</t>
        </is>
      </c>
      <c r="J103" s="22" t="n">
        <v>0.2232769361692725</v>
      </c>
      <c r="K103" t="inlineStr">
        <is>
          <t>&lt; target</t>
        </is>
      </c>
      <c r="L103" s="22" t="n">
        <v>0.2232769361692725</v>
      </c>
      <c r="M103" t="inlineStr">
        <is>
          <t>&lt; target</t>
        </is>
      </c>
    </row>
    <row r="104">
      <c r="A104" s="45" t="n">
        <v>100</v>
      </c>
      <c r="B104" s="139" t="n">
        <v>202199288249.7471</v>
      </c>
      <c r="C104" s="139" t="n">
        <v>451295000000</v>
      </c>
      <c r="D104" s="47" t="n">
        <v>0.2240211926231701</v>
      </c>
      <c r="E104" s="48" t="inlineStr">
        <is>
          <t>&lt; target</t>
        </is>
      </c>
      <c r="F104" s="47" t="n">
        <v>0.2240211926231701</v>
      </c>
      <c r="G104" s="48" t="inlineStr">
        <is>
          <t>&lt; target</t>
        </is>
      </c>
      <c r="H104" s="47" t="n">
        <v>0.2240211926231701</v>
      </c>
      <c r="I104" s="48" t="inlineStr">
        <is>
          <t>&lt; target</t>
        </is>
      </c>
      <c r="J104" s="47" t="n">
        <v>0.2240211926231701</v>
      </c>
      <c r="K104" s="48" t="inlineStr">
        <is>
          <t>&lt; target</t>
        </is>
      </c>
      <c r="L104" s="47" t="n">
        <v>0.2240211926231701</v>
      </c>
      <c r="M104" s="48" t="inlineStr">
        <is>
          <t>&lt; target</t>
        </is>
      </c>
    </row>
    <row r="105">
      <c r="A105" s="7" t="n">
        <v>101</v>
      </c>
      <c r="B105" s="128" t="n">
        <v>202873285877.2462</v>
      </c>
      <c r="C105" s="128" t="n">
        <v>451295000000</v>
      </c>
      <c r="D105" s="22" t="n">
        <v>0.224767929931914</v>
      </c>
      <c r="E105" t="inlineStr">
        <is>
          <t>&lt; target</t>
        </is>
      </c>
      <c r="F105" s="22" t="n">
        <v>0.224767929931914</v>
      </c>
      <c r="G105" t="inlineStr">
        <is>
          <t>&lt; target</t>
        </is>
      </c>
      <c r="H105" s="22" t="n">
        <v>0.224767929931914</v>
      </c>
      <c r="I105" t="inlineStr">
        <is>
          <t>&lt; target</t>
        </is>
      </c>
      <c r="J105" s="22" t="n">
        <v>0.224767929931914</v>
      </c>
      <c r="K105" t="inlineStr">
        <is>
          <t>&lt; target</t>
        </is>
      </c>
      <c r="L105" s="22" t="n">
        <v>0.224767929931914</v>
      </c>
      <c r="M105" t="inlineStr">
        <is>
          <t>&lt; target</t>
        </is>
      </c>
    </row>
    <row r="106">
      <c r="A106" s="45" t="n">
        <v>102</v>
      </c>
      <c r="B106" s="139" t="n">
        <v>203549530163.5038</v>
      </c>
      <c r="C106" s="139" t="n">
        <v>451295000000</v>
      </c>
      <c r="D106" s="47" t="n">
        <v>0.2255171563650204</v>
      </c>
      <c r="E106" s="48" t="inlineStr">
        <is>
          <t>&lt; target</t>
        </is>
      </c>
      <c r="F106" s="47" t="n">
        <v>0.2255171563650204</v>
      </c>
      <c r="G106" s="48" t="inlineStr">
        <is>
          <t>&lt; target</t>
        </is>
      </c>
      <c r="H106" s="47" t="n">
        <v>0.2255171563650204</v>
      </c>
      <c r="I106" s="48" t="inlineStr">
        <is>
          <t>&lt; target</t>
        </is>
      </c>
      <c r="J106" s="47" t="n">
        <v>0.2255171563650204</v>
      </c>
      <c r="K106" s="48" t="inlineStr">
        <is>
          <t>&lt; target</t>
        </is>
      </c>
      <c r="L106" s="47" t="n">
        <v>0.2255171563650204</v>
      </c>
      <c r="M106" s="48" t="inlineStr">
        <is>
          <t>&lt; target</t>
        </is>
      </c>
    </row>
    <row r="107">
      <c r="A107" s="7" t="n">
        <v>103</v>
      </c>
      <c r="B107" s="128" t="n">
        <v>204228028597.3821</v>
      </c>
      <c r="C107" s="128" t="n">
        <v>451295000000</v>
      </c>
      <c r="D107" s="22" t="n">
        <v>0.2262688802195705</v>
      </c>
      <c r="E107" t="inlineStr">
        <is>
          <t>&lt; target</t>
        </is>
      </c>
      <c r="F107" s="22" t="n">
        <v>0.2262688802195705</v>
      </c>
      <c r="G107" t="inlineStr">
        <is>
          <t>&lt; target</t>
        </is>
      </c>
      <c r="H107" s="22" t="n">
        <v>0.2262688802195705</v>
      </c>
      <c r="I107" t="inlineStr">
        <is>
          <t>&lt; target</t>
        </is>
      </c>
      <c r="J107" s="22" t="n">
        <v>0.2262688802195705</v>
      </c>
      <c r="K107" t="inlineStr">
        <is>
          <t>&lt; target</t>
        </is>
      </c>
      <c r="L107" s="22" t="n">
        <v>0.2262688802195705</v>
      </c>
      <c r="M107" t="inlineStr">
        <is>
          <t>&lt; target</t>
        </is>
      </c>
    </row>
    <row r="108">
      <c r="A108" s="45" t="n">
        <v>104</v>
      </c>
      <c r="B108" s="139" t="n">
        <v>204908788692.7067</v>
      </c>
      <c r="C108" s="139" t="n">
        <v>451295000000</v>
      </c>
      <c r="D108" s="47" t="n">
        <v>0.2270231098203024</v>
      </c>
      <c r="E108" s="48" t="inlineStr">
        <is>
          <t>&lt; target</t>
        </is>
      </c>
      <c r="F108" s="47" t="n">
        <v>0.2270231098203024</v>
      </c>
      <c r="G108" s="48" t="inlineStr">
        <is>
          <t>&lt; target</t>
        </is>
      </c>
      <c r="H108" s="47" t="n">
        <v>0.2270231098203024</v>
      </c>
      <c r="I108" s="48" t="inlineStr">
        <is>
          <t>&lt; target</t>
        </is>
      </c>
      <c r="J108" s="47" t="n">
        <v>0.2270231098203024</v>
      </c>
      <c r="K108" s="48" t="inlineStr">
        <is>
          <t>&lt; target</t>
        </is>
      </c>
      <c r="L108" s="47" t="n">
        <v>0.2270231098203024</v>
      </c>
      <c r="M108" s="48" t="inlineStr">
        <is>
          <t>&lt; target</t>
        </is>
      </c>
    </row>
    <row r="109">
      <c r="A109" s="7" t="n">
        <v>105</v>
      </c>
      <c r="B109" s="128" t="n">
        <v>205591817988.3491</v>
      </c>
      <c r="C109" s="128" t="n">
        <v>451295000000</v>
      </c>
      <c r="D109" s="22" t="n">
        <v>0.2277798535197034</v>
      </c>
      <c r="E109" t="inlineStr">
        <is>
          <t>&lt; target</t>
        </is>
      </c>
      <c r="F109" s="22" t="n">
        <v>0.2277798535197034</v>
      </c>
      <c r="G109" t="inlineStr">
        <is>
          <t>&lt; target</t>
        </is>
      </c>
      <c r="H109" s="22" t="n">
        <v>0.2277798535197034</v>
      </c>
      <c r="I109" t="inlineStr">
        <is>
          <t>&lt; target</t>
        </is>
      </c>
      <c r="J109" s="22" t="n">
        <v>0.2277798535197034</v>
      </c>
      <c r="K109" t="inlineStr">
        <is>
          <t>&lt; target</t>
        </is>
      </c>
      <c r="L109" s="22" t="n">
        <v>0.2277798535197034</v>
      </c>
      <c r="M109" t="inlineStr">
        <is>
          <t>&lt; target</t>
        </is>
      </c>
    </row>
    <row r="110">
      <c r="A110" s="45" t="n">
        <v>106</v>
      </c>
      <c r="B110" s="139" t="n">
        <v>206277124048.3103</v>
      </c>
      <c r="C110" s="139" t="n">
        <v>451295000000</v>
      </c>
      <c r="D110" s="47" t="n">
        <v>0.2285391196981025</v>
      </c>
      <c r="E110" s="48" t="inlineStr">
        <is>
          <t>&lt; target</t>
        </is>
      </c>
      <c r="F110" s="47" t="n">
        <v>0.2285391196981025</v>
      </c>
      <c r="G110" s="48" t="inlineStr">
        <is>
          <t>&lt; target</t>
        </is>
      </c>
      <c r="H110" s="47" t="n">
        <v>0.2285391196981025</v>
      </c>
      <c r="I110" s="48" t="inlineStr">
        <is>
          <t>&lt; target</t>
        </is>
      </c>
      <c r="J110" s="47" t="n">
        <v>0.2285391196981025</v>
      </c>
      <c r="K110" s="48" t="inlineStr">
        <is>
          <t>&lt; target</t>
        </is>
      </c>
      <c r="L110" s="47" t="n">
        <v>0.2285391196981025</v>
      </c>
      <c r="M110" s="48" t="inlineStr">
        <is>
          <t>&lt; target</t>
        </is>
      </c>
    </row>
    <row r="111">
      <c r="A111" s="7" t="n">
        <v>107</v>
      </c>
      <c r="B111" s="128" t="n">
        <v>206964714461.8047</v>
      </c>
      <c r="C111" s="128" t="n">
        <v>451295000000</v>
      </c>
      <c r="D111" s="22" t="n">
        <v>0.2293009167637628</v>
      </c>
      <c r="E111" t="inlineStr">
        <is>
          <t>&lt; target</t>
        </is>
      </c>
      <c r="F111" s="22" t="n">
        <v>0.2293009167637628</v>
      </c>
      <c r="G111" t="inlineStr">
        <is>
          <t>&lt; target</t>
        </is>
      </c>
      <c r="H111" s="22" t="n">
        <v>0.2293009167637628</v>
      </c>
      <c r="I111" t="inlineStr">
        <is>
          <t>&lt; target</t>
        </is>
      </c>
      <c r="J111" s="22" t="n">
        <v>0.2293009167637628</v>
      </c>
      <c r="K111" t="inlineStr">
        <is>
          <t>&lt; target</t>
        </is>
      </c>
      <c r="L111" s="22" t="n">
        <v>0.2293009167637628</v>
      </c>
      <c r="M111" t="inlineStr">
        <is>
          <t>&lt; target</t>
        </is>
      </c>
    </row>
    <row r="112">
      <c r="A112" s="45" t="n">
        <v>108</v>
      </c>
      <c r="B112" s="139" t="n">
        <v>207654596843.3441</v>
      </c>
      <c r="C112" s="139" t="n">
        <v>451295000000</v>
      </c>
      <c r="D112" s="47" t="n">
        <v>0.2300652531529754</v>
      </c>
      <c r="E112" s="48" t="inlineStr">
        <is>
          <t>&lt; target</t>
        </is>
      </c>
      <c r="F112" s="47" t="n">
        <v>0.2300652531529754</v>
      </c>
      <c r="G112" s="48" t="inlineStr">
        <is>
          <t>&lt; target</t>
        </is>
      </c>
      <c r="H112" s="47" t="n">
        <v>0.2300652531529754</v>
      </c>
      <c r="I112" s="48" t="inlineStr">
        <is>
          <t>&lt; target</t>
        </is>
      </c>
      <c r="J112" s="47" t="n">
        <v>0.2300652531529754</v>
      </c>
      <c r="K112" s="48" t="inlineStr">
        <is>
          <t>&lt; target</t>
        </is>
      </c>
      <c r="L112" s="47" t="n">
        <v>0.2300652531529754</v>
      </c>
      <c r="M112" s="48" t="inlineStr">
        <is>
          <t>&lt; target</t>
        </is>
      </c>
    </row>
    <row r="113">
      <c r="A113" s="7" t="n">
        <v>109</v>
      </c>
      <c r="B113" s="128" t="n">
        <v>208346778832.8219</v>
      </c>
      <c r="C113" s="128" t="n">
        <v>451295000000</v>
      </c>
      <c r="D113" s="22" t="n">
        <v>0.230832137330152</v>
      </c>
      <c r="E113" t="inlineStr">
        <is>
          <t>&lt; target</t>
        </is>
      </c>
      <c r="F113" s="22" t="n">
        <v>0.230832137330152</v>
      </c>
      <c r="G113" t="inlineStr">
        <is>
          <t>&lt; target</t>
        </is>
      </c>
      <c r="H113" s="22" t="n">
        <v>0.230832137330152</v>
      </c>
      <c r="I113" t="inlineStr">
        <is>
          <t>&lt; target</t>
        </is>
      </c>
      <c r="J113" s="22" t="n">
        <v>0.230832137330152</v>
      </c>
      <c r="K113" t="inlineStr">
        <is>
          <t>&lt; target</t>
        </is>
      </c>
      <c r="L113" s="22" t="n">
        <v>0.230832137330152</v>
      </c>
      <c r="M113" t="inlineStr">
        <is>
          <t>&lt; target</t>
        </is>
      </c>
    </row>
    <row r="114">
      <c r="A114" s="45" t="n">
        <v>110</v>
      </c>
      <c r="B114" s="139" t="n">
        <v>209041268095.598</v>
      </c>
      <c r="C114" s="139" t="n">
        <v>451295000000</v>
      </c>
      <c r="D114" s="47" t="n">
        <v>0.2316015777879192</v>
      </c>
      <c r="E114" s="48" t="inlineStr">
        <is>
          <t>&lt; target</t>
        </is>
      </c>
      <c r="F114" s="47" t="n">
        <v>0.2316015777879192</v>
      </c>
      <c r="G114" s="48" t="inlineStr">
        <is>
          <t>&lt; target</t>
        </is>
      </c>
      <c r="H114" s="47" t="n">
        <v>0.2316015777879192</v>
      </c>
      <c r="I114" s="48" t="inlineStr">
        <is>
          <t>&lt; target</t>
        </is>
      </c>
      <c r="J114" s="47" t="n">
        <v>0.2316015777879192</v>
      </c>
      <c r="K114" s="48" t="inlineStr">
        <is>
          <t>&lt; target</t>
        </is>
      </c>
      <c r="L114" s="47" t="n">
        <v>0.2316015777879192</v>
      </c>
      <c r="M114" s="48" t="inlineStr">
        <is>
          <t>&lt; target</t>
        </is>
      </c>
    </row>
    <row r="115">
      <c r="A115" s="7" t="n">
        <v>111</v>
      </c>
      <c r="B115" s="128" t="n">
        <v>209738072322.5833</v>
      </c>
      <c r="C115" s="128" t="n">
        <v>451295000000</v>
      </c>
      <c r="D115" s="22" t="n">
        <v>0.2323735830472123</v>
      </c>
      <c r="E115" t="inlineStr">
        <is>
          <t>&lt; target</t>
        </is>
      </c>
      <c r="F115" s="22" t="n">
        <v>0.2323735830472123</v>
      </c>
      <c r="G115" t="inlineStr">
        <is>
          <t>&lt; target</t>
        </is>
      </c>
      <c r="H115" s="22" t="n">
        <v>0.2323735830472123</v>
      </c>
      <c r="I115" t="inlineStr">
        <is>
          <t>&lt; target</t>
        </is>
      </c>
      <c r="J115" s="22" t="n">
        <v>0.2323735830472123</v>
      </c>
      <c r="K115" t="inlineStr">
        <is>
          <t>&lt; target</t>
        </is>
      </c>
      <c r="L115" s="22" t="n">
        <v>0.2323735830472123</v>
      </c>
      <c r="M115" t="inlineStr">
        <is>
          <t>&lt; target</t>
        </is>
      </c>
    </row>
    <row r="116">
      <c r="A116" s="45" t="n">
        <v>112</v>
      </c>
      <c r="B116" s="139" t="n">
        <v>210437199230.3253</v>
      </c>
      <c r="C116" s="139" t="n">
        <v>451295000000</v>
      </c>
      <c r="D116" s="47" t="n">
        <v>0.2331481616573697</v>
      </c>
      <c r="E116" s="48" t="inlineStr">
        <is>
          <t>&lt; target</t>
        </is>
      </c>
      <c r="F116" s="47" t="n">
        <v>0.2331481616573697</v>
      </c>
      <c r="G116" s="48" t="inlineStr">
        <is>
          <t>&lt; target</t>
        </is>
      </c>
      <c r="H116" s="47" t="n">
        <v>0.2331481616573697</v>
      </c>
      <c r="I116" s="48" t="inlineStr">
        <is>
          <t>&lt; target</t>
        </is>
      </c>
      <c r="J116" s="47" t="n">
        <v>0.2331481616573697</v>
      </c>
      <c r="K116" s="48" t="inlineStr">
        <is>
          <t>&lt; target</t>
        </is>
      </c>
      <c r="L116" s="47" t="n">
        <v>0.2331481616573697</v>
      </c>
      <c r="M116" s="48" t="inlineStr">
        <is>
          <t>&lt; target</t>
        </is>
      </c>
    </row>
    <row r="117">
      <c r="A117" s="7" t="n">
        <v>113</v>
      </c>
      <c r="B117" s="128" t="n">
        <v>211138656561.093</v>
      </c>
      <c r="C117" s="128" t="n">
        <v>451295000000</v>
      </c>
      <c r="D117" s="22" t="n">
        <v>0.2339253221962276</v>
      </c>
      <c r="E117" t="inlineStr">
        <is>
          <t>&lt; target</t>
        </is>
      </c>
      <c r="F117" s="22" t="n">
        <v>0.2339253221962276</v>
      </c>
      <c r="G117" t="inlineStr">
        <is>
          <t>&lt; target</t>
        </is>
      </c>
      <c r="H117" s="22" t="n">
        <v>0.2339253221962276</v>
      </c>
      <c r="I117" t="inlineStr">
        <is>
          <t>&lt; target</t>
        </is>
      </c>
      <c r="J117" s="22" t="n">
        <v>0.2339253221962276</v>
      </c>
      <c r="K117" t="inlineStr">
        <is>
          <t>&lt; target</t>
        </is>
      </c>
      <c r="L117" s="22" t="n">
        <v>0.2339253221962276</v>
      </c>
      <c r="M117" t="inlineStr">
        <is>
          <t>&lt; target</t>
        </is>
      </c>
    </row>
    <row r="118">
      <c r="A118" s="45" t="n">
        <v>114</v>
      </c>
      <c r="B118" s="139" t="n">
        <v>211842452082.9633</v>
      </c>
      <c r="C118" s="139" t="n">
        <v>451295000000</v>
      </c>
      <c r="D118" s="47" t="n">
        <v>0.234705073270215</v>
      </c>
      <c r="E118" s="48" t="inlineStr">
        <is>
          <t>&lt; target</t>
        </is>
      </c>
      <c r="F118" s="47" t="n">
        <v>0.234705073270215</v>
      </c>
      <c r="G118" s="48" t="inlineStr">
        <is>
          <t>&lt; target</t>
        </is>
      </c>
      <c r="H118" s="47" t="n">
        <v>0.234705073270215</v>
      </c>
      <c r="I118" s="48" t="inlineStr">
        <is>
          <t>&lt; target</t>
        </is>
      </c>
      <c r="J118" s="47" t="n">
        <v>0.234705073270215</v>
      </c>
      <c r="K118" s="48" t="inlineStr">
        <is>
          <t>&lt; target</t>
        </is>
      </c>
      <c r="L118" s="47" t="n">
        <v>0.234705073270215</v>
      </c>
      <c r="M118" s="48" t="inlineStr">
        <is>
          <t>&lt; target</t>
        </is>
      </c>
    </row>
    <row r="119">
      <c r="A119" s="7" t="n">
        <v>115</v>
      </c>
      <c r="B119" s="128" t="n">
        <v>212548593589.9066</v>
      </c>
      <c r="C119" s="128" t="n">
        <v>451295000000</v>
      </c>
      <c r="D119" s="22" t="n">
        <v>0.2354874235144491</v>
      </c>
      <c r="E119" t="inlineStr">
        <is>
          <t>&lt; target</t>
        </is>
      </c>
      <c r="F119" s="22" t="n">
        <v>0.2354874235144491</v>
      </c>
      <c r="G119" t="inlineStr">
        <is>
          <t>&lt; target</t>
        </is>
      </c>
      <c r="H119" s="22" t="n">
        <v>0.2354874235144491</v>
      </c>
      <c r="I119" t="inlineStr">
        <is>
          <t>&lt; target</t>
        </is>
      </c>
      <c r="J119" s="22" t="n">
        <v>0.2354874235144491</v>
      </c>
      <c r="K119" t="inlineStr">
        <is>
          <t>&lt; target</t>
        </is>
      </c>
      <c r="L119" s="22" t="n">
        <v>0.2354874235144491</v>
      </c>
      <c r="M119" t="inlineStr">
        <is>
          <t>&lt; target</t>
        </is>
      </c>
    </row>
    <row r="120">
      <c r="A120" s="45" t="n">
        <v>116</v>
      </c>
      <c r="B120" s="139" t="n">
        <v>213257088901.873</v>
      </c>
      <c r="C120" s="139" t="n">
        <v>451295000000</v>
      </c>
      <c r="D120" s="47" t="n">
        <v>0.2362723815928306</v>
      </c>
      <c r="E120" s="48" t="inlineStr">
        <is>
          <t>&lt; target</t>
        </is>
      </c>
      <c r="F120" s="47" t="n">
        <v>0.2362723815928306</v>
      </c>
      <c r="G120" s="48" t="inlineStr">
        <is>
          <t>&lt; target</t>
        </is>
      </c>
      <c r="H120" s="47" t="n">
        <v>0.2362723815928306</v>
      </c>
      <c r="I120" s="48" t="inlineStr">
        <is>
          <t>&lt; target</t>
        </is>
      </c>
      <c r="J120" s="47" t="n">
        <v>0.2362723815928306</v>
      </c>
      <c r="K120" s="48" t="inlineStr">
        <is>
          <t>&lt; target</t>
        </is>
      </c>
      <c r="L120" s="47" t="n">
        <v>0.2362723815928306</v>
      </c>
      <c r="M120" s="48" t="inlineStr">
        <is>
          <t>&lt; target</t>
        </is>
      </c>
    </row>
    <row r="121">
      <c r="A121" s="7" t="n">
        <v>117</v>
      </c>
      <c r="B121" s="128" t="n">
        <v>213967945864.8792</v>
      </c>
      <c r="C121" s="128" t="n">
        <v>451295000000</v>
      </c>
      <c r="D121" s="22" t="n">
        <v>0.23705995619814</v>
      </c>
      <c r="E121" t="inlineStr">
        <is>
          <t>&lt; target</t>
        </is>
      </c>
      <c r="F121" s="22" t="n">
        <v>0.23705995619814</v>
      </c>
      <c r="G121" t="inlineStr">
        <is>
          <t>&lt; target</t>
        </is>
      </c>
      <c r="H121" s="22" t="n">
        <v>0.23705995619814</v>
      </c>
      <c r="I121" t="inlineStr">
        <is>
          <t>&lt; target</t>
        </is>
      </c>
      <c r="J121" s="22" t="n">
        <v>0.23705995619814</v>
      </c>
      <c r="K121" t="inlineStr">
        <is>
          <t>&lt; target</t>
        </is>
      </c>
      <c r="L121" s="22" t="n">
        <v>0.23705995619814</v>
      </c>
      <c r="M121" t="inlineStr">
        <is>
          <t>&lt; target</t>
        </is>
      </c>
    </row>
    <row r="122">
      <c r="A122" s="45" t="n">
        <v>118</v>
      </c>
      <c r="B122" s="139" t="n">
        <v>214681172351.0955</v>
      </c>
      <c r="C122" s="139" t="n">
        <v>451295000000</v>
      </c>
      <c r="D122" s="47" t="n">
        <v>0.2378501560521339</v>
      </c>
      <c r="E122" s="48" t="inlineStr">
        <is>
          <t>&lt; target</t>
        </is>
      </c>
      <c r="F122" s="47" t="n">
        <v>0.2378501560521339</v>
      </c>
      <c r="G122" s="48" t="inlineStr">
        <is>
          <t>&lt; target</t>
        </is>
      </c>
      <c r="H122" s="47" t="n">
        <v>0.2378501560521339</v>
      </c>
      <c r="I122" s="48" t="inlineStr">
        <is>
          <t>&lt; target</t>
        </is>
      </c>
      <c r="J122" s="47" t="n">
        <v>0.2378501560521339</v>
      </c>
      <c r="K122" s="48" t="inlineStr">
        <is>
          <t>&lt; target</t>
        </is>
      </c>
      <c r="L122" s="47" t="n">
        <v>0.2378501560521339</v>
      </c>
      <c r="M122" s="48" t="inlineStr">
        <is>
          <t>&lt; target</t>
        </is>
      </c>
    </row>
    <row r="123">
      <c r="A123" s="7" t="n">
        <v>119</v>
      </c>
      <c r="B123" s="128" t="n">
        <v>215396776258.9325</v>
      </c>
      <c r="C123" s="128" t="n">
        <v>451295000000</v>
      </c>
      <c r="D123" s="22" t="n">
        <v>0.238642989905641</v>
      </c>
      <c r="E123" t="inlineStr">
        <is>
          <t>&lt; target</t>
        </is>
      </c>
      <c r="F123" s="22" t="n">
        <v>0.238642989905641</v>
      </c>
      <c r="G123" t="inlineStr">
        <is>
          <t>&lt; target</t>
        </is>
      </c>
      <c r="H123" s="22" t="n">
        <v>0.238642989905641</v>
      </c>
      <c r="I123" t="inlineStr">
        <is>
          <t>&lt; target</t>
        </is>
      </c>
      <c r="J123" s="22" t="n">
        <v>0.238642989905641</v>
      </c>
      <c r="K123" t="inlineStr">
        <is>
          <t>&lt; target</t>
        </is>
      </c>
      <c r="L123" s="22" t="n">
        <v>0.238642989905641</v>
      </c>
      <c r="M123" t="inlineStr">
        <is>
          <t>&lt; target</t>
        </is>
      </c>
    </row>
    <row r="124">
      <c r="A124" s="45" t="n">
        <v>120</v>
      </c>
      <c r="B124" s="139" t="n">
        <v>216114765513.129</v>
      </c>
      <c r="C124" s="139" t="n">
        <v>451295000000</v>
      </c>
      <c r="D124" s="47" t="n">
        <v>0.2394384665386598</v>
      </c>
      <c r="E124" s="48" t="inlineStr">
        <is>
          <t>&lt; target</t>
        </is>
      </c>
      <c r="F124" s="47" t="n">
        <v>0.2394384665386598</v>
      </c>
      <c r="G124" s="48" t="inlineStr">
        <is>
          <t>&lt; target</t>
        </is>
      </c>
      <c r="H124" s="47" t="n">
        <v>0.2394384665386598</v>
      </c>
      <c r="I124" s="48" t="inlineStr">
        <is>
          <t>&lt; target</t>
        </is>
      </c>
      <c r="J124" s="47" t="n">
        <v>0.2394384665386598</v>
      </c>
      <c r="K124" s="48" t="inlineStr">
        <is>
          <t>&lt; target</t>
        </is>
      </c>
      <c r="L124" s="47" t="n">
        <v>0.2394384665386598</v>
      </c>
      <c r="M124" s="48" t="inlineStr">
        <is>
          <t>&lt; target</t>
        </is>
      </c>
    </row>
    <row r="125">
      <c r="A125" s="7" t="n">
        <v>121</v>
      </c>
      <c r="B125" s="128" t="n">
        <v>216835148064.8394</v>
      </c>
      <c r="C125" s="128" t="n">
        <v>451295000000</v>
      </c>
      <c r="D125" s="22" t="n">
        <v>0.2402365947604553</v>
      </c>
      <c r="E125" t="inlineStr">
        <is>
          <t>&lt; target</t>
        </is>
      </c>
      <c r="F125" s="22" t="n">
        <v>0.2402365947604553</v>
      </c>
      <c r="G125" t="inlineStr">
        <is>
          <t>&lt; target</t>
        </is>
      </c>
      <c r="H125" s="22" t="n">
        <v>0.2402365947604553</v>
      </c>
      <c r="I125" t="inlineStr">
        <is>
          <t>&lt; target</t>
        </is>
      </c>
      <c r="J125" s="22" t="n">
        <v>0.2402365947604553</v>
      </c>
      <c r="K125" t="inlineStr">
        <is>
          <t>&lt; target</t>
        </is>
      </c>
      <c r="L125" s="22" t="n">
        <v>0.2402365947604553</v>
      </c>
      <c r="M125" t="inlineStr">
        <is>
          <t>&lt; target</t>
        </is>
      </c>
    </row>
    <row r="126">
      <c r="A126" s="45" t="n">
        <v>122</v>
      </c>
      <c r="B126" s="139" t="n">
        <v>217557931891.7222</v>
      </c>
      <c r="C126" s="139" t="n">
        <v>451295000000</v>
      </c>
      <c r="D126" s="47" t="n">
        <v>0.2410373834096569</v>
      </c>
      <c r="E126" s="48" t="inlineStr">
        <is>
          <t>&lt; target</t>
        </is>
      </c>
      <c r="F126" s="47" t="n">
        <v>0.2410373834096569</v>
      </c>
      <c r="G126" s="48" t="inlineStr">
        <is>
          <t>&lt; target</t>
        </is>
      </c>
      <c r="H126" s="47" t="n">
        <v>0.2410373834096569</v>
      </c>
      <c r="I126" s="48" t="inlineStr">
        <is>
          <t>&lt; target</t>
        </is>
      </c>
      <c r="J126" s="47" t="n">
        <v>0.2410373834096569</v>
      </c>
      <c r="K126" s="48" t="inlineStr">
        <is>
          <t>&lt; target</t>
        </is>
      </c>
      <c r="L126" s="47" t="n">
        <v>0.2410373834096569</v>
      </c>
      <c r="M126" s="48" t="inlineStr">
        <is>
          <t>&lt; target</t>
        </is>
      </c>
    </row>
    <row r="127">
      <c r="A127" s="7" t="n">
        <v>123</v>
      </c>
      <c r="B127" s="128" t="n">
        <v>218283124998.028</v>
      </c>
      <c r="C127" s="128" t="n">
        <v>451295000000</v>
      </c>
      <c r="D127" s="22" t="n">
        <v>0.2418408413543558</v>
      </c>
      <c r="E127" t="inlineStr">
        <is>
          <t>&lt; target</t>
        </is>
      </c>
      <c r="F127" s="22" t="n">
        <v>0.2418408413543558</v>
      </c>
      <c r="G127" t="inlineStr">
        <is>
          <t>&lt; target</t>
        </is>
      </c>
      <c r="H127" s="22" t="n">
        <v>0.2418408413543558</v>
      </c>
      <c r="I127" t="inlineStr">
        <is>
          <t>&lt; target</t>
        </is>
      </c>
      <c r="J127" s="22" t="n">
        <v>0.2418408413543558</v>
      </c>
      <c r="K127" t="inlineStr">
        <is>
          <t>&lt; target</t>
        </is>
      </c>
      <c r="L127" s="22" t="n">
        <v>0.2418408413543558</v>
      </c>
      <c r="M127" t="inlineStr">
        <is>
          <t>&lt; target</t>
        </is>
      </c>
    </row>
    <row r="128">
      <c r="A128" s="45" t="n">
        <v>124</v>
      </c>
      <c r="B128" s="139" t="n">
        <v>219010735414.6881</v>
      </c>
      <c r="C128" s="139" t="n">
        <v>451295000000</v>
      </c>
      <c r="D128" s="47" t="n">
        <v>0.2426469774922036</v>
      </c>
      <c r="E128" s="48" t="inlineStr">
        <is>
          <t>&lt; target</t>
        </is>
      </c>
      <c r="F128" s="47" t="n">
        <v>0.2426469774922036</v>
      </c>
      <c r="G128" s="48" t="inlineStr">
        <is>
          <t>&lt; target</t>
        </is>
      </c>
      <c r="H128" s="47" t="n">
        <v>0.2426469774922036</v>
      </c>
      <c r="I128" s="48" t="inlineStr">
        <is>
          <t>&lt; target</t>
        </is>
      </c>
      <c r="J128" s="47" t="n">
        <v>0.2426469774922036</v>
      </c>
      <c r="K128" s="48" t="inlineStr">
        <is>
          <t>&lt; target</t>
        </is>
      </c>
      <c r="L128" s="47" t="n">
        <v>0.2426469774922036</v>
      </c>
      <c r="M128" s="48" t="inlineStr">
        <is>
          <t>&lt; target</t>
        </is>
      </c>
    </row>
    <row r="129">
      <c r="A129" s="7" t="n">
        <v>125</v>
      </c>
      <c r="B129" s="128" t="n">
        <v>219740771199.4037</v>
      </c>
      <c r="C129" s="128" t="n">
        <v>451295000000</v>
      </c>
      <c r="D129" s="22" t="n">
        <v>0.243455800750511</v>
      </c>
      <c r="E129" t="inlineStr">
        <is>
          <t>&lt; target</t>
        </is>
      </c>
      <c r="F129" s="22" t="n">
        <v>0.243455800750511</v>
      </c>
      <c r="G129" t="inlineStr">
        <is>
          <t>&lt; target</t>
        </is>
      </c>
      <c r="H129" s="22" t="n">
        <v>0.243455800750511</v>
      </c>
      <c r="I129" t="inlineStr">
        <is>
          <t>&lt; target</t>
        </is>
      </c>
      <c r="J129" s="22" t="n">
        <v>0.243455800750511</v>
      </c>
      <c r="K129" t="inlineStr">
        <is>
          <t>&lt; target</t>
        </is>
      </c>
      <c r="L129" s="22" t="n">
        <v>0.243455800750511</v>
      </c>
      <c r="M129" t="inlineStr">
        <is>
          <t>&lt; target</t>
        </is>
      </c>
    </row>
    <row r="130">
      <c r="A130" s="45" t="n">
        <v>126</v>
      </c>
      <c r="B130" s="139" t="n">
        <v>220473240436.7351</v>
      </c>
      <c r="C130" s="139" t="n">
        <v>451295000000</v>
      </c>
      <c r="D130" s="47" t="n">
        <v>0.2442673200863461</v>
      </c>
      <c r="E130" s="48" t="inlineStr">
        <is>
          <t>&lt; target</t>
        </is>
      </c>
      <c r="F130" s="47" t="n">
        <v>0.2442673200863461</v>
      </c>
      <c r="G130" s="48" t="inlineStr">
        <is>
          <t>&lt; target</t>
        </is>
      </c>
      <c r="H130" s="47" t="n">
        <v>0.2442673200863461</v>
      </c>
      <c r="I130" s="48" t="inlineStr">
        <is>
          <t>&lt; target</t>
        </is>
      </c>
      <c r="J130" s="47" t="n">
        <v>0.2442673200863461</v>
      </c>
      <c r="K130" s="48" t="inlineStr">
        <is>
          <t>&lt; target</t>
        </is>
      </c>
      <c r="L130" s="47" t="n">
        <v>0.2442673200863461</v>
      </c>
      <c r="M130" s="48" t="inlineStr">
        <is>
          <t>&lt; target</t>
        </is>
      </c>
    </row>
    <row r="131">
      <c r="A131" s="7" t="n">
        <v>127</v>
      </c>
      <c r="B131" s="128" t="n">
        <v>221208151238.1909</v>
      </c>
      <c r="C131" s="128" t="n">
        <v>451295000000</v>
      </c>
      <c r="D131" s="22" t="n">
        <v>0.2450815444866339</v>
      </c>
      <c r="E131" t="inlineStr">
        <is>
          <t>&lt; target</t>
        </is>
      </c>
      <c r="F131" s="22" t="n">
        <v>0.2450815444866339</v>
      </c>
      <c r="G131" t="inlineStr">
        <is>
          <t>&lt; target</t>
        </is>
      </c>
      <c r="H131" s="22" t="n">
        <v>0.2450815444866339</v>
      </c>
      <c r="I131" t="inlineStr">
        <is>
          <t>&lt; target</t>
        </is>
      </c>
      <c r="J131" s="22" t="n">
        <v>0.2450815444866339</v>
      </c>
      <c r="K131" t="inlineStr">
        <is>
          <t>&lt; target</t>
        </is>
      </c>
      <c r="L131" s="22" t="n">
        <v>0.2450815444866339</v>
      </c>
      <c r="M131" t="inlineStr">
        <is>
          <t>&lt; target</t>
        </is>
      </c>
    </row>
    <row r="132">
      <c r="A132" s="45" t="n">
        <v>128</v>
      </c>
      <c r="B132" s="139" t="n">
        <v>221945511742.3182</v>
      </c>
      <c r="C132" s="139" t="n">
        <v>451295000000</v>
      </c>
      <c r="D132" s="47" t="n">
        <v>0.2458984829682561</v>
      </c>
      <c r="E132" s="48" t="inlineStr">
        <is>
          <t>&lt; target</t>
        </is>
      </c>
      <c r="F132" s="47" t="n">
        <v>0.2458984829682561</v>
      </c>
      <c r="G132" s="48" t="inlineStr">
        <is>
          <t>&lt; target</t>
        </is>
      </c>
      <c r="H132" s="47" t="n">
        <v>0.2458984829682561</v>
      </c>
      <c r="I132" s="48" t="inlineStr">
        <is>
          <t>&lt; target</t>
        </is>
      </c>
      <c r="J132" s="47" t="n">
        <v>0.2458984829682561</v>
      </c>
      <c r="K132" s="48" t="inlineStr">
        <is>
          <t>&lt; target</t>
        </is>
      </c>
      <c r="L132" s="47" t="n">
        <v>0.2458984829682561</v>
      </c>
      <c r="M132" s="48" t="inlineStr">
        <is>
          <t>&lt; target</t>
        </is>
      </c>
    </row>
    <row r="133">
      <c r="A133" s="7" t="n">
        <v>129</v>
      </c>
      <c r="B133" s="128" t="n">
        <v>222685330114.7926</v>
      </c>
      <c r="C133" s="128" t="n">
        <v>451295000000</v>
      </c>
      <c r="D133" s="22" t="n">
        <v>0.2467181445781502</v>
      </c>
      <c r="E133" t="inlineStr">
        <is>
          <t>&lt; target</t>
        </is>
      </c>
      <c r="F133" s="22" t="n">
        <v>0.2467181445781502</v>
      </c>
      <c r="G133" t="inlineStr">
        <is>
          <t>&lt; target</t>
        </is>
      </c>
      <c r="H133" s="22" t="n">
        <v>0.2467181445781502</v>
      </c>
      <c r="I133" t="inlineStr">
        <is>
          <t>&lt; target</t>
        </is>
      </c>
      <c r="J133" s="22" t="n">
        <v>0.2467181445781502</v>
      </c>
      <c r="K133" t="inlineStr">
        <is>
          <t>&lt; target</t>
        </is>
      </c>
      <c r="L133" s="22" t="n">
        <v>0.2467181445781502</v>
      </c>
      <c r="M133" t="inlineStr">
        <is>
          <t>&lt; target</t>
        </is>
      </c>
    </row>
    <row r="134">
      <c r="A134" s="45" t="n">
        <v>130</v>
      </c>
      <c r="B134" s="139" t="n">
        <v>223427614548.5086</v>
      </c>
      <c r="C134" s="139" t="n">
        <v>451295000000</v>
      </c>
      <c r="D134" s="47" t="n">
        <v>0.2475405383934108</v>
      </c>
      <c r="E134" s="48" t="inlineStr">
        <is>
          <t>&lt; target</t>
        </is>
      </c>
      <c r="F134" s="47" t="n">
        <v>0.2475405383934108</v>
      </c>
      <c r="G134" s="48" t="inlineStr">
        <is>
          <t>&lt; target</t>
        </is>
      </c>
      <c r="H134" s="47" t="n">
        <v>0.2475405383934108</v>
      </c>
      <c r="I134" s="48" t="inlineStr">
        <is>
          <t>&lt; target</t>
        </is>
      </c>
      <c r="J134" s="47" t="n">
        <v>0.2475405383934108</v>
      </c>
      <c r="K134" s="48" t="inlineStr">
        <is>
          <t>&lt; target</t>
        </is>
      </c>
      <c r="L134" s="47" t="n">
        <v>0.2475405383934108</v>
      </c>
      <c r="M134" s="48" t="inlineStr">
        <is>
          <t>&lt; target</t>
        </is>
      </c>
    </row>
    <row r="135">
      <c r="A135" s="7" t="n">
        <v>131</v>
      </c>
      <c r="B135" s="128" t="n">
        <v>224172373263.6703</v>
      </c>
      <c r="C135" s="128" t="n">
        <v>451295000000</v>
      </c>
      <c r="D135" s="22" t="n">
        <v>0.2483656735213888</v>
      </c>
      <c r="E135" t="inlineStr">
        <is>
          <t>&lt; target</t>
        </is>
      </c>
      <c r="F135" s="22" t="n">
        <v>0.2483656735213888</v>
      </c>
      <c r="G135" t="inlineStr">
        <is>
          <t>&lt; target</t>
        </is>
      </c>
      <c r="H135" s="22" t="n">
        <v>0.2483656735213888</v>
      </c>
      <c r="I135" t="inlineStr">
        <is>
          <t>&lt; target</t>
        </is>
      </c>
      <c r="J135" s="22" t="n">
        <v>0.2483656735213888</v>
      </c>
      <c r="K135" t="inlineStr">
        <is>
          <t>&lt; target</t>
        </is>
      </c>
      <c r="L135" s="22" t="n">
        <v>0.2483656735213888</v>
      </c>
      <c r="M135" t="inlineStr">
        <is>
          <t>&lt; target</t>
        </is>
      </c>
    </row>
    <row r="136">
      <c r="A136" s="45" t="n">
        <v>132</v>
      </c>
      <c r="B136" s="139" t="n">
        <v>224919614507.8826</v>
      </c>
      <c r="C136" s="139" t="n">
        <v>451295000000</v>
      </c>
      <c r="D136" s="47" t="n">
        <v>0.2491935590997935</v>
      </c>
      <c r="E136" s="48" t="inlineStr">
        <is>
          <t>&lt; target</t>
        </is>
      </c>
      <c r="F136" s="47" t="n">
        <v>0.2491935590997935</v>
      </c>
      <c r="G136" s="48" t="inlineStr">
        <is>
          <t>&lt; target</t>
        </is>
      </c>
      <c r="H136" s="47" t="n">
        <v>0.2491935590997935</v>
      </c>
      <c r="I136" s="48" t="inlineStr">
        <is>
          <t>&lt; target</t>
        </is>
      </c>
      <c r="J136" s="47" t="n">
        <v>0.2491935590997935</v>
      </c>
      <c r="K136" s="48" t="inlineStr">
        <is>
          <t>&lt; target</t>
        </is>
      </c>
      <c r="L136" s="47" t="n">
        <v>0.2491935590997935</v>
      </c>
      <c r="M136" s="48" t="inlineStr">
        <is>
          <t>&lt; target</t>
        </is>
      </c>
    </row>
    <row r="137">
      <c r="A137" s="7" t="n">
        <v>133</v>
      </c>
      <c r="B137" s="128" t="n">
        <v>225669346556.2422</v>
      </c>
      <c r="C137" s="128" t="n">
        <v>451295000000</v>
      </c>
      <c r="D137" s="22" t="n">
        <v>0.2500242042967928</v>
      </c>
      <c r="E137" t="inlineStr">
        <is>
          <t>&lt; target</t>
        </is>
      </c>
      <c r="F137" s="22" t="n">
        <v>0.2500242042967928</v>
      </c>
      <c r="G137" t="inlineStr">
        <is>
          <t>&lt; target</t>
        </is>
      </c>
      <c r="H137" s="22" t="n">
        <v>0.2500242042967928</v>
      </c>
      <c r="I137" t="inlineStr">
        <is>
          <t>&lt; target</t>
        </is>
      </c>
      <c r="J137" s="22" t="n">
        <v>0.2500242042967928</v>
      </c>
      <c r="K137" t="inlineStr">
        <is>
          <t>&lt; target</t>
        </is>
      </c>
      <c r="L137" s="22" t="n">
        <v>0.2500242042967928</v>
      </c>
      <c r="M137" t="inlineStr">
        <is>
          <t>&lt; target</t>
        </is>
      </c>
    </row>
    <row r="138">
      <c r="A138" s="45" t="n">
        <v>134</v>
      </c>
      <c r="B138" s="139" t="n">
        <v>226421577711.4297</v>
      </c>
      <c r="C138" s="139" t="n">
        <v>451295000000</v>
      </c>
      <c r="D138" s="47" t="n">
        <v>0.2508576183111154</v>
      </c>
      <c r="E138" s="48" t="inlineStr">
        <is>
          <t>&lt; target</t>
        </is>
      </c>
      <c r="F138" s="47" t="n">
        <v>0.2508576183111154</v>
      </c>
      <c r="G138" s="48" t="inlineStr">
        <is>
          <t>&lt; target</t>
        </is>
      </c>
      <c r="H138" s="47" t="n">
        <v>0.2508576183111154</v>
      </c>
      <c r="I138" s="48" t="inlineStr">
        <is>
          <t>&lt; target</t>
        </is>
      </c>
      <c r="J138" s="47" t="n">
        <v>0.2508576183111154</v>
      </c>
      <c r="K138" s="48" t="inlineStr">
        <is>
          <t>&lt; target</t>
        </is>
      </c>
      <c r="L138" s="47" t="n">
        <v>0.2508576183111154</v>
      </c>
      <c r="M138" s="48" t="inlineStr">
        <is>
          <t>&lt; target</t>
        </is>
      </c>
    </row>
    <row r="139">
      <c r="A139" s="7" t="n">
        <v>135</v>
      </c>
      <c r="B139" s="128" t="n">
        <v>227176316303.8011</v>
      </c>
      <c r="C139" s="128" t="n">
        <v>451295000000</v>
      </c>
      <c r="D139" s="22" t="n">
        <v>0.2516938103721525</v>
      </c>
      <c r="E139" t="inlineStr">
        <is>
          <t>&lt; target</t>
        </is>
      </c>
      <c r="F139" s="22" t="n">
        <v>0.2516938103721525</v>
      </c>
      <c r="G139" t="inlineStr">
        <is>
          <t>&lt; target</t>
        </is>
      </c>
      <c r="H139" s="22" t="n">
        <v>0.2516938103721525</v>
      </c>
      <c r="I139" t="inlineStr">
        <is>
          <t>&lt; target</t>
        </is>
      </c>
      <c r="J139" s="22" t="n">
        <v>0.2516938103721525</v>
      </c>
      <c r="K139" t="inlineStr">
        <is>
          <t>&lt; target</t>
        </is>
      </c>
      <c r="L139" s="22" t="n">
        <v>0.2516938103721525</v>
      </c>
      <c r="M139" t="inlineStr">
        <is>
          <t>&lt; target</t>
        </is>
      </c>
    </row>
    <row r="140">
      <c r="A140" s="45" t="n">
        <v>136</v>
      </c>
      <c r="B140" s="139" t="n">
        <v>227933570691.4805</v>
      </c>
      <c r="C140" s="139" t="n">
        <v>451295000000</v>
      </c>
      <c r="D140" s="47" t="n">
        <v>0.2525327897400597</v>
      </c>
      <c r="E140" s="48" t="inlineStr">
        <is>
          <t>&lt; target</t>
        </is>
      </c>
      <c r="F140" s="47" t="n">
        <v>0.2525327897400597</v>
      </c>
      <c r="G140" s="48" t="inlineStr">
        <is>
          <t>&lt; target</t>
        </is>
      </c>
      <c r="H140" s="47" t="n">
        <v>0.2525327897400597</v>
      </c>
      <c r="I140" s="48" t="inlineStr">
        <is>
          <t>&lt; target</t>
        </is>
      </c>
      <c r="J140" s="47" t="n">
        <v>0.2525327897400597</v>
      </c>
      <c r="K140" s="48" t="inlineStr">
        <is>
          <t>&lt; target</t>
        </is>
      </c>
      <c r="L140" s="47" t="n">
        <v>0.2525327897400597</v>
      </c>
      <c r="M140" s="48" t="inlineStr">
        <is>
          <t>&lt; target</t>
        </is>
      </c>
    </row>
    <row r="141">
      <c r="A141" s="7" t="n">
        <v>137</v>
      </c>
      <c r="B141" s="128" t="n">
        <v>228693349260.4521</v>
      </c>
      <c r="C141" s="128" t="n">
        <v>451295000000</v>
      </c>
      <c r="D141" s="22" t="n">
        <v>0.2533745657058599</v>
      </c>
      <c r="E141" t="inlineStr">
        <is>
          <t>&lt; target</t>
        </is>
      </c>
      <c r="F141" s="22" t="n">
        <v>0.2533745657058599</v>
      </c>
      <c r="G141" t="inlineStr">
        <is>
          <t>&lt; target</t>
        </is>
      </c>
      <c r="H141" s="22" t="n">
        <v>0.2533745657058599</v>
      </c>
      <c r="I141" t="inlineStr">
        <is>
          <t>&lt; target</t>
        </is>
      </c>
      <c r="J141" s="22" t="n">
        <v>0.2533745657058599</v>
      </c>
      <c r="K141" t="inlineStr">
        <is>
          <t>&lt; target</t>
        </is>
      </c>
      <c r="L141" s="22" t="n">
        <v>0.2533745657058599</v>
      </c>
      <c r="M141" t="inlineStr">
        <is>
          <t>&lt; target</t>
        </is>
      </c>
    </row>
    <row r="142">
      <c r="A142" s="45" t="n">
        <v>138</v>
      </c>
      <c r="B142" s="139" t="n">
        <v>229455660424.6537</v>
      </c>
      <c r="C142" s="139" t="n">
        <v>451295000000</v>
      </c>
      <c r="D142" s="47" t="n">
        <v>0.2542191475915462</v>
      </c>
      <c r="E142" s="48" t="inlineStr">
        <is>
          <t>&lt; target</t>
        </is>
      </c>
      <c r="F142" s="47" t="n">
        <v>0.2542191475915462</v>
      </c>
      <c r="G142" s="48" t="inlineStr">
        <is>
          <t>&lt; target</t>
        </is>
      </c>
      <c r="H142" s="47" t="n">
        <v>0.2542191475915462</v>
      </c>
      <c r="I142" s="48" t="inlineStr">
        <is>
          <t>&lt; target</t>
        </is>
      </c>
      <c r="J142" s="47" t="n">
        <v>0.2542191475915462</v>
      </c>
      <c r="K142" s="48" t="inlineStr">
        <is>
          <t>&lt; target</t>
        </is>
      </c>
      <c r="L142" s="47" t="n">
        <v>0.2542191475915462</v>
      </c>
      <c r="M142" s="48" t="inlineStr">
        <is>
          <t>&lt; target</t>
        </is>
      </c>
    </row>
    <row r="143">
      <c r="A143" s="7" t="n">
        <v>139</v>
      </c>
      <c r="B143" s="128" t="n">
        <v>230220512626.0692</v>
      </c>
      <c r="C143" s="128" t="n">
        <v>451295000000</v>
      </c>
      <c r="D143" s="22" t="n">
        <v>0.2550665447501847</v>
      </c>
      <c r="E143" t="inlineStr">
        <is>
          <t>&lt; target</t>
        </is>
      </c>
      <c r="F143" s="22" t="n">
        <v>0.2550665447501847</v>
      </c>
      <c r="G143" t="inlineStr">
        <is>
          <t>&lt; target</t>
        </is>
      </c>
      <c r="H143" s="22" t="n">
        <v>0.2550665447501847</v>
      </c>
      <c r="I143" t="inlineStr">
        <is>
          <t>&lt; target</t>
        </is>
      </c>
      <c r="J143" s="22" t="n">
        <v>0.2550665447501847</v>
      </c>
      <c r="K143" t="inlineStr">
        <is>
          <t>&lt; target</t>
        </is>
      </c>
      <c r="L143" s="22" t="n">
        <v>0.2550665447501847</v>
      </c>
      <c r="M143" t="inlineStr">
        <is>
          <t>&lt; target</t>
        </is>
      </c>
    </row>
    <row r="144">
      <c r="A144" s="45" t="n">
        <v>140</v>
      </c>
      <c r="B144" s="139" t="n">
        <v>230987914334.8228</v>
      </c>
      <c r="C144" s="139" t="n">
        <v>451295000000</v>
      </c>
      <c r="D144" s="47" t="n">
        <v>0.2559167665660186</v>
      </c>
      <c r="E144" s="48" t="inlineStr">
        <is>
          <t>&lt; target</t>
        </is>
      </c>
      <c r="F144" s="47" t="n">
        <v>0.2559167665660186</v>
      </c>
      <c r="G144" s="48" t="inlineStr">
        <is>
          <t>&lt; target</t>
        </is>
      </c>
      <c r="H144" s="47" t="n">
        <v>0.2559167665660186</v>
      </c>
      <c r="I144" s="48" t="inlineStr">
        <is>
          <t>&lt; target</t>
        </is>
      </c>
      <c r="J144" s="47" t="n">
        <v>0.2559167665660186</v>
      </c>
      <c r="K144" s="48" t="inlineStr">
        <is>
          <t>&lt; target</t>
        </is>
      </c>
      <c r="L144" s="47" t="n">
        <v>0.2559167665660186</v>
      </c>
      <c r="M144" s="48" t="inlineStr">
        <is>
          <t>&lt; target</t>
        </is>
      </c>
    </row>
    <row r="145">
      <c r="A145" s="7" t="n">
        <v>141</v>
      </c>
      <c r="B145" s="128" t="n">
        <v>231757874049.2722</v>
      </c>
      <c r="C145" s="128" t="n">
        <v>451295000000</v>
      </c>
      <c r="D145" s="22" t="n">
        <v>0.256769822454572</v>
      </c>
      <c r="E145" t="inlineStr">
        <is>
          <t>&lt; target</t>
        </is>
      </c>
      <c r="F145" s="22" t="n">
        <v>0.256769822454572</v>
      </c>
      <c r="G145" t="inlineStr">
        <is>
          <t>&lt; target</t>
        </is>
      </c>
      <c r="H145" s="22" t="n">
        <v>0.256769822454572</v>
      </c>
      <c r="I145" t="inlineStr">
        <is>
          <t>&lt; target</t>
        </is>
      </c>
      <c r="J145" s="22" t="n">
        <v>0.256769822454572</v>
      </c>
      <c r="K145" t="inlineStr">
        <is>
          <t>&lt; target</t>
        </is>
      </c>
      <c r="L145" s="22" t="n">
        <v>0.256769822454572</v>
      </c>
      <c r="M145" t="inlineStr">
        <is>
          <t>&lt; target</t>
        </is>
      </c>
    </row>
    <row r="146">
      <c r="A146" s="45" t="n">
        <v>142</v>
      </c>
      <c r="B146" s="139" t="n">
        <v>232530400296.1031</v>
      </c>
      <c r="C146" s="139" t="n">
        <v>451295000000</v>
      </c>
      <c r="D146" s="47" t="n">
        <v>0.257625721862754</v>
      </c>
      <c r="E146" s="48" t="inlineStr">
        <is>
          <t>&lt; target</t>
        </is>
      </c>
      <c r="F146" s="47" t="n">
        <v>0.257625721862754</v>
      </c>
      <c r="G146" s="48" t="inlineStr">
        <is>
          <t>&lt; target</t>
        </is>
      </c>
      <c r="H146" s="47" t="n">
        <v>0.257625721862754</v>
      </c>
      <c r="I146" s="48" t="inlineStr">
        <is>
          <t>&lt; target</t>
        </is>
      </c>
      <c r="J146" s="47" t="n">
        <v>0.257625721862754</v>
      </c>
      <c r="K146" s="48" t="inlineStr">
        <is>
          <t>&lt; target</t>
        </is>
      </c>
      <c r="L146" s="47" t="n">
        <v>0.257625721862754</v>
      </c>
      <c r="M146" s="48" t="inlineStr">
        <is>
          <t>&lt; target</t>
        </is>
      </c>
    </row>
    <row r="147">
      <c r="A147" s="7" t="n">
        <v>143</v>
      </c>
      <c r="B147" s="128" t="n">
        <v>233305501630.4235</v>
      </c>
      <c r="C147" s="128" t="n">
        <v>451295000000</v>
      </c>
      <c r="D147" s="22" t="n">
        <v>0.2584844742689632</v>
      </c>
      <c r="E147" t="inlineStr">
        <is>
          <t>&lt; target</t>
        </is>
      </c>
      <c r="F147" s="22" t="n">
        <v>0.2584844742689632</v>
      </c>
      <c r="G147" t="inlineStr">
        <is>
          <t>&lt; target</t>
        </is>
      </c>
      <c r="H147" s="22" t="n">
        <v>0.2584844742689632</v>
      </c>
      <c r="I147" t="inlineStr">
        <is>
          <t>&lt; target</t>
        </is>
      </c>
      <c r="J147" s="22" t="n">
        <v>0.2584844742689632</v>
      </c>
      <c r="K147" t="inlineStr">
        <is>
          <t>&lt; target</t>
        </is>
      </c>
      <c r="L147" s="22" t="n">
        <v>0.2584844742689632</v>
      </c>
      <c r="M147" t="inlineStr">
        <is>
          <t>&lt; target</t>
        </is>
      </c>
    </row>
    <row r="148">
      <c r="A148" s="45" t="n">
        <v>144</v>
      </c>
      <c r="B148" s="139" t="n">
        <v>234083186635.8582</v>
      </c>
      <c r="C148" s="139" t="n">
        <v>451295000000</v>
      </c>
      <c r="D148" s="47" t="n">
        <v>0.2593460891831931</v>
      </c>
      <c r="E148" s="48" t="inlineStr">
        <is>
          <t>&lt; target</t>
        </is>
      </c>
      <c r="F148" s="47" t="n">
        <v>0.2593460891831931</v>
      </c>
      <c r="G148" s="48" t="inlineStr">
        <is>
          <t>&lt; target</t>
        </is>
      </c>
      <c r="H148" s="47" t="n">
        <v>0.2593460891831931</v>
      </c>
      <c r="I148" s="48" t="inlineStr">
        <is>
          <t>&lt; target</t>
        </is>
      </c>
      <c r="J148" s="47" t="n">
        <v>0.2593460891831931</v>
      </c>
      <c r="K148" s="48" t="inlineStr">
        <is>
          <t>&lt; target</t>
        </is>
      </c>
      <c r="L148" s="47" t="n">
        <v>0.2593460891831931</v>
      </c>
      <c r="M148" s="48" t="inlineStr">
        <is>
          <t>&lt; target</t>
        </is>
      </c>
    </row>
    <row r="149">
      <c r="A149" s="7" t="n">
        <v>145</v>
      </c>
      <c r="B149" s="128" t="n">
        <v>234863463924.6444</v>
      </c>
      <c r="C149" s="128" t="n">
        <v>451295000000</v>
      </c>
      <c r="D149" s="22" t="n">
        <v>0.2602105761471371</v>
      </c>
      <c r="E149" t="inlineStr">
        <is>
          <t>&lt; target</t>
        </is>
      </c>
      <c r="F149" s="22" t="n">
        <v>0.2602105761471371</v>
      </c>
      <c r="G149" t="inlineStr">
        <is>
          <t>&lt; target</t>
        </is>
      </c>
      <c r="H149" s="22" t="n">
        <v>0.2602105761471371</v>
      </c>
      <c r="I149" t="inlineStr">
        <is>
          <t>&lt; target</t>
        </is>
      </c>
      <c r="J149" s="22" t="n">
        <v>0.2602105761471371</v>
      </c>
      <c r="K149" t="inlineStr">
        <is>
          <t>&lt; target</t>
        </is>
      </c>
      <c r="L149" s="22" t="n">
        <v>0.2602105761471371</v>
      </c>
      <c r="M149" t="inlineStr">
        <is>
          <t>&lt; target</t>
        </is>
      </c>
    </row>
    <row r="150">
      <c r="A150" s="45" t="n">
        <v>146</v>
      </c>
      <c r="B150" s="139" t="n">
        <v>235646342137.7266</v>
      </c>
      <c r="C150" s="139" t="n">
        <v>451295000000</v>
      </c>
      <c r="D150" s="47" t="n">
        <v>0.2610779447342942</v>
      </c>
      <c r="E150" s="48" t="inlineStr">
        <is>
          <t>&lt; target</t>
        </is>
      </c>
      <c r="F150" s="47" t="n">
        <v>0.2610779447342942</v>
      </c>
      <c r="G150" s="48" t="inlineStr">
        <is>
          <t>&lt; target</t>
        </is>
      </c>
      <c r="H150" s="47" t="n">
        <v>0.2610779447342942</v>
      </c>
      <c r="I150" s="48" t="inlineStr">
        <is>
          <t>&lt; target</t>
        </is>
      </c>
      <c r="J150" s="47" t="n">
        <v>0.2610779447342942</v>
      </c>
      <c r="K150" s="48" t="inlineStr">
        <is>
          <t>&lt; target</t>
        </is>
      </c>
      <c r="L150" s="47" t="n">
        <v>0.2610779447342942</v>
      </c>
      <c r="M150" s="48" t="inlineStr">
        <is>
          <t>&lt; target</t>
        </is>
      </c>
    </row>
    <row r="151">
      <c r="A151" s="7" t="n">
        <v>147</v>
      </c>
      <c r="B151" s="128" t="n">
        <v>236431829944.8524</v>
      </c>
      <c r="C151" s="128" t="n">
        <v>451295000000</v>
      </c>
      <c r="D151" s="22" t="n">
        <v>0.2619482045500752</v>
      </c>
      <c r="E151" t="inlineStr">
        <is>
          <t>&lt; target</t>
        </is>
      </c>
      <c r="F151" s="22" t="n">
        <v>0.2619482045500752</v>
      </c>
      <c r="G151" t="inlineStr">
        <is>
          <t>&lt; target</t>
        </is>
      </c>
      <c r="H151" s="22" t="n">
        <v>0.2619482045500752</v>
      </c>
      <c r="I151" t="inlineStr">
        <is>
          <t>&lt; target</t>
        </is>
      </c>
      <c r="J151" s="22" t="n">
        <v>0.2619482045500752</v>
      </c>
      <c r="K151" t="inlineStr">
        <is>
          <t>&lt; target</t>
        </is>
      </c>
      <c r="L151" s="22" t="n">
        <v>0.2619482045500752</v>
      </c>
      <c r="M151" t="inlineStr">
        <is>
          <t>&lt; target</t>
        </is>
      </c>
    </row>
    <row r="152">
      <c r="A152" s="45" t="n">
        <v>148</v>
      </c>
      <c r="B152" s="139" t="n">
        <v>237219936044.6686</v>
      </c>
      <c r="C152" s="139" t="n">
        <v>451295000000</v>
      </c>
      <c r="D152" s="47" t="n">
        <v>0.2628213652319088</v>
      </c>
      <c r="E152" s="48" t="inlineStr">
        <is>
          <t>&lt; target</t>
        </is>
      </c>
      <c r="F152" s="47" t="n">
        <v>0.2628213652319088</v>
      </c>
      <c r="G152" s="48" t="inlineStr">
        <is>
          <t>&lt; target</t>
        </is>
      </c>
      <c r="H152" s="47" t="n">
        <v>0.2628213652319088</v>
      </c>
      <c r="I152" s="48" t="inlineStr">
        <is>
          <t>&lt; target</t>
        </is>
      </c>
      <c r="J152" s="47" t="n">
        <v>0.2628213652319088</v>
      </c>
      <c r="K152" s="48" t="inlineStr">
        <is>
          <t>&lt; target</t>
        </is>
      </c>
      <c r="L152" s="47" t="n">
        <v>0.2628213652319088</v>
      </c>
      <c r="M152" s="48" t="inlineStr">
        <is>
          <t>&lt; target</t>
        </is>
      </c>
    </row>
    <row r="153">
      <c r="A153" s="7" t="n">
        <v>149</v>
      </c>
      <c r="B153" s="128" t="n">
        <v>238010669164.8175</v>
      </c>
      <c r="C153" s="128" t="n">
        <v>451295000000</v>
      </c>
      <c r="D153" s="22" t="n">
        <v>0.2636974364493486</v>
      </c>
      <c r="E153" t="inlineStr">
        <is>
          <t>&lt; target</t>
        </is>
      </c>
      <c r="F153" s="22" t="n">
        <v>0.2636974364493486</v>
      </c>
      <c r="G153" t="inlineStr">
        <is>
          <t>&lt; target</t>
        </is>
      </c>
      <c r="H153" s="22" t="n">
        <v>0.2636974364493486</v>
      </c>
      <c r="I153" t="inlineStr">
        <is>
          <t>&lt; target</t>
        </is>
      </c>
      <c r="J153" s="22" t="n">
        <v>0.2636974364493486</v>
      </c>
      <c r="K153" t="inlineStr">
        <is>
          <t>&lt; target</t>
        </is>
      </c>
      <c r="L153" s="22" t="n">
        <v>0.2636974364493486</v>
      </c>
      <c r="M153" t="inlineStr">
        <is>
          <t>&lt; target</t>
        </is>
      </c>
    </row>
    <row r="154">
      <c r="A154" s="45" t="n">
        <v>150</v>
      </c>
      <c r="B154" s="139" t="n">
        <v>238804038062.0336</v>
      </c>
      <c r="C154" s="139" t="n">
        <v>451295000000</v>
      </c>
      <c r="D154" s="47" t="n">
        <v>0.2645764279041797</v>
      </c>
      <c r="E154" s="48" t="inlineStr">
        <is>
          <t>&lt; target</t>
        </is>
      </c>
      <c r="F154" s="47" t="n">
        <v>0.2645764279041797</v>
      </c>
      <c r="G154" s="48" t="inlineStr">
        <is>
          <t>&lt; target</t>
        </is>
      </c>
      <c r="H154" s="47" t="n">
        <v>0.2645764279041797</v>
      </c>
      <c r="I154" s="48" t="inlineStr">
        <is>
          <t>&lt; target</t>
        </is>
      </c>
      <c r="J154" s="47" t="n">
        <v>0.2645764279041797</v>
      </c>
      <c r="K154" s="48" t="inlineStr">
        <is>
          <t>&lt; target</t>
        </is>
      </c>
      <c r="L154" s="47" t="n">
        <v>0.2645764279041797</v>
      </c>
      <c r="M154" s="48" t="inlineStr">
        <is>
          <t>&lt; target</t>
        </is>
      </c>
    </row>
    <row r="155">
      <c r="A155" s="7" t="n">
        <v>151</v>
      </c>
      <c r="B155" s="128" t="n">
        <v>239600051522.2404</v>
      </c>
      <c r="C155" s="128" t="n">
        <v>451295000000</v>
      </c>
      <c r="D155" s="22" t="n">
        <v>0.265458349330527</v>
      </c>
      <c r="E155" t="inlineStr">
        <is>
          <t>&lt; target</t>
        </is>
      </c>
      <c r="F155" s="22" t="n">
        <v>0.265458349330527</v>
      </c>
      <c r="G155" t="inlineStr">
        <is>
          <t>&lt; target</t>
        </is>
      </c>
      <c r="H155" s="22" t="n">
        <v>0.265458349330527</v>
      </c>
      <c r="I155" t="inlineStr">
        <is>
          <t>&lt; target</t>
        </is>
      </c>
      <c r="J155" s="22" t="n">
        <v>0.265458349330527</v>
      </c>
      <c r="K155" t="inlineStr">
        <is>
          <t>&lt; target</t>
        </is>
      </c>
      <c r="L155" s="22" t="n">
        <v>0.265458349330527</v>
      </c>
      <c r="M155" t="inlineStr">
        <is>
          <t>&lt; target</t>
        </is>
      </c>
    </row>
    <row r="156">
      <c r="A156" s="45" t="n">
        <v>152</v>
      </c>
      <c r="B156" s="139" t="n">
        <v>240398718360.6478</v>
      </c>
      <c r="C156" s="139" t="n">
        <v>451295000000</v>
      </c>
      <c r="D156" s="47" t="n">
        <v>0.2663432104949621</v>
      </c>
      <c r="E156" s="48" t="inlineStr">
        <is>
          <t>&lt; target</t>
        </is>
      </c>
      <c r="F156" s="47" t="n">
        <v>0.2663432104949621</v>
      </c>
      <c r="G156" s="48" t="inlineStr">
        <is>
          <t>&lt; target</t>
        </is>
      </c>
      <c r="H156" s="47" t="n">
        <v>0.2663432104949621</v>
      </c>
      <c r="I156" s="48" t="inlineStr">
        <is>
          <t>&lt; target</t>
        </is>
      </c>
      <c r="J156" s="47" t="n">
        <v>0.2663432104949621</v>
      </c>
      <c r="K156" s="48" t="inlineStr">
        <is>
          <t>&lt; target</t>
        </is>
      </c>
      <c r="L156" s="47" t="n">
        <v>0.2663432104949621</v>
      </c>
      <c r="M156" s="48" t="inlineStr">
        <is>
          <t>&lt; target</t>
        </is>
      </c>
    </row>
    <row r="157">
      <c r="A157" s="7" t="n">
        <v>153</v>
      </c>
      <c r="B157" s="128" t="n">
        <v>241200047421.85</v>
      </c>
      <c r="C157" s="128" t="n">
        <v>451295000000</v>
      </c>
      <c r="D157" s="22" t="n">
        <v>0.267231021196612</v>
      </c>
      <c r="E157" t="inlineStr">
        <is>
          <t>&lt; target</t>
        </is>
      </c>
      <c r="F157" s="22" t="n">
        <v>0.267231021196612</v>
      </c>
      <c r="G157" t="inlineStr">
        <is>
          <t>&lt; target</t>
        </is>
      </c>
      <c r="H157" s="22" t="n">
        <v>0.267231021196612</v>
      </c>
      <c r="I157" t="inlineStr">
        <is>
          <t>&lt; target</t>
        </is>
      </c>
      <c r="J157" s="22" t="n">
        <v>0.267231021196612</v>
      </c>
      <c r="K157" t="inlineStr">
        <is>
          <t>&lt; target</t>
        </is>
      </c>
      <c r="L157" s="22" t="n">
        <v>0.267231021196612</v>
      </c>
      <c r="M157" t="inlineStr">
        <is>
          <t>&lt; target</t>
        </is>
      </c>
    </row>
    <row r="158">
      <c r="A158" s="45" t="n">
        <v>154</v>
      </c>
      <c r="B158" s="139" t="n">
        <v>242004047579.9229</v>
      </c>
      <c r="C158" s="139" t="n">
        <v>451295000000</v>
      </c>
      <c r="D158" s="47" t="n">
        <v>0.2681217912672674</v>
      </c>
      <c r="E158" s="48" t="inlineStr">
        <is>
          <t>&lt; target</t>
        </is>
      </c>
      <c r="F158" s="47" t="n">
        <v>0.2681217912672674</v>
      </c>
      <c r="G158" s="48" t="inlineStr">
        <is>
          <t>&lt; target</t>
        </is>
      </c>
      <c r="H158" s="47" t="n">
        <v>0.2681217912672674</v>
      </c>
      <c r="I158" s="48" t="inlineStr">
        <is>
          <t>&lt; target</t>
        </is>
      </c>
      <c r="J158" s="47" t="n">
        <v>0.2681217912672674</v>
      </c>
      <c r="K158" s="48" t="inlineStr">
        <is>
          <t>&lt; target</t>
        </is>
      </c>
      <c r="L158" s="47" t="n">
        <v>0.2681217912672674</v>
      </c>
      <c r="M158" s="48" t="inlineStr">
        <is>
          <t>&lt; target</t>
        </is>
      </c>
    </row>
    <row r="159">
      <c r="A159" s="7" t="n">
        <v>155</v>
      </c>
      <c r="B159" s="128" t="n">
        <v>242810727738.5226</v>
      </c>
      <c r="C159" s="128" t="n">
        <v>451295000000</v>
      </c>
      <c r="D159" s="22" t="n">
        <v>0.2690155305714916</v>
      </c>
      <c r="E159" t="inlineStr">
        <is>
          <t>&lt; target</t>
        </is>
      </c>
      <c r="F159" s="22" t="n">
        <v>0.2690155305714916</v>
      </c>
      <c r="G159" t="inlineStr">
        <is>
          <t>&lt; target</t>
        </is>
      </c>
      <c r="H159" s="22" t="n">
        <v>0.2690155305714916</v>
      </c>
      <c r="I159" t="inlineStr">
        <is>
          <t>&lt; target</t>
        </is>
      </c>
      <c r="J159" s="22" t="n">
        <v>0.2690155305714916</v>
      </c>
      <c r="K159" t="inlineStr">
        <is>
          <t>&lt; target</t>
        </is>
      </c>
      <c r="L159" s="22" t="n">
        <v>0.2690155305714916</v>
      </c>
      <c r="M159" t="inlineStr">
        <is>
          <t>&lt; target</t>
        </is>
      </c>
    </row>
    <row r="160">
      <c r="A160" s="45" t="n">
        <v>156</v>
      </c>
      <c r="B160" s="139" t="n">
        <v>243620096830.9844</v>
      </c>
      <c r="C160" s="139" t="n">
        <v>451295000000</v>
      </c>
      <c r="D160" s="47" t="n">
        <v>0.26991224900673</v>
      </c>
      <c r="E160" s="48" t="inlineStr">
        <is>
          <t>&lt; target</t>
        </is>
      </c>
      <c r="F160" s="47" t="n">
        <v>0.26991224900673</v>
      </c>
      <c r="G160" s="48" t="inlineStr">
        <is>
          <t>&lt; target</t>
        </is>
      </c>
      <c r="H160" s="47" t="n">
        <v>0.26991224900673</v>
      </c>
      <c r="I160" s="48" t="inlineStr">
        <is>
          <t>&lt; target</t>
        </is>
      </c>
      <c r="J160" s="47" t="n">
        <v>0.26991224900673</v>
      </c>
      <c r="K160" s="48" t="inlineStr">
        <is>
          <t>&lt; target</t>
        </is>
      </c>
      <c r="L160" s="47" t="n">
        <v>0.26991224900673</v>
      </c>
      <c r="M160" s="48" t="inlineStr">
        <is>
          <t>&lt; target</t>
        </is>
      </c>
    </row>
    <row r="161">
      <c r="A161" s="7" t="n">
        <v>157</v>
      </c>
      <c r="B161" s="128" t="n">
        <v>244432163820.4211</v>
      </c>
      <c r="C161" s="128" t="n">
        <v>451295000000</v>
      </c>
      <c r="D161" s="22" t="n">
        <v>0.2708119565034191</v>
      </c>
      <c r="E161" t="inlineStr">
        <is>
          <t>&lt; target</t>
        </is>
      </c>
      <c r="F161" s="22" t="n">
        <v>0.2708119565034191</v>
      </c>
      <c r="G161" t="inlineStr">
        <is>
          <t>&lt; target</t>
        </is>
      </c>
      <c r="H161" s="22" t="n">
        <v>0.2708119565034191</v>
      </c>
      <c r="I161" t="inlineStr">
        <is>
          <t>&lt; target</t>
        </is>
      </c>
      <c r="J161" s="22" t="n">
        <v>0.2708119565034191</v>
      </c>
      <c r="K161" t="inlineStr">
        <is>
          <t>&lt; target</t>
        </is>
      </c>
      <c r="L161" s="22" t="n">
        <v>0.2708119565034191</v>
      </c>
      <c r="M161" t="inlineStr">
        <is>
          <t>&lt; target</t>
        </is>
      </c>
    </row>
    <row r="162">
      <c r="A162" s="45" t="n">
        <v>158</v>
      </c>
      <c r="B162" s="139" t="n">
        <v>245246937699.8224</v>
      </c>
      <c r="C162" s="139" t="n">
        <v>451295000000</v>
      </c>
      <c r="D162" s="47" t="n">
        <v>0.2717146630250972</v>
      </c>
      <c r="E162" s="48" t="inlineStr">
        <is>
          <t>&lt; target</t>
        </is>
      </c>
      <c r="F162" s="47" t="n">
        <v>0.2717146630250972</v>
      </c>
      <c r="G162" s="48" t="inlineStr">
        <is>
          <t>&lt; target</t>
        </is>
      </c>
      <c r="H162" s="47" t="n">
        <v>0.2717146630250972</v>
      </c>
      <c r="I162" s="48" t="inlineStr">
        <is>
          <t>&lt; target</t>
        </is>
      </c>
      <c r="J162" s="47" t="n">
        <v>0.2717146630250972</v>
      </c>
      <c r="K162" s="48" t="inlineStr">
        <is>
          <t>&lt; target</t>
        </is>
      </c>
      <c r="L162" s="47" t="n">
        <v>0.2717146630250972</v>
      </c>
      <c r="M162" s="48" t="inlineStr">
        <is>
          <t>&lt; target</t>
        </is>
      </c>
    </row>
    <row r="163">
      <c r="A163" s="7" t="n">
        <v>159</v>
      </c>
      <c r="B163" s="128" t="n">
        <v>246064427492.1552</v>
      </c>
      <c r="C163" s="128" t="n">
        <v>451295000000</v>
      </c>
      <c r="D163" s="22" t="n">
        <v>0.2726203785685142</v>
      </c>
      <c r="E163" t="inlineStr">
        <is>
          <t>&lt; target</t>
        </is>
      </c>
      <c r="F163" s="22" t="n">
        <v>0.2726203785685142</v>
      </c>
      <c r="G163" t="inlineStr">
        <is>
          <t>&lt; target</t>
        </is>
      </c>
      <c r="H163" s="22" t="n">
        <v>0.2726203785685142</v>
      </c>
      <c r="I163" t="inlineStr">
        <is>
          <t>&lt; target</t>
        </is>
      </c>
      <c r="J163" s="22" t="n">
        <v>0.2726203785685142</v>
      </c>
      <c r="K163" t="inlineStr">
        <is>
          <t>&lt; target</t>
        </is>
      </c>
      <c r="L163" s="22" t="n">
        <v>0.2726203785685142</v>
      </c>
      <c r="M163" t="inlineStr">
        <is>
          <t>&lt; target</t>
        </is>
      </c>
    </row>
    <row r="164">
      <c r="A164" s="45" t="n">
        <v>160</v>
      </c>
      <c r="B164" s="139" t="n">
        <v>246884642250.4624</v>
      </c>
      <c r="C164" s="139" t="n">
        <v>451295000000</v>
      </c>
      <c r="D164" s="47" t="n">
        <v>0.2735291131637426</v>
      </c>
      <c r="E164" s="48" t="inlineStr">
        <is>
          <t>&lt; target</t>
        </is>
      </c>
      <c r="F164" s="47" t="n">
        <v>0.2735291131637426</v>
      </c>
      <c r="G164" s="48" t="inlineStr">
        <is>
          <t>&lt; target</t>
        </is>
      </c>
      <c r="H164" s="47" t="n">
        <v>0.2735291131637426</v>
      </c>
      <c r="I164" s="48" t="inlineStr">
        <is>
          <t>&lt; target</t>
        </is>
      </c>
      <c r="J164" s="47" t="n">
        <v>0.2735291131637426</v>
      </c>
      <c r="K164" s="48" t="inlineStr">
        <is>
          <t>&lt; target</t>
        </is>
      </c>
      <c r="L164" s="47" t="n">
        <v>0.2735291131637426</v>
      </c>
      <c r="M164" s="48" t="inlineStr">
        <is>
          <t>&lt; target</t>
        </is>
      </c>
    </row>
    <row r="165">
      <c r="A165" s="7" t="n">
        <v>161</v>
      </c>
      <c r="B165" s="128" t="n">
        <v>247707591057.964</v>
      </c>
      <c r="C165" s="128" t="n">
        <v>451295000000</v>
      </c>
      <c r="D165" s="22" t="n">
        <v>0.2744408768742884</v>
      </c>
      <c r="E165" t="inlineStr">
        <is>
          <t>&lt; target</t>
        </is>
      </c>
      <c r="F165" s="22" t="n">
        <v>0.2744408768742884</v>
      </c>
      <c r="G165" t="inlineStr">
        <is>
          <t>&lt; target</t>
        </is>
      </c>
      <c r="H165" s="22" t="n">
        <v>0.2744408768742884</v>
      </c>
      <c r="I165" t="inlineStr">
        <is>
          <t>&lt; target</t>
        </is>
      </c>
      <c r="J165" s="22" t="n">
        <v>0.2744408768742884</v>
      </c>
      <c r="K165" t="inlineStr">
        <is>
          <t>&lt; target</t>
        </is>
      </c>
      <c r="L165" s="22" t="n">
        <v>0.2744408768742884</v>
      </c>
      <c r="M165" t="inlineStr">
        <is>
          <t>&lt; target</t>
        </is>
      </c>
    </row>
    <row r="166">
      <c r="A166" s="45" t="n">
        <v>162</v>
      </c>
      <c r="B166" s="139" t="n">
        <v>248533283028.1572</v>
      </c>
      <c r="C166" s="139" t="n">
        <v>451295000000</v>
      </c>
      <c r="D166" s="47" t="n">
        <v>0.2753556797972028</v>
      </c>
      <c r="E166" s="48" t="inlineStr">
        <is>
          <t>&lt; target</t>
        </is>
      </c>
      <c r="F166" s="47" t="n">
        <v>0.2753556797972028</v>
      </c>
      <c r="G166" s="48" t="inlineStr">
        <is>
          <t>&lt; target</t>
        </is>
      </c>
      <c r="H166" s="47" t="n">
        <v>0.2753556797972028</v>
      </c>
      <c r="I166" s="48" t="inlineStr">
        <is>
          <t>&lt; target</t>
        </is>
      </c>
      <c r="J166" s="47" t="n">
        <v>0.2753556797972028</v>
      </c>
      <c r="K166" s="48" t="inlineStr">
        <is>
          <t>&lt; target</t>
        </is>
      </c>
      <c r="L166" s="47" t="n">
        <v>0.2753556797972028</v>
      </c>
      <c r="M166" s="48" t="inlineStr">
        <is>
          <t>&lt; target</t>
        </is>
      </c>
    </row>
    <row r="167">
      <c r="A167" s="7" t="n">
        <v>163</v>
      </c>
      <c r="B167" s="128" t="n">
        <v>249361727304.9178</v>
      </c>
      <c r="C167" s="128" t="n">
        <v>451295000000</v>
      </c>
      <c r="D167" s="22" t="n">
        <v>0.2762735320631934</v>
      </c>
      <c r="E167" t="inlineStr">
        <is>
          <t>&lt; target</t>
        </is>
      </c>
      <c r="F167" s="22" t="n">
        <v>0.2762735320631934</v>
      </c>
      <c r="G167" t="inlineStr">
        <is>
          <t>&lt; target</t>
        </is>
      </c>
      <c r="H167" s="22" t="n">
        <v>0.2762735320631934</v>
      </c>
      <c r="I167" t="inlineStr">
        <is>
          <t>&lt; target</t>
        </is>
      </c>
      <c r="J167" s="22" t="n">
        <v>0.2762735320631934</v>
      </c>
      <c r="K167" t="inlineStr">
        <is>
          <t>&lt; target</t>
        </is>
      </c>
      <c r="L167" s="22" t="n">
        <v>0.2762735320631934</v>
      </c>
      <c r="M167" t="inlineStr">
        <is>
          <t>&lt; target</t>
        </is>
      </c>
    </row>
    <row r="168">
      <c r="A168" s="45" t="n">
        <v>164</v>
      </c>
      <c r="B168" s="139" t="n">
        <v>250192933062.6008</v>
      </c>
      <c r="C168" s="139" t="n">
        <v>451295000000</v>
      </c>
      <c r="D168" s="47" t="n">
        <v>0.2771944438367374</v>
      </c>
      <c r="E168" s="48" t="inlineStr">
        <is>
          <t>&lt; target</t>
        </is>
      </c>
      <c r="F168" s="47" t="n">
        <v>0.2771944438367374</v>
      </c>
      <c r="G168" s="48" t="inlineStr">
        <is>
          <t>&lt; target</t>
        </is>
      </c>
      <c r="H168" s="47" t="n">
        <v>0.2771944438367374</v>
      </c>
      <c r="I168" s="48" t="inlineStr">
        <is>
          <t>&lt; target</t>
        </is>
      </c>
      <c r="J168" s="47" t="n">
        <v>0.2771944438367374</v>
      </c>
      <c r="K168" s="48" t="inlineStr">
        <is>
          <t>&lt; target</t>
        </is>
      </c>
      <c r="L168" s="47" t="n">
        <v>0.2771944438367374</v>
      </c>
      <c r="M168" s="48" t="inlineStr">
        <is>
          <t>&lt; target</t>
        </is>
      </c>
    </row>
    <row r="169">
      <c r="A169" s="7" t="n">
        <v>165</v>
      </c>
      <c r="B169" s="128" t="n">
        <v>251026909506.1429</v>
      </c>
      <c r="C169" s="128" t="n">
        <v>451295000000</v>
      </c>
      <c r="D169" s="22" t="n">
        <v>0.2781184253161932</v>
      </c>
      <c r="E169" t="inlineStr">
        <is>
          <t>&lt; target</t>
        </is>
      </c>
      <c r="F169" s="22" t="n">
        <v>0.2781184253161932</v>
      </c>
      <c r="G169" t="inlineStr">
        <is>
          <t>&lt; target</t>
        </is>
      </c>
      <c r="H169" s="22" t="n">
        <v>0.2781184253161932</v>
      </c>
      <c r="I169" t="inlineStr">
        <is>
          <t>&lt; target</t>
        </is>
      </c>
      <c r="J169" s="22" t="n">
        <v>0.2781184253161932</v>
      </c>
      <c r="K169" t="inlineStr">
        <is>
          <t>&lt; target</t>
        </is>
      </c>
      <c r="L169" s="22" t="n">
        <v>0.2781184253161932</v>
      </c>
      <c r="M169" t="inlineStr">
        <is>
          <t>&lt; target</t>
        </is>
      </c>
    </row>
    <row r="170">
      <c r="A170" s="45" t="n">
        <v>166</v>
      </c>
      <c r="B170" s="139" t="n">
        <v>251863665871.1634</v>
      </c>
      <c r="C170" s="139" t="n">
        <v>451295000000</v>
      </c>
      <c r="D170" s="47" t="n">
        <v>0.2790454867339139</v>
      </c>
      <c r="E170" s="48" t="inlineStr">
        <is>
          <t>&lt; target</t>
        </is>
      </c>
      <c r="F170" s="47" t="n">
        <v>0.2790454867339139</v>
      </c>
      <c r="G170" s="48" t="inlineStr">
        <is>
          <t>&lt; target</t>
        </is>
      </c>
      <c r="H170" s="47" t="n">
        <v>0.2790454867339139</v>
      </c>
      <c r="I170" s="48" t="inlineStr">
        <is>
          <t>&lt; target</t>
        </is>
      </c>
      <c r="J170" s="47" t="n">
        <v>0.2790454867339139</v>
      </c>
      <c r="K170" s="48" t="inlineStr">
        <is>
          <t>&lt; target</t>
        </is>
      </c>
      <c r="L170" s="47" t="n">
        <v>0.2790454867339139</v>
      </c>
      <c r="M170" s="48" t="inlineStr">
        <is>
          <t>&lt; target</t>
        </is>
      </c>
    </row>
    <row r="171">
      <c r="A171" s="7" t="n">
        <v>167</v>
      </c>
      <c r="B171" s="128" t="n">
        <v>252703211424.0673</v>
      </c>
      <c r="C171" s="128" t="n">
        <v>451295000000</v>
      </c>
      <c r="D171" s="22" t="n">
        <v>0.2799756383563603</v>
      </c>
      <c r="E171" t="inlineStr">
        <is>
          <t>&lt; target</t>
        </is>
      </c>
      <c r="F171" s="22" t="n">
        <v>0.2799756383563603</v>
      </c>
      <c r="G171" t="inlineStr">
        <is>
          <t>&lt; target</t>
        </is>
      </c>
      <c r="H171" s="22" t="n">
        <v>0.2799756383563603</v>
      </c>
      <c r="I171" t="inlineStr">
        <is>
          <t>&lt; target</t>
        </is>
      </c>
      <c r="J171" s="22" t="n">
        <v>0.2799756383563603</v>
      </c>
      <c r="K171" t="inlineStr">
        <is>
          <t>&lt; target</t>
        </is>
      </c>
      <c r="L171" s="22" t="n">
        <v>0.2799756383563603</v>
      </c>
      <c r="M171" t="inlineStr">
        <is>
          <t>&lt; target</t>
        </is>
      </c>
    </row>
    <row r="172">
      <c r="A172" s="45" t="n">
        <v>168</v>
      </c>
      <c r="B172" s="139" t="n">
        <v>253545555462.1475</v>
      </c>
      <c r="C172" s="139" t="n">
        <v>451295000000</v>
      </c>
      <c r="D172" s="47" t="n">
        <v>0.2809088904842149</v>
      </c>
      <c r="E172" s="48" t="inlineStr">
        <is>
          <t>&lt; target</t>
        </is>
      </c>
      <c r="F172" s="47" t="n">
        <v>0.2809088904842149</v>
      </c>
      <c r="G172" s="48" t="inlineStr">
        <is>
          <t>&lt; target</t>
        </is>
      </c>
      <c r="H172" s="47" t="n">
        <v>0.2809088904842149</v>
      </c>
      <c r="I172" s="48" t="inlineStr">
        <is>
          <t>&lt; target</t>
        </is>
      </c>
      <c r="J172" s="47" t="n">
        <v>0.2809088904842149</v>
      </c>
      <c r="K172" s="48" t="inlineStr">
        <is>
          <t>&lt; target</t>
        </is>
      </c>
      <c r="L172" s="47" t="n">
        <v>0.2809088904842149</v>
      </c>
      <c r="M172" s="48" t="inlineStr">
        <is>
          <t>&lt; target</t>
        </is>
      </c>
    </row>
    <row r="173">
      <c r="A173" s="7" t="n">
        <v>169</v>
      </c>
      <c r="B173" s="128" t="n">
        <v>254390707313.688</v>
      </c>
      <c r="C173" s="128" t="n">
        <v>451295000000</v>
      </c>
      <c r="D173" s="22" t="n">
        <v>0.2818452534524956</v>
      </c>
      <c r="E173" t="inlineStr">
        <is>
          <t>&lt; target</t>
        </is>
      </c>
      <c r="F173" s="22" t="n">
        <v>0.2818452534524956</v>
      </c>
      <c r="G173" t="inlineStr">
        <is>
          <t>&lt; target</t>
        </is>
      </c>
      <c r="H173" s="22" t="n">
        <v>0.2818452534524956</v>
      </c>
      <c r="I173" t="inlineStr">
        <is>
          <t>&lt; target</t>
        </is>
      </c>
      <c r="J173" s="22" t="n">
        <v>0.2818452534524956</v>
      </c>
      <c r="K173" t="inlineStr">
        <is>
          <t>&lt; target</t>
        </is>
      </c>
      <c r="L173" s="22" t="n">
        <v>0.2818452534524956</v>
      </c>
      <c r="M173" t="inlineStr">
        <is>
          <t>&lt; target</t>
        </is>
      </c>
    </row>
    <row r="174">
      <c r="A174" s="45" t="n">
        <v>170</v>
      </c>
      <c r="B174" s="139" t="n">
        <v>255238676338.067</v>
      </c>
      <c r="C174" s="139" t="n">
        <v>451295000000</v>
      </c>
      <c r="D174" s="47" t="n">
        <v>0.2827847376306706</v>
      </c>
      <c r="E174" s="48" t="inlineStr">
        <is>
          <t>&lt; target</t>
        </is>
      </c>
      <c r="F174" s="47" t="n">
        <v>0.2827847376306706</v>
      </c>
      <c r="G174" s="48" t="inlineStr">
        <is>
          <t>&lt; target</t>
        </is>
      </c>
      <c r="H174" s="47" t="n">
        <v>0.2827847376306706</v>
      </c>
      <c r="I174" s="48" t="inlineStr">
        <is>
          <t>&lt; target</t>
        </is>
      </c>
      <c r="J174" s="47" t="n">
        <v>0.2827847376306706</v>
      </c>
      <c r="K174" s="48" t="inlineStr">
        <is>
          <t>&lt; target</t>
        </is>
      </c>
      <c r="L174" s="47" t="n">
        <v>0.2827847376306706</v>
      </c>
      <c r="M174" s="48" t="inlineStr">
        <is>
          <t>&lt; target</t>
        </is>
      </c>
    </row>
    <row r="175">
      <c r="A175" s="7" t="n">
        <v>171</v>
      </c>
      <c r="B175" s="128" t="n">
        <v>256089471925.8606</v>
      </c>
      <c r="C175" s="128" t="n">
        <v>451295000000</v>
      </c>
      <c r="D175" s="22" t="n">
        <v>0.2837273534227729</v>
      </c>
      <c r="E175" t="inlineStr">
        <is>
          <t>&lt; target</t>
        </is>
      </c>
      <c r="F175" s="22" t="n">
        <v>0.2837273534227729</v>
      </c>
      <c r="G175" t="inlineStr">
        <is>
          <t>&lt; target</t>
        </is>
      </c>
      <c r="H175" s="22" t="n">
        <v>0.2837273534227729</v>
      </c>
      <c r="I175" t="inlineStr">
        <is>
          <t>&lt; target</t>
        </is>
      </c>
      <c r="J175" s="22" t="n">
        <v>0.2837273534227729</v>
      </c>
      <c r="K175" t="inlineStr">
        <is>
          <t>&lt; target</t>
        </is>
      </c>
      <c r="L175" s="22" t="n">
        <v>0.2837273534227729</v>
      </c>
      <c r="M175" t="inlineStr">
        <is>
          <t>&lt; target</t>
        </is>
      </c>
    </row>
    <row r="176">
      <c r="A176" s="45" t="n">
        <v>172</v>
      </c>
      <c r="B176" s="139" t="n">
        <v>256943103498.9468</v>
      </c>
      <c r="C176" s="139" t="n">
        <v>451295000000</v>
      </c>
      <c r="D176" s="47" t="n">
        <v>0.2846731112675154</v>
      </c>
      <c r="E176" s="48" t="inlineStr">
        <is>
          <t>&lt; target</t>
        </is>
      </c>
      <c r="F176" s="47" t="n">
        <v>0.2846731112675154</v>
      </c>
      <c r="G176" s="48" t="inlineStr">
        <is>
          <t>&lt; target</t>
        </is>
      </c>
      <c r="H176" s="47" t="n">
        <v>0.2846731112675154</v>
      </c>
      <c r="I176" s="48" t="inlineStr">
        <is>
          <t>&lt; target</t>
        </is>
      </c>
      <c r="J176" s="47" t="n">
        <v>0.2846731112675154</v>
      </c>
      <c r="K176" s="48" t="inlineStr">
        <is>
          <t>&lt; target</t>
        </is>
      </c>
      <c r="L176" s="47" t="n">
        <v>0.2846731112675154</v>
      </c>
      <c r="M176" s="48" t="inlineStr">
        <is>
          <t>&lt; target</t>
        </is>
      </c>
    </row>
    <row r="177">
      <c r="A177" s="7" t="n">
        <v>173</v>
      </c>
      <c r="B177" s="128" t="n">
        <v>257799580510.61</v>
      </c>
      <c r="C177" s="128" t="n">
        <v>451295000000</v>
      </c>
      <c r="D177" s="22" t="n">
        <v>0.2856220216384072</v>
      </c>
      <c r="E177" t="inlineStr">
        <is>
          <t>&lt; target</t>
        </is>
      </c>
      <c r="F177" s="22" t="n">
        <v>0.2856220216384072</v>
      </c>
      <c r="G177" t="inlineStr">
        <is>
          <t>&lt; target</t>
        </is>
      </c>
      <c r="H177" s="22" t="n">
        <v>0.2856220216384072</v>
      </c>
      <c r="I177" t="inlineStr">
        <is>
          <t>&lt; target</t>
        </is>
      </c>
      <c r="J177" s="22" t="n">
        <v>0.2856220216384072</v>
      </c>
      <c r="K177" t="inlineStr">
        <is>
          <t>&lt; target</t>
        </is>
      </c>
      <c r="L177" s="22" t="n">
        <v>0.2856220216384072</v>
      </c>
      <c r="M177" t="inlineStr">
        <is>
          <t>&lt; target</t>
        </is>
      </c>
    </row>
    <row r="178">
      <c r="A178" s="45" t="n">
        <v>174</v>
      </c>
      <c r="B178" s="139" t="n">
        <v>258658912445.6453</v>
      </c>
      <c r="C178" s="139" t="n">
        <v>451295000000</v>
      </c>
      <c r="D178" s="47" t="n">
        <v>0.2865740950438685</v>
      </c>
      <c r="E178" s="48" t="inlineStr">
        <is>
          <t>&lt; target</t>
        </is>
      </c>
      <c r="F178" s="47" t="n">
        <v>0.2865740950438685</v>
      </c>
      <c r="G178" s="48" t="inlineStr">
        <is>
          <t>&lt; target</t>
        </is>
      </c>
      <c r="H178" s="47" t="n">
        <v>0.2865740950438685</v>
      </c>
      <c r="I178" s="48" t="inlineStr">
        <is>
          <t>&lt; target</t>
        </is>
      </c>
      <c r="J178" s="47" t="n">
        <v>0.2865740950438685</v>
      </c>
      <c r="K178" s="48" t="inlineStr">
        <is>
          <t>&lt; target</t>
        </is>
      </c>
      <c r="L178" s="47" t="n">
        <v>0.2865740950438685</v>
      </c>
      <c r="M178" s="48" t="inlineStr">
        <is>
          <t>&lt; target</t>
        </is>
      </c>
    </row>
    <row r="179">
      <c r="A179" s="7" t="n">
        <v>175</v>
      </c>
      <c r="B179" s="128" t="n">
        <v>259521108820.4642</v>
      </c>
      <c r="C179" s="128" t="n">
        <v>451295000000</v>
      </c>
      <c r="D179" s="22" t="n">
        <v>0.2875293420273481</v>
      </c>
      <c r="E179" t="inlineStr">
        <is>
          <t>&lt; target</t>
        </is>
      </c>
      <c r="F179" s="22" t="n">
        <v>0.2875293420273481</v>
      </c>
      <c r="G179" t="inlineStr">
        <is>
          <t>&lt; target</t>
        </is>
      </c>
      <c r="H179" s="22" t="n">
        <v>0.2875293420273481</v>
      </c>
      <c r="I179" t="inlineStr">
        <is>
          <t>&lt; target</t>
        </is>
      </c>
      <c r="J179" s="22" t="n">
        <v>0.2875293420273481</v>
      </c>
      <c r="K179" t="inlineStr">
        <is>
          <t>&lt; target</t>
        </is>
      </c>
      <c r="L179" s="22" t="n">
        <v>0.2875293420273481</v>
      </c>
      <c r="M179" t="inlineStr">
        <is>
          <t>&lt; target</t>
        </is>
      </c>
    </row>
    <row r="180">
      <c r="A180" s="45" t="n">
        <v>176</v>
      </c>
      <c r="B180" s="139" t="n">
        <v>260386179183.1991</v>
      </c>
      <c r="C180" s="139" t="n">
        <v>451295000000</v>
      </c>
      <c r="D180" s="47" t="n">
        <v>0.2884877731674393</v>
      </c>
      <c r="E180" s="48" t="inlineStr">
        <is>
          <t>&lt; target</t>
        </is>
      </c>
      <c r="F180" s="47" t="n">
        <v>0.2884877731674393</v>
      </c>
      <c r="G180" s="48" t="inlineStr">
        <is>
          <t>&lt; target</t>
        </is>
      </c>
      <c r="H180" s="47" t="n">
        <v>0.2884877731674393</v>
      </c>
      <c r="I180" s="48" t="inlineStr">
        <is>
          <t>&lt; target</t>
        </is>
      </c>
      <c r="J180" s="47" t="n">
        <v>0.2884877731674393</v>
      </c>
      <c r="K180" s="48" t="inlineStr">
        <is>
          <t>&lt; target</t>
        </is>
      </c>
      <c r="L180" s="47" t="n">
        <v>0.2884877731674393</v>
      </c>
      <c r="M180" s="48" t="inlineStr">
        <is>
          <t>&lt; target</t>
        </is>
      </c>
    </row>
    <row r="181">
      <c r="A181" s="7" t="n">
        <v>177</v>
      </c>
      <c r="B181" s="128" t="n">
        <v>261254133113.8098</v>
      </c>
      <c r="C181" s="128" t="n">
        <v>451295000000</v>
      </c>
      <c r="D181" s="22" t="n">
        <v>0.2894493990779975</v>
      </c>
      <c r="E181" t="inlineStr">
        <is>
          <t>&lt; target</t>
        </is>
      </c>
      <c r="F181" s="22" t="n">
        <v>0.2894493990779975</v>
      </c>
      <c r="G181" t="inlineStr">
        <is>
          <t>&lt; target</t>
        </is>
      </c>
      <c r="H181" s="22" t="n">
        <v>0.2894493990779975</v>
      </c>
      <c r="I181" t="inlineStr">
        <is>
          <t>&lt; target</t>
        </is>
      </c>
      <c r="J181" s="22" t="n">
        <v>0.2894493990779975</v>
      </c>
      <c r="K181" t="inlineStr">
        <is>
          <t>&lt; target</t>
        </is>
      </c>
      <c r="L181" s="22" t="n">
        <v>0.2894493990779975</v>
      </c>
      <c r="M181" t="inlineStr">
        <is>
          <t>&lt; target</t>
        </is>
      </c>
    </row>
    <row r="182">
      <c r="A182" s="45" t="n">
        <v>178</v>
      </c>
      <c r="B182" s="139" t="n">
        <v>262124980224.1891</v>
      </c>
      <c r="C182" s="139" t="n">
        <v>451295000000</v>
      </c>
      <c r="D182" s="47" t="n">
        <v>0.2904142304082575</v>
      </c>
      <c r="E182" s="48" t="inlineStr">
        <is>
          <t>&lt; target</t>
        </is>
      </c>
      <c r="F182" s="47" t="n">
        <v>0.2904142304082575</v>
      </c>
      <c r="G182" s="48" t="inlineStr">
        <is>
          <t>&lt; target</t>
        </is>
      </c>
      <c r="H182" s="47" t="n">
        <v>0.2904142304082575</v>
      </c>
      <c r="I182" s="48" t="inlineStr">
        <is>
          <t>&lt; target</t>
        </is>
      </c>
      <c r="J182" s="47" t="n">
        <v>0.2904142304082575</v>
      </c>
      <c r="K182" s="48" t="inlineStr">
        <is>
          <t>&lt; target</t>
        </is>
      </c>
      <c r="L182" s="47" t="n">
        <v>0.2904142304082575</v>
      </c>
      <c r="M182" s="48" t="inlineStr">
        <is>
          <t>&lt; target</t>
        </is>
      </c>
    </row>
    <row r="183">
      <c r="A183" s="7" t="n">
        <v>179</v>
      </c>
      <c r="B183" s="128" t="n">
        <v>262998730158.2698</v>
      </c>
      <c r="C183" s="128" t="n">
        <v>451295000000</v>
      </c>
      <c r="D183" s="22" t="n">
        <v>0.2913822778429517</v>
      </c>
      <c r="E183" t="inlineStr">
        <is>
          <t>&lt; target</t>
        </is>
      </c>
      <c r="F183" s="22" t="n">
        <v>0.2913822778429517</v>
      </c>
      <c r="G183" t="inlineStr">
        <is>
          <t>&lt; target</t>
        </is>
      </c>
      <c r="H183" s="22" t="n">
        <v>0.2913822778429517</v>
      </c>
      <c r="I183" t="inlineStr">
        <is>
          <t>&lt; target</t>
        </is>
      </c>
      <c r="J183" s="22" t="n">
        <v>0.2913822778429517</v>
      </c>
      <c r="K183" t="inlineStr">
        <is>
          <t>&lt; target</t>
        </is>
      </c>
      <c r="L183" s="22" t="n">
        <v>0.2913822778429517</v>
      </c>
      <c r="M183" t="inlineStr">
        <is>
          <t>&lt; target</t>
        </is>
      </c>
    </row>
    <row r="184">
      <c r="A184" s="45" t="n">
        <v>180</v>
      </c>
      <c r="B184" s="139" t="n">
        <v>263875392592.1307</v>
      </c>
      <c r="C184" s="139" t="n">
        <v>451295000000</v>
      </c>
      <c r="D184" s="47" t="n">
        <v>0.2923535521024282</v>
      </c>
      <c r="E184" s="48" t="inlineStr">
        <is>
          <t>&lt; target</t>
        </is>
      </c>
      <c r="F184" s="47" t="n">
        <v>0.2923535521024282</v>
      </c>
      <c r="G184" s="48" t="inlineStr">
        <is>
          <t>&lt; target</t>
        </is>
      </c>
      <c r="H184" s="47" t="n">
        <v>0.2923535521024282</v>
      </c>
      <c r="I184" s="48" t="inlineStr">
        <is>
          <t>&lt; target</t>
        </is>
      </c>
      <c r="J184" s="47" t="n">
        <v>0.2923535521024282</v>
      </c>
      <c r="K184" s="48" t="inlineStr">
        <is>
          <t>&lt; target</t>
        </is>
      </c>
      <c r="L184" s="47" t="n">
        <v>0.2923535521024282</v>
      </c>
      <c r="M184" s="48" t="inlineStr">
        <is>
          <t>&lt; target</t>
        </is>
      </c>
    </row>
    <row r="185">
      <c r="A185" s="7" t="n">
        <v>181</v>
      </c>
      <c r="B185" s="128" t="n">
        <v>264754977234.1045</v>
      </c>
      <c r="C185" s="128" t="n">
        <v>451295000000</v>
      </c>
      <c r="D185" s="22" t="n">
        <v>0.2933280639427697</v>
      </c>
      <c r="E185" t="inlineStr">
        <is>
          <t>&lt; target</t>
        </is>
      </c>
      <c r="F185" s="22" t="n">
        <v>0.2933280639427697</v>
      </c>
      <c r="G185" t="inlineStr">
        <is>
          <t>&lt; target</t>
        </is>
      </c>
      <c r="H185" s="22" t="n">
        <v>0.2933280639427697</v>
      </c>
      <c r="I185" t="inlineStr">
        <is>
          <t>&lt; target</t>
        </is>
      </c>
      <c r="J185" s="22" t="n">
        <v>0.2933280639427697</v>
      </c>
      <c r="K185" t="inlineStr">
        <is>
          <t>&lt; target</t>
        </is>
      </c>
      <c r="L185" s="22" t="n">
        <v>0.2933280639427697</v>
      </c>
      <c r="M185" t="inlineStr">
        <is>
          <t>&lt; target</t>
        </is>
      </c>
    </row>
    <row r="186">
      <c r="A186" s="45" t="n">
        <v>182</v>
      </c>
      <c r="B186" s="139" t="n">
        <v>265637493824.8849</v>
      </c>
      <c r="C186" s="139" t="n">
        <v>451295000000</v>
      </c>
      <c r="D186" s="47" t="n">
        <v>0.2943058241559123</v>
      </c>
      <c r="E186" s="48" t="inlineStr">
        <is>
          <t>&lt; target</t>
        </is>
      </c>
      <c r="F186" s="47" t="n">
        <v>0.2943058241559123</v>
      </c>
      <c r="G186" s="48" t="inlineStr">
        <is>
          <t>&lt; target</t>
        </is>
      </c>
      <c r="H186" s="47" t="n">
        <v>0.2943058241559123</v>
      </c>
      <c r="I186" s="48" t="inlineStr">
        <is>
          <t>&lt; target</t>
        </is>
      </c>
      <c r="J186" s="47" t="n">
        <v>0.2943058241559123</v>
      </c>
      <c r="K186" s="48" t="inlineStr">
        <is>
          <t>&lt; target</t>
        </is>
      </c>
      <c r="L186" s="47" t="n">
        <v>0.2943058241559123</v>
      </c>
      <c r="M186" s="48" t="inlineStr">
        <is>
          <t>&lt; target</t>
        </is>
      </c>
    </row>
    <row r="187">
      <c r="A187" s="7" t="n">
        <v>183</v>
      </c>
      <c r="B187" s="128" t="n">
        <v>266522952137.6345</v>
      </c>
      <c r="C187" s="128" t="n">
        <v>451295000000</v>
      </c>
      <c r="D187" s="22" t="n">
        <v>0.2952868435697654</v>
      </c>
      <c r="E187" t="inlineStr">
        <is>
          <t>&lt; target</t>
        </is>
      </c>
      <c r="F187" s="22" t="n">
        <v>0.2952868435697654</v>
      </c>
      <c r="G187" t="inlineStr">
        <is>
          <t>&lt; target</t>
        </is>
      </c>
      <c r="H187" s="22" t="n">
        <v>0.2952868435697654</v>
      </c>
      <c r="I187" t="inlineStr">
        <is>
          <t>&lt; target</t>
        </is>
      </c>
      <c r="J187" s="22" t="n">
        <v>0.2952868435697654</v>
      </c>
      <c r="K187" t="inlineStr">
        <is>
          <t>&lt; target</t>
        </is>
      </c>
      <c r="L187" s="22" t="n">
        <v>0.2952868435697654</v>
      </c>
      <c r="M187" t="inlineStr">
        <is>
          <t>&lt; target</t>
        </is>
      </c>
    </row>
    <row r="188">
      <c r="A188" s="45" t="n">
        <v>184</v>
      </c>
      <c r="B188" s="139" t="n">
        <v>267411361978.0933</v>
      </c>
      <c r="C188" s="139" t="n">
        <v>451295000000</v>
      </c>
      <c r="D188" s="47" t="n">
        <v>0.2962711330483312</v>
      </c>
      <c r="E188" s="48" t="inlineStr">
        <is>
          <t>&lt; target</t>
        </is>
      </c>
      <c r="F188" s="47" t="n">
        <v>0.2962711330483312</v>
      </c>
      <c r="G188" s="48" t="inlineStr">
        <is>
          <t>&lt; target</t>
        </is>
      </c>
      <c r="H188" s="47" t="n">
        <v>0.2962711330483312</v>
      </c>
      <c r="I188" s="48" t="inlineStr">
        <is>
          <t>&lt; target</t>
        </is>
      </c>
      <c r="J188" s="47" t="n">
        <v>0.2962711330483312</v>
      </c>
      <c r="K188" s="48" t="inlineStr">
        <is>
          <t>&lt; target</t>
        </is>
      </c>
      <c r="L188" s="47" t="n">
        <v>0.2962711330483312</v>
      </c>
      <c r="M188" s="48" t="inlineStr">
        <is>
          <t>&lt; target</t>
        </is>
      </c>
    </row>
    <row r="189">
      <c r="A189" s="7" t="n">
        <v>185</v>
      </c>
      <c r="B189" s="128" t="n">
        <v>268302733184.687</v>
      </c>
      <c r="C189" s="128" t="n">
        <v>451295000000</v>
      </c>
      <c r="D189" s="22" t="n">
        <v>0.2972587034918257</v>
      </c>
      <c r="E189" t="inlineStr">
        <is>
          <t>&lt; target</t>
        </is>
      </c>
      <c r="F189" s="22" t="n">
        <v>0.2972587034918257</v>
      </c>
      <c r="G189" t="inlineStr">
        <is>
          <t>&lt; target</t>
        </is>
      </c>
      <c r="H189" s="22" t="n">
        <v>0.2972587034918257</v>
      </c>
      <c r="I189" t="inlineStr">
        <is>
          <t>&lt; target</t>
        </is>
      </c>
      <c r="J189" s="22" t="n">
        <v>0.2972587034918257</v>
      </c>
      <c r="K189" t="inlineStr">
        <is>
          <t>&lt; target</t>
        </is>
      </c>
      <c r="L189" s="22" t="n">
        <v>0.2972587034918257</v>
      </c>
      <c r="M189" t="inlineStr">
        <is>
          <t>&lt; target</t>
        </is>
      </c>
    </row>
    <row r="190">
      <c r="A190" s="45" t="n">
        <v>186</v>
      </c>
      <c r="B190" s="139" t="n">
        <v>269197075628.636</v>
      </c>
      <c r="C190" s="139" t="n">
        <v>451295000000</v>
      </c>
      <c r="D190" s="47" t="n">
        <v>0.2982495658367985</v>
      </c>
      <c r="E190" s="48" t="inlineStr">
        <is>
          <t>&lt; target</t>
        </is>
      </c>
      <c r="F190" s="47" t="n">
        <v>0.2982495658367985</v>
      </c>
      <c r="G190" s="48" t="inlineStr">
        <is>
          <t>&lt; target</t>
        </is>
      </c>
      <c r="H190" s="47" t="n">
        <v>0.2982495658367985</v>
      </c>
      <c r="I190" s="48" t="inlineStr">
        <is>
          <t>&lt; target</t>
        </is>
      </c>
      <c r="J190" s="47" t="n">
        <v>0.2982495658367985</v>
      </c>
      <c r="K190" s="48" t="inlineStr">
        <is>
          <t>&lt; target</t>
        </is>
      </c>
      <c r="L190" s="47" t="n">
        <v>0.2982495658367985</v>
      </c>
      <c r="M190" s="48" t="inlineStr">
        <is>
          <t>&lt; target</t>
        </is>
      </c>
    </row>
    <row r="191">
      <c r="A191" s="7" t="n">
        <v>187</v>
      </c>
      <c r="B191" s="128" t="n">
        <v>270094399214.0648</v>
      </c>
      <c r="C191" s="128" t="n">
        <v>451295000000</v>
      </c>
      <c r="D191" s="22" t="n">
        <v>0.2992437310562546</v>
      </c>
      <c r="E191" t="inlineStr">
        <is>
          <t>&lt; target</t>
        </is>
      </c>
      <c r="F191" s="22" t="n">
        <v>0.2992437310562546</v>
      </c>
      <c r="G191" t="inlineStr">
        <is>
          <t>&lt; target</t>
        </is>
      </c>
      <c r="H191" s="22" t="n">
        <v>0.2992437310562546</v>
      </c>
      <c r="I191" t="inlineStr">
        <is>
          <t>&lt; target</t>
        </is>
      </c>
      <c r="J191" s="22" t="n">
        <v>0.2992437310562546</v>
      </c>
      <c r="K191" t="inlineStr">
        <is>
          <t>&lt; target</t>
        </is>
      </c>
      <c r="L191" s="22" t="n">
        <v>0.2992437310562546</v>
      </c>
      <c r="M191" t="inlineStr">
        <is>
          <t>&lt; target</t>
        </is>
      </c>
    </row>
    <row r="192">
      <c r="A192" s="45" t="n">
        <v>188</v>
      </c>
      <c r="B192" s="139" t="n">
        <v>270994713878.1117</v>
      </c>
      <c r="C192" s="139" t="n">
        <v>451295000000</v>
      </c>
      <c r="D192" s="47" t="n">
        <v>0.3002412101597754</v>
      </c>
      <c r="E192" s="48" t="inlineStr">
        <is>
          <t>&lt; target</t>
        </is>
      </c>
      <c r="F192" s="47" t="n">
        <v>0.3002412101597754</v>
      </c>
      <c r="G192" s="48" t="inlineStr">
        <is>
          <t>&lt; target</t>
        </is>
      </c>
      <c r="H192" s="47" t="n">
        <v>0.3002412101597754</v>
      </c>
      <c r="I192" s="48" t="inlineStr">
        <is>
          <t>&lt; target</t>
        </is>
      </c>
      <c r="J192" s="47" t="n">
        <v>0.3002412101597754</v>
      </c>
      <c r="K192" s="48" t="inlineStr">
        <is>
          <t>&lt; target</t>
        </is>
      </c>
      <c r="L192" s="47" t="n">
        <v>0.3002412101597754</v>
      </c>
      <c r="M192" s="48" t="inlineStr">
        <is>
          <t>&lt; target</t>
        </is>
      </c>
    </row>
    <row r="193">
      <c r="A193" s="7" t="n">
        <v>189</v>
      </c>
      <c r="B193" s="128" t="n">
        <v>271898029591.0387</v>
      </c>
      <c r="C193" s="128" t="n">
        <v>451295000000</v>
      </c>
      <c r="D193" s="22" t="n">
        <v>0.3012420141936413</v>
      </c>
      <c r="E193" t="inlineStr">
        <is>
          <t>&lt; target</t>
        </is>
      </c>
      <c r="F193" s="22" t="n">
        <v>0.3012420141936413</v>
      </c>
      <c r="G193" t="inlineStr">
        <is>
          <t>&lt; target</t>
        </is>
      </c>
      <c r="H193" s="22" t="n">
        <v>0.3012420141936413</v>
      </c>
      <c r="I193" t="inlineStr">
        <is>
          <t>&lt; target</t>
        </is>
      </c>
      <c r="J193" s="22" t="n">
        <v>0.3012420141936413</v>
      </c>
      <c r="K193" t="inlineStr">
        <is>
          <t>&lt; target</t>
        </is>
      </c>
      <c r="L193" s="22" t="n">
        <v>0.3012420141936413</v>
      </c>
      <c r="M193" t="inlineStr">
        <is>
          <t>&lt; target</t>
        </is>
      </c>
    </row>
    <row r="194">
      <c r="A194" s="45" t="n">
        <v>190</v>
      </c>
      <c r="B194" s="139" t="n">
        <v>272804356356.3422</v>
      </c>
      <c r="C194" s="139" t="n">
        <v>451295000000</v>
      </c>
      <c r="D194" s="47" t="n">
        <v>0.3022461542409535</v>
      </c>
      <c r="E194" s="48" t="inlineStr">
        <is>
          <t>&lt; target</t>
        </is>
      </c>
      <c r="F194" s="47" t="n">
        <v>0.3022461542409535</v>
      </c>
      <c r="G194" s="48" t="inlineStr">
        <is>
          <t>&lt; target</t>
        </is>
      </c>
      <c r="H194" s="47" t="n">
        <v>0.3022461542409535</v>
      </c>
      <c r="I194" s="48" t="inlineStr">
        <is>
          <t>&lt; target</t>
        </is>
      </c>
      <c r="J194" s="47" t="n">
        <v>0.3022461542409535</v>
      </c>
      <c r="K194" s="48" t="inlineStr">
        <is>
          <t>&lt; target</t>
        </is>
      </c>
      <c r="L194" s="47" t="n">
        <v>0.3022461542409535</v>
      </c>
      <c r="M194" s="48" t="inlineStr">
        <is>
          <t>&lt; target</t>
        </is>
      </c>
    </row>
    <row r="195">
      <c r="A195" s="7" t="n">
        <v>191</v>
      </c>
      <c r="B195" s="128" t="n">
        <v>273713704210.8634</v>
      </c>
      <c r="C195" s="128" t="n">
        <v>451295000000</v>
      </c>
      <c r="D195" s="22" t="n">
        <v>0.3032536414217567</v>
      </c>
      <c r="E195" t="inlineStr">
        <is>
          <t>&lt; target</t>
        </is>
      </c>
      <c r="F195" s="22" t="n">
        <v>0.3032536414217567</v>
      </c>
      <c r="G195" t="inlineStr">
        <is>
          <t>&lt; target</t>
        </is>
      </c>
      <c r="H195" s="22" t="n">
        <v>0.3032536414217567</v>
      </c>
      <c r="I195" t="inlineStr">
        <is>
          <t>&lt; target</t>
        </is>
      </c>
      <c r="J195" s="22" t="n">
        <v>0.3032536414217567</v>
      </c>
      <c r="K195" t="inlineStr">
        <is>
          <t>&lt; target</t>
        </is>
      </c>
      <c r="L195" s="22" t="n">
        <v>0.3032536414217567</v>
      </c>
      <c r="M195" t="inlineStr">
        <is>
          <t>&lt; target</t>
        </is>
      </c>
    </row>
    <row r="196">
      <c r="A196" s="45" t="n">
        <v>192</v>
      </c>
      <c r="B196" s="139" t="n">
        <v>274626083224.8996</v>
      </c>
      <c r="C196" s="139" t="n">
        <v>451295000000</v>
      </c>
      <c r="D196" s="47" t="n">
        <v>0.3042644868931625</v>
      </c>
      <c r="E196" s="48" t="inlineStr">
        <is>
          <t>&lt; target</t>
        </is>
      </c>
      <c r="F196" s="47" t="n">
        <v>0.3042644868931625</v>
      </c>
      <c r="G196" s="48" t="inlineStr">
        <is>
          <t>&lt; target</t>
        </is>
      </c>
      <c r="H196" s="47" t="n">
        <v>0.3042644868931625</v>
      </c>
      <c r="I196" s="48" t="inlineStr">
        <is>
          <t>&lt; target</t>
        </is>
      </c>
      <c r="J196" s="47" t="n">
        <v>0.3042644868931625</v>
      </c>
      <c r="K196" s="48" t="inlineStr">
        <is>
          <t>&lt; target</t>
        </is>
      </c>
      <c r="L196" s="47" t="n">
        <v>0.3042644868931625</v>
      </c>
      <c r="M196" s="48" t="inlineStr">
        <is>
          <t>&lt; target</t>
        </is>
      </c>
    </row>
    <row r="197">
      <c r="A197" s="7" t="n">
        <v>193</v>
      </c>
      <c r="B197" s="128" t="n">
        <v>275541503502.316</v>
      </c>
      <c r="C197" s="128" t="n">
        <v>451295000000</v>
      </c>
      <c r="D197" s="22" t="n">
        <v>0.3052787018494731</v>
      </c>
      <c r="E197" t="inlineStr">
        <is>
          <t>&lt; target</t>
        </is>
      </c>
      <c r="F197" s="22" t="n">
        <v>0.3052787018494731</v>
      </c>
      <c r="G197" t="inlineStr">
        <is>
          <t>&lt; target</t>
        </is>
      </c>
      <c r="H197" s="22" t="n">
        <v>0.3052787018494731</v>
      </c>
      <c r="I197" t="inlineStr">
        <is>
          <t>&lt; target</t>
        </is>
      </c>
      <c r="J197" s="22" t="n">
        <v>0.3052787018494731</v>
      </c>
      <c r="K197" t="inlineStr">
        <is>
          <t>&lt; target</t>
        </is>
      </c>
      <c r="L197" s="22" t="n">
        <v>0.3052787018494731</v>
      </c>
      <c r="M197" t="inlineStr">
        <is>
          <t>&lt; target</t>
        </is>
      </c>
    </row>
    <row r="198">
      <c r="A198" s="45" t="n">
        <v>194</v>
      </c>
      <c r="B198" s="139" t="n">
        <v>276459975180.657</v>
      </c>
      <c r="C198" s="139" t="n">
        <v>451295000000</v>
      </c>
      <c r="D198" s="47" t="n">
        <v>0.3062962975223048</v>
      </c>
      <c r="E198" s="48" t="inlineStr">
        <is>
          <t>&lt; target</t>
        </is>
      </c>
      <c r="F198" s="47" t="n">
        <v>0.3062962975223048</v>
      </c>
      <c r="G198" s="48" t="inlineStr">
        <is>
          <t>&lt; target</t>
        </is>
      </c>
      <c r="H198" s="47" t="n">
        <v>0.3062962975223048</v>
      </c>
      <c r="I198" s="48" t="inlineStr">
        <is>
          <t>&lt; target</t>
        </is>
      </c>
      <c r="J198" s="47" t="n">
        <v>0.3062962975223048</v>
      </c>
      <c r="K198" s="48" t="inlineStr">
        <is>
          <t>&lt; target</t>
        </is>
      </c>
      <c r="L198" s="47" t="n">
        <v>0.3062962975223048</v>
      </c>
      <c r="M198" s="48" t="inlineStr">
        <is>
          <t>&lt; target</t>
        </is>
      </c>
    </row>
    <row r="199">
      <c r="A199" s="7" t="n">
        <v>195</v>
      </c>
      <c r="B199" s="128" t="n">
        <v>277381508431.2592</v>
      </c>
      <c r="C199" s="128" t="n">
        <v>451295000000</v>
      </c>
      <c r="D199" s="22" t="n">
        <v>0.3073172851807124</v>
      </c>
      <c r="E199" t="inlineStr">
        <is>
          <t>&lt; target</t>
        </is>
      </c>
      <c r="F199" s="22" t="n">
        <v>0.3073172851807124</v>
      </c>
      <c r="G199" t="inlineStr">
        <is>
          <t>&lt; target</t>
        </is>
      </c>
      <c r="H199" s="22" t="n">
        <v>0.3073172851807124</v>
      </c>
      <c r="I199" t="inlineStr">
        <is>
          <t>&lt; target</t>
        </is>
      </c>
      <c r="J199" s="22" t="n">
        <v>0.3073172851807124</v>
      </c>
      <c r="K199" t="inlineStr">
        <is>
          <t>&lt; target</t>
        </is>
      </c>
      <c r="L199" s="22" t="n">
        <v>0.3073172851807124</v>
      </c>
      <c r="M199" t="inlineStr">
        <is>
          <t>&lt; target</t>
        </is>
      </c>
    </row>
    <row r="200">
      <c r="A200" s="45" t="n">
        <v>196</v>
      </c>
      <c r="B200" s="139" t="n">
        <v>278306113459.3635</v>
      </c>
      <c r="C200" s="139" t="n">
        <v>451295000000</v>
      </c>
      <c r="D200" s="47" t="n">
        <v>0.3083416761313149</v>
      </c>
      <c r="E200" s="48" t="inlineStr">
        <is>
          <t>&lt; target</t>
        </is>
      </c>
      <c r="F200" s="47" t="n">
        <v>0.3083416761313149</v>
      </c>
      <c r="G200" s="48" t="inlineStr">
        <is>
          <t>&lt; target</t>
        </is>
      </c>
      <c r="H200" s="47" t="n">
        <v>0.3083416761313149</v>
      </c>
      <c r="I200" s="48" t="inlineStr">
        <is>
          <t>&lt; target</t>
        </is>
      </c>
      <c r="J200" s="47" t="n">
        <v>0.3083416761313149</v>
      </c>
      <c r="K200" s="48" t="inlineStr">
        <is>
          <t>&lt; target</t>
        </is>
      </c>
      <c r="L200" s="47" t="n">
        <v>0.3083416761313149</v>
      </c>
      <c r="M200" s="48" t="inlineStr">
        <is>
          <t>&lt; target</t>
        </is>
      </c>
    </row>
    <row r="201">
      <c r="A201" s="7" t="n">
        <v>197</v>
      </c>
      <c r="B201" s="128" t="n">
        <v>279233800504.228</v>
      </c>
      <c r="C201" s="128" t="n">
        <v>451295000000</v>
      </c>
      <c r="D201" s="22" t="n">
        <v>0.3093694817184193</v>
      </c>
      <c r="E201" t="inlineStr">
        <is>
          <t>&lt; target</t>
        </is>
      </c>
      <c r="F201" s="22" t="n">
        <v>0.3093694817184193</v>
      </c>
      <c r="G201" t="inlineStr">
        <is>
          <t>&lt; target</t>
        </is>
      </c>
      <c r="H201" s="22" t="n">
        <v>0.3093694817184193</v>
      </c>
      <c r="I201" t="inlineStr">
        <is>
          <t>&lt; target</t>
        </is>
      </c>
      <c r="J201" s="22" t="n">
        <v>0.3093694817184193</v>
      </c>
      <c r="K201" t="inlineStr">
        <is>
          <t>&lt; target</t>
        </is>
      </c>
      <c r="L201" s="22" t="n">
        <v>0.3093694817184193</v>
      </c>
      <c r="M201" t="inlineStr">
        <is>
          <t>&lt; target</t>
        </is>
      </c>
    </row>
    <row r="202">
      <c r="A202" s="45" t="n">
        <v>198</v>
      </c>
      <c r="B202" s="139" t="n">
        <v>280164579839.2421</v>
      </c>
      <c r="C202" s="139" t="n">
        <v>451295000000</v>
      </c>
      <c r="D202" s="47" t="n">
        <v>0.3104007133241473</v>
      </c>
      <c r="E202" s="48" t="inlineStr">
        <is>
          <t>&lt; target</t>
        </is>
      </c>
      <c r="F202" s="47" t="n">
        <v>0.3104007133241473</v>
      </c>
      <c r="G202" s="48" t="inlineStr">
        <is>
          <t>&lt; target</t>
        </is>
      </c>
      <c r="H202" s="47" t="n">
        <v>0.3104007133241473</v>
      </c>
      <c r="I202" s="48" t="inlineStr">
        <is>
          <t>&lt; target</t>
        </is>
      </c>
      <c r="J202" s="47" t="n">
        <v>0.3104007133241473</v>
      </c>
      <c r="K202" s="48" t="inlineStr">
        <is>
          <t>&lt; target</t>
        </is>
      </c>
      <c r="L202" s="47" t="n">
        <v>0.3104007133241473</v>
      </c>
      <c r="M202" s="48" t="inlineStr">
        <is>
          <t>&lt; target</t>
        </is>
      </c>
    </row>
    <row r="203">
      <c r="A203" s="7" t="n">
        <v>199</v>
      </c>
      <c r="B203" s="128" t="n">
        <v>281098461772.0397</v>
      </c>
      <c r="C203" s="128" t="n">
        <v>451295000000</v>
      </c>
      <c r="D203" s="22" t="n">
        <v>0.3114353823685612</v>
      </c>
      <c r="E203" t="inlineStr">
        <is>
          <t>&lt; target</t>
        </is>
      </c>
      <c r="F203" s="22" t="n">
        <v>0.3114353823685612</v>
      </c>
      <c r="G203" t="inlineStr">
        <is>
          <t>&lt; target</t>
        </is>
      </c>
      <c r="H203" s="22" t="n">
        <v>0.3114353823685612</v>
      </c>
      <c r="I203" t="inlineStr">
        <is>
          <t>&lt; target</t>
        </is>
      </c>
      <c r="J203" s="22" t="n">
        <v>0.3114353823685612</v>
      </c>
      <c r="K203" t="inlineStr">
        <is>
          <t>&lt; target</t>
        </is>
      </c>
      <c r="L203" s="22" t="n">
        <v>0.3114353823685612</v>
      </c>
      <c r="M203" t="inlineStr">
        <is>
          <t>&lt; target</t>
        </is>
      </c>
    </row>
    <row r="204">
      <c r="A204" s="45" t="n">
        <v>200</v>
      </c>
      <c r="B204" s="139" t="n">
        <v>282035456644.6131</v>
      </c>
      <c r="C204" s="139" t="n">
        <v>451295000000</v>
      </c>
      <c r="D204" s="47" t="n">
        <v>0.3124735003097897</v>
      </c>
      <c r="E204" s="48" t="inlineStr">
        <is>
          <t>&lt; target</t>
        </is>
      </c>
      <c r="F204" s="47" t="n">
        <v>0.3124735003097897</v>
      </c>
      <c r="G204" s="48" t="inlineStr">
        <is>
          <t>&lt; target</t>
        </is>
      </c>
      <c r="H204" s="47" t="n">
        <v>0.3124735003097897</v>
      </c>
      <c r="I204" s="48" t="inlineStr">
        <is>
          <t>&lt; target</t>
        </is>
      </c>
      <c r="J204" s="47" t="n">
        <v>0.3124735003097897</v>
      </c>
      <c r="K204" s="48" t="inlineStr">
        <is>
          <t>&lt; target</t>
        </is>
      </c>
      <c r="L204" s="47" t="n">
        <v>0.3124735003097897</v>
      </c>
      <c r="M204" s="48" t="inlineStr">
        <is>
          <t>&lt; target</t>
        </is>
      </c>
    </row>
    <row r="205">
      <c r="A205" s="7" t="n">
        <v>201</v>
      </c>
      <c r="B205" s="128" t="n">
        <v>282975574833.4285</v>
      </c>
      <c r="C205" s="128" t="n">
        <v>451295000000</v>
      </c>
      <c r="D205" s="22" t="n">
        <v>0.3135150786441557</v>
      </c>
      <c r="E205" t="inlineStr">
        <is>
          <t>&lt; target</t>
        </is>
      </c>
      <c r="F205" s="22" t="n">
        <v>0.3135150786441557</v>
      </c>
      <c r="G205" t="inlineStr">
        <is>
          <t>&lt; target</t>
        </is>
      </c>
      <c r="H205" s="22" t="n">
        <v>0.3135150786441557</v>
      </c>
      <c r="I205" t="inlineStr">
        <is>
          <t>&lt; target</t>
        </is>
      </c>
      <c r="J205" s="22" t="n">
        <v>0.3135150786441557</v>
      </c>
      <c r="K205" t="inlineStr">
        <is>
          <t>&lt; target</t>
        </is>
      </c>
      <c r="L205" s="22" t="n">
        <v>0.3135150786441557</v>
      </c>
      <c r="M205" t="inlineStr">
        <is>
          <t>&lt; target</t>
        </is>
      </c>
    </row>
    <row r="206">
      <c r="A206" s="45" t="n">
        <v>202</v>
      </c>
      <c r="B206" s="139" t="n">
        <v>283918826749.54</v>
      </c>
      <c r="C206" s="139" t="n">
        <v>451295000000</v>
      </c>
      <c r="D206" s="47" t="n">
        <v>0.314560128906303</v>
      </c>
      <c r="E206" s="48" t="inlineStr">
        <is>
          <t>&lt; target</t>
        </is>
      </c>
      <c r="F206" s="47" t="n">
        <v>0.314560128906303</v>
      </c>
      <c r="G206" s="48" t="inlineStr">
        <is>
          <t>&lt; target</t>
        </is>
      </c>
      <c r="H206" s="47" t="n">
        <v>0.314560128906303</v>
      </c>
      <c r="I206" s="48" t="inlineStr">
        <is>
          <t>&lt; target</t>
        </is>
      </c>
      <c r="J206" s="47" t="n">
        <v>0.314560128906303</v>
      </c>
      <c r="K206" s="48" t="inlineStr">
        <is>
          <t>&lt; target</t>
        </is>
      </c>
      <c r="L206" s="47" t="n">
        <v>0.314560128906303</v>
      </c>
      <c r="M206" s="48" t="inlineStr">
        <is>
          <t>&lt; target</t>
        </is>
      </c>
    </row>
    <row r="207">
      <c r="A207" s="7" t="n">
        <v>203</v>
      </c>
      <c r="B207" s="128" t="n">
        <v>284865222838.7051</v>
      </c>
      <c r="C207" s="128" t="n">
        <v>451295000000</v>
      </c>
      <c r="D207" s="22" t="n">
        <v>0.315608662669324</v>
      </c>
      <c r="E207" t="inlineStr">
        <is>
          <t>&lt; target</t>
        </is>
      </c>
      <c r="F207" s="22" t="n">
        <v>0.315608662669324</v>
      </c>
      <c r="G207" t="inlineStr">
        <is>
          <t>&lt; target</t>
        </is>
      </c>
      <c r="H207" s="22" t="n">
        <v>0.315608662669324</v>
      </c>
      <c r="I207" t="inlineStr">
        <is>
          <t>&lt; target</t>
        </is>
      </c>
      <c r="J207" s="22" t="n">
        <v>0.315608662669324</v>
      </c>
      <c r="K207" t="inlineStr">
        <is>
          <t>&lt; target</t>
        </is>
      </c>
      <c r="L207" s="22" t="n">
        <v>0.315608662669324</v>
      </c>
      <c r="M207" t="inlineStr">
        <is>
          <t>&lt; target</t>
        </is>
      </c>
    </row>
    <row r="208">
      <c r="A208" s="45" t="n">
        <v>204</v>
      </c>
      <c r="B208" s="139" t="n">
        <v>285814773581.5009</v>
      </c>
      <c r="C208" s="139" t="n">
        <v>451295000000</v>
      </c>
      <c r="D208" s="47" t="n">
        <v>0.3166606915448885</v>
      </c>
      <c r="E208" s="48" t="inlineStr">
        <is>
          <t>&lt; target</t>
        </is>
      </c>
      <c r="F208" s="47" t="n">
        <v>0.3166606915448885</v>
      </c>
      <c r="G208" s="48" t="inlineStr">
        <is>
          <t>&lt; target</t>
        </is>
      </c>
      <c r="H208" s="47" t="n">
        <v>0.3166606915448885</v>
      </c>
      <c r="I208" s="48" t="inlineStr">
        <is>
          <t>&lt; target</t>
        </is>
      </c>
      <c r="J208" s="47" t="n">
        <v>0.3166606915448885</v>
      </c>
      <c r="K208" s="48" t="inlineStr">
        <is>
          <t>&lt; target</t>
        </is>
      </c>
      <c r="L208" s="47" t="n">
        <v>0.3166606915448885</v>
      </c>
      <c r="M208" s="48" t="inlineStr">
        <is>
          <t>&lt; target</t>
        </is>
      </c>
    </row>
    <row r="209">
      <c r="A209" s="7" t="n">
        <v>205</v>
      </c>
      <c r="B209" s="128" t="n">
        <v>286767489493.4392</v>
      </c>
      <c r="C209" s="128" t="n">
        <v>451295000000</v>
      </c>
      <c r="D209" s="22" t="n">
        <v>0.3177162271833714</v>
      </c>
      <c r="E209" t="inlineStr">
        <is>
          <t>&lt; target</t>
        </is>
      </c>
      <c r="F209" s="22" t="n">
        <v>0.3177162271833714</v>
      </c>
      <c r="G209" t="inlineStr">
        <is>
          <t>&lt; target</t>
        </is>
      </c>
      <c r="H209" s="22" t="n">
        <v>0.3177162271833714</v>
      </c>
      <c r="I209" t="inlineStr">
        <is>
          <t>&lt; target</t>
        </is>
      </c>
      <c r="J209" s="22" t="n">
        <v>0.3177162271833714</v>
      </c>
      <c r="K209" t="inlineStr">
        <is>
          <t>&lt; target</t>
        </is>
      </c>
      <c r="L209" s="22" t="n">
        <v>0.3177162271833714</v>
      </c>
      <c r="M209" t="inlineStr">
        <is>
          <t>&lt; target</t>
        </is>
      </c>
    </row>
    <row r="210">
      <c r="A210" s="45" t="n">
        <v>206</v>
      </c>
      <c r="B210" s="139" t="n">
        <v>287723381125.084</v>
      </c>
      <c r="C210" s="139" t="n">
        <v>451295000000</v>
      </c>
      <c r="D210" s="47" t="n">
        <v>0.3187752812739827</v>
      </c>
      <c r="E210" s="48" t="inlineStr">
        <is>
          <t>&lt; target</t>
        </is>
      </c>
      <c r="F210" s="47" t="n">
        <v>0.3187752812739827</v>
      </c>
      <c r="G210" s="48" t="inlineStr">
        <is>
          <t>&lt; target</t>
        </is>
      </c>
      <c r="H210" s="47" t="n">
        <v>0.3187752812739827</v>
      </c>
      <c r="I210" s="48" t="inlineStr">
        <is>
          <t>&lt; target</t>
        </is>
      </c>
      <c r="J210" s="47" t="n">
        <v>0.3187752812739827</v>
      </c>
      <c r="K210" s="48" t="inlineStr">
        <is>
          <t>&lt; target</t>
        </is>
      </c>
      <c r="L210" s="47" t="n">
        <v>0.3187752812739827</v>
      </c>
      <c r="M210" s="48" t="inlineStr">
        <is>
          <t>&lt; target</t>
        </is>
      </c>
    </row>
    <row r="211">
      <c r="A211" s="7" t="n">
        <v>207</v>
      </c>
      <c r="B211" s="128" t="n">
        <v>288682459062.1677</v>
      </c>
      <c r="C211" s="128" t="n">
        <v>451295000000</v>
      </c>
      <c r="D211" s="22" t="n">
        <v>0.319837865544896</v>
      </c>
      <c r="E211" t="inlineStr">
        <is>
          <t>&lt; target</t>
        </is>
      </c>
      <c r="F211" s="22" t="n">
        <v>0.319837865544896</v>
      </c>
      <c r="G211" t="inlineStr">
        <is>
          <t>&lt; target</t>
        </is>
      </c>
      <c r="H211" s="22" t="n">
        <v>0.319837865544896</v>
      </c>
      <c r="I211" t="inlineStr">
        <is>
          <t>&lt; target</t>
        </is>
      </c>
      <c r="J211" s="22" t="n">
        <v>0.319837865544896</v>
      </c>
      <c r="K211" t="inlineStr">
        <is>
          <t>&lt; target</t>
        </is>
      </c>
      <c r="L211" s="22" t="n">
        <v>0.319837865544896</v>
      </c>
      <c r="M211" t="inlineStr">
        <is>
          <t>&lt; target</t>
        </is>
      </c>
    </row>
    <row r="212">
      <c r="A212" s="45" t="n">
        <v>208</v>
      </c>
      <c r="B212" s="139" t="n">
        <v>289644733925.7083</v>
      </c>
      <c r="C212" s="139" t="n">
        <v>451295000000</v>
      </c>
      <c r="D212" s="47" t="n">
        <v>0.320903991763379</v>
      </c>
      <c r="E212" s="48" t="inlineStr">
        <is>
          <t>&lt; target</t>
        </is>
      </c>
      <c r="F212" s="47" t="n">
        <v>0.320903991763379</v>
      </c>
      <c r="G212" s="48" t="inlineStr">
        <is>
          <t>&lt; target</t>
        </is>
      </c>
      <c r="H212" s="47" t="n">
        <v>0.320903991763379</v>
      </c>
      <c r="I212" s="48" t="inlineStr">
        <is>
          <t>&lt; target</t>
        </is>
      </c>
      <c r="J212" s="47" t="n">
        <v>0.320903991763379</v>
      </c>
      <c r="K212" s="48" t="inlineStr">
        <is>
          <t>&lt; target</t>
        </is>
      </c>
      <c r="L212" s="47" t="n">
        <v>0.320903991763379</v>
      </c>
      <c r="M212" s="48" t="inlineStr">
        <is>
          <t>&lt; target</t>
        </is>
      </c>
    </row>
    <row r="213">
      <c r="A213" s="7" t="n">
        <v>209</v>
      </c>
      <c r="B213" s="128" t="n">
        <v>290610216372.1273</v>
      </c>
      <c r="C213" s="128" t="n">
        <v>451295000000</v>
      </c>
      <c r="D213" s="22" t="n">
        <v>0.3219736717359236</v>
      </c>
      <c r="E213" t="inlineStr">
        <is>
          <t>&lt; target</t>
        </is>
      </c>
      <c r="F213" s="22" t="n">
        <v>0.3219736717359236</v>
      </c>
      <c r="G213" t="inlineStr">
        <is>
          <t>&lt; target</t>
        </is>
      </c>
      <c r="H213" s="22" t="n">
        <v>0.3219736717359236</v>
      </c>
      <c r="I213" t="inlineStr">
        <is>
          <t>&lt; target</t>
        </is>
      </c>
      <c r="J213" s="22" t="n">
        <v>0.3219736717359236</v>
      </c>
      <c r="K213" t="inlineStr">
        <is>
          <t>&lt; target</t>
        </is>
      </c>
      <c r="L213" s="22" t="n">
        <v>0.3219736717359236</v>
      </c>
      <c r="M213" t="inlineStr">
        <is>
          <t>&lt; target</t>
        </is>
      </c>
    </row>
    <row r="214">
      <c r="A214" s="45" t="n">
        <v>210</v>
      </c>
      <c r="B214" s="139" t="n">
        <v>291578917093.3677</v>
      </c>
      <c r="C214" s="139" t="n">
        <v>451295000000</v>
      </c>
      <c r="D214" s="47" t="n">
        <v>0.3230469173083767</v>
      </c>
      <c r="E214" s="48" t="inlineStr">
        <is>
          <t>&lt; target</t>
        </is>
      </c>
      <c r="F214" s="47" t="n">
        <v>0.3230469173083767</v>
      </c>
      <c r="G214" s="48" t="inlineStr">
        <is>
          <t>&lt; target</t>
        </is>
      </c>
      <c r="H214" s="47" t="n">
        <v>0.3230469173083767</v>
      </c>
      <c r="I214" s="48" t="inlineStr">
        <is>
          <t>&lt; target</t>
        </is>
      </c>
      <c r="J214" s="47" t="n">
        <v>0.3230469173083767</v>
      </c>
      <c r="K214" s="48" t="inlineStr">
        <is>
          <t>&lt; target</t>
        </is>
      </c>
      <c r="L214" s="47" t="n">
        <v>0.3230469173083767</v>
      </c>
      <c r="M214" s="48" t="inlineStr">
        <is>
          <t>&lt; target</t>
        </is>
      </c>
    </row>
    <row r="215">
      <c r="A215" s="7" t="n">
        <v>211</v>
      </c>
      <c r="B215" s="128" t="n">
        <v>292550846817.0123</v>
      </c>
      <c r="C215" s="128" t="n">
        <v>451295000000</v>
      </c>
      <c r="D215" s="22" t="n">
        <v>0.3241237403660713</v>
      </c>
      <c r="E215" t="inlineStr">
        <is>
          <t>&lt; target</t>
        </is>
      </c>
      <c r="F215" s="22" t="n">
        <v>0.3241237403660713</v>
      </c>
      <c r="G215" t="inlineStr">
        <is>
          <t>&lt; target</t>
        </is>
      </c>
      <c r="H215" s="22" t="n">
        <v>0.3241237403660713</v>
      </c>
      <c r="I215" t="inlineStr">
        <is>
          <t>&lt; target</t>
        </is>
      </c>
      <c r="J215" s="22" t="n">
        <v>0.3241237403660713</v>
      </c>
      <c r="K215" t="inlineStr">
        <is>
          <t>&lt; target</t>
        </is>
      </c>
      <c r="L215" s="22" t="n">
        <v>0.3241237403660713</v>
      </c>
      <c r="M215" t="inlineStr">
        <is>
          <t>&lt; target</t>
        </is>
      </c>
    </row>
    <row r="216">
      <c r="A216" s="45" t="n">
        <v>212</v>
      </c>
      <c r="B216" s="139" t="n">
        <v>293526016306.4024</v>
      </c>
      <c r="C216" s="139" t="n">
        <v>451295000000</v>
      </c>
      <c r="D216" s="47" t="n">
        <v>0.3252041528339583</v>
      </c>
      <c r="E216" s="48" t="inlineStr">
        <is>
          <t>&lt; target</t>
        </is>
      </c>
      <c r="F216" s="47" t="n">
        <v>0.3252041528339583</v>
      </c>
      <c r="G216" s="48" t="inlineStr">
        <is>
          <t>&lt; target</t>
        </is>
      </c>
      <c r="H216" s="47" t="n">
        <v>0.3252041528339583</v>
      </c>
      <c r="I216" s="48" t="inlineStr">
        <is>
          <t>&lt; target</t>
        </is>
      </c>
      <c r="J216" s="47" t="n">
        <v>0.3252041528339583</v>
      </c>
      <c r="K216" s="48" t="inlineStr">
        <is>
          <t>&lt; target</t>
        </is>
      </c>
      <c r="L216" s="47" t="n">
        <v>0.3252041528339583</v>
      </c>
      <c r="M216" s="48" t="inlineStr">
        <is>
          <t>&lt; target</t>
        </is>
      </c>
    </row>
    <row r="217">
      <c r="A217" s="7" t="n">
        <v>213</v>
      </c>
      <c r="B217" s="128" t="n">
        <v>294504436360.7571</v>
      </c>
      <c r="C217" s="128" t="n">
        <v>451295000000</v>
      </c>
      <c r="D217" s="22" t="n">
        <v>0.3262881666767382</v>
      </c>
      <c r="E217" t="inlineStr">
        <is>
          <t>&lt; target</t>
        </is>
      </c>
      <c r="F217" s="22" t="n">
        <v>0.3262881666767382</v>
      </c>
      <c r="G217" t="inlineStr">
        <is>
          <t>&lt; target</t>
        </is>
      </c>
      <c r="H217" s="22" t="n">
        <v>0.3262881666767382</v>
      </c>
      <c r="I217" t="inlineStr">
        <is>
          <t>&lt; target</t>
        </is>
      </c>
      <c r="J217" s="22" t="n">
        <v>0.3262881666767382</v>
      </c>
      <c r="K217" t="inlineStr">
        <is>
          <t>&lt; target</t>
        </is>
      </c>
      <c r="L217" s="22" t="n">
        <v>0.3262881666767382</v>
      </c>
      <c r="M217" t="inlineStr">
        <is>
          <t>&lt; target</t>
        </is>
      </c>
    </row>
    <row r="218">
      <c r="A218" s="45" t="n">
        <v>214</v>
      </c>
      <c r="B218" s="139" t="n">
        <v>295486117815.293</v>
      </c>
      <c r="C218" s="139" t="n">
        <v>451295000000</v>
      </c>
      <c r="D218" s="47" t="n">
        <v>0.327375793898994</v>
      </c>
      <c r="E218" s="48" t="inlineStr">
        <is>
          <t>&lt; target</t>
        </is>
      </c>
      <c r="F218" s="47" t="n">
        <v>0.327375793898994</v>
      </c>
      <c r="G218" s="48" t="inlineStr">
        <is>
          <t>&lt; target</t>
        </is>
      </c>
      <c r="H218" s="47" t="n">
        <v>0.327375793898994</v>
      </c>
      <c r="I218" s="48" t="inlineStr">
        <is>
          <t>&lt; target</t>
        </is>
      </c>
      <c r="J218" s="47" t="n">
        <v>0.327375793898994</v>
      </c>
      <c r="K218" s="48" t="inlineStr">
        <is>
          <t>&lt; target</t>
        </is>
      </c>
      <c r="L218" s="47" t="n">
        <v>0.327375793898994</v>
      </c>
      <c r="M218" s="48" t="inlineStr">
        <is>
          <t>&lt; target</t>
        </is>
      </c>
    </row>
    <row r="219">
      <c r="A219" s="7" t="n">
        <v>215</v>
      </c>
      <c r="B219" s="128" t="n">
        <v>296471071541.344</v>
      </c>
      <c r="C219" s="128" t="n">
        <v>451295000000</v>
      </c>
      <c r="D219" s="22" t="n">
        <v>0.328467046545324</v>
      </c>
      <c r="E219" t="inlineStr">
        <is>
          <t>&lt; target</t>
        </is>
      </c>
      <c r="F219" s="22" t="n">
        <v>0.328467046545324</v>
      </c>
      <c r="G219" t="inlineStr">
        <is>
          <t>&lt; target</t>
        </is>
      </c>
      <c r="H219" s="22" t="n">
        <v>0.328467046545324</v>
      </c>
      <c r="I219" t="inlineStr">
        <is>
          <t>&lt; target</t>
        </is>
      </c>
      <c r="J219" s="22" t="n">
        <v>0.328467046545324</v>
      </c>
      <c r="K219" t="inlineStr">
        <is>
          <t>&lt; target</t>
        </is>
      </c>
      <c r="L219" s="22" t="n">
        <v>0.328467046545324</v>
      </c>
      <c r="M219" t="inlineStr">
        <is>
          <t>&lt; target</t>
        </is>
      </c>
    </row>
    <row r="220">
      <c r="A220" s="45" t="n">
        <v>216</v>
      </c>
      <c r="B220" s="139" t="n">
        <v>297459308446.4818</v>
      </c>
      <c r="C220" s="139" t="n">
        <v>451295000000</v>
      </c>
      <c r="D220" s="47" t="n">
        <v>0.3295619367004751</v>
      </c>
      <c r="E220" s="48" t="inlineStr">
        <is>
          <t>&lt; target</t>
        </is>
      </c>
      <c r="F220" s="47" t="n">
        <v>0.3295619367004751</v>
      </c>
      <c r="G220" s="48" t="inlineStr">
        <is>
          <t>&lt; target</t>
        </is>
      </c>
      <c r="H220" s="47" t="n">
        <v>0.3295619367004751</v>
      </c>
      <c r="I220" s="48" t="inlineStr">
        <is>
          <t>&lt; target</t>
        </is>
      </c>
      <c r="J220" s="47" t="n">
        <v>0.3295619367004751</v>
      </c>
      <c r="K220" s="48" t="inlineStr">
        <is>
          <t>&lt; target</t>
        </is>
      </c>
      <c r="L220" s="47" t="n">
        <v>0.3295619367004751</v>
      </c>
      <c r="M220" s="48" t="inlineStr">
        <is>
          <t>&lt; target</t>
        </is>
      </c>
    </row>
    <row r="221">
      <c r="A221" s="7" t="n">
        <v>217</v>
      </c>
      <c r="B221" s="128" t="n">
        <v>298450839474.6367</v>
      </c>
      <c r="C221" s="128" t="n">
        <v>451295000000</v>
      </c>
      <c r="D221" s="22" t="n">
        <v>0.3306604764894767</v>
      </c>
      <c r="E221" t="inlineStr">
        <is>
          <t>&lt; target</t>
        </is>
      </c>
      <c r="F221" s="22" t="n">
        <v>0.3306604764894767</v>
      </c>
      <c r="G221" t="inlineStr">
        <is>
          <t>&lt; target</t>
        </is>
      </c>
      <c r="H221" s="22" t="n">
        <v>0.3306604764894767</v>
      </c>
      <c r="I221" t="inlineStr">
        <is>
          <t>&lt; target</t>
        </is>
      </c>
      <c r="J221" s="22" t="n">
        <v>0.3306604764894767</v>
      </c>
      <c r="K221" t="inlineStr">
        <is>
          <t>&lt; target</t>
        </is>
      </c>
      <c r="L221" s="22" t="n">
        <v>0.3306604764894767</v>
      </c>
      <c r="M221" t="inlineStr">
        <is>
          <t>&lt; target</t>
        </is>
      </c>
    </row>
    <row r="222">
      <c r="A222" s="45" t="n">
        <v>218</v>
      </c>
      <c r="B222" s="139" t="n">
        <v>299445675606.2189</v>
      </c>
      <c r="C222" s="139" t="n">
        <v>451295000000</v>
      </c>
      <c r="D222" s="47" t="n">
        <v>0.331762678077775</v>
      </c>
      <c r="E222" s="48" t="inlineStr">
        <is>
          <t>&lt; target</t>
        </is>
      </c>
      <c r="F222" s="47" t="n">
        <v>0.331762678077775</v>
      </c>
      <c r="G222" s="48" t="inlineStr">
        <is>
          <t>&lt; target</t>
        </is>
      </c>
      <c r="H222" s="47" t="n">
        <v>0.331762678077775</v>
      </c>
      <c r="I222" s="48" t="inlineStr">
        <is>
          <t>&lt; target</t>
        </is>
      </c>
      <c r="J222" s="47" t="n">
        <v>0.331762678077775</v>
      </c>
      <c r="K222" s="48" t="inlineStr">
        <is>
          <t>&lt; target</t>
        </is>
      </c>
      <c r="L222" s="47" t="n">
        <v>0.331762678077775</v>
      </c>
      <c r="M222" s="48" t="inlineStr">
        <is>
          <t>&lt; target</t>
        </is>
      </c>
    </row>
    <row r="223">
      <c r="A223" s="7" t="n">
        <v>219</v>
      </c>
      <c r="B223" s="128" t="n">
        <v>300443827858.2396</v>
      </c>
      <c r="C223" s="128" t="n">
        <v>451295000000</v>
      </c>
      <c r="D223" s="22" t="n">
        <v>0.3328685536713675</v>
      </c>
      <c r="E223" t="inlineStr">
        <is>
          <t>&lt; target</t>
        </is>
      </c>
      <c r="F223" s="22" t="n">
        <v>0.3328685536713675</v>
      </c>
      <c r="G223" t="inlineStr">
        <is>
          <t>&lt; target</t>
        </is>
      </c>
      <c r="H223" s="22" t="n">
        <v>0.3328685536713675</v>
      </c>
      <c r="I223" t="inlineStr">
        <is>
          <t>&lt; target</t>
        </is>
      </c>
      <c r="J223" s="22" t="n">
        <v>0.3328685536713675</v>
      </c>
      <c r="K223" t="inlineStr">
        <is>
          <t>&lt; target</t>
        </is>
      </c>
      <c r="L223" s="22" t="n">
        <v>0.3328685536713675</v>
      </c>
      <c r="M223" t="inlineStr">
        <is>
          <t>&lt; target</t>
        </is>
      </c>
    </row>
    <row r="224">
      <c r="A224" s="45" t="n">
        <v>220</v>
      </c>
      <c r="B224" s="139" t="n">
        <v>301445307284.4338</v>
      </c>
      <c r="C224" s="139" t="n">
        <v>451295000000</v>
      </c>
      <c r="D224" s="47" t="n">
        <v>0.3339781155169388</v>
      </c>
      <c r="E224" s="48" t="inlineStr">
        <is>
          <t>&lt; target</t>
        </is>
      </c>
      <c r="F224" s="47" t="n">
        <v>0.3339781155169388</v>
      </c>
      <c r="G224" s="48" t="inlineStr">
        <is>
          <t>&lt; target</t>
        </is>
      </c>
      <c r="H224" s="47" t="n">
        <v>0.3339781155169388</v>
      </c>
      <c r="I224" s="48" t="inlineStr">
        <is>
          <t>&lt; target</t>
        </is>
      </c>
      <c r="J224" s="47" t="n">
        <v>0.3339781155169388</v>
      </c>
      <c r="K224" s="48" t="inlineStr">
        <is>
          <t>&lt; target</t>
        </is>
      </c>
      <c r="L224" s="47" t="n">
        <v>0.3339781155169388</v>
      </c>
      <c r="M224" s="48" t="inlineStr">
        <is>
          <t>&lt; target</t>
        </is>
      </c>
    </row>
    <row r="225">
      <c r="A225" s="7" t="n">
        <v>221</v>
      </c>
      <c r="B225" s="128" t="n">
        <v>302450124975.382</v>
      </c>
      <c r="C225" s="128" t="n">
        <v>451295000000</v>
      </c>
      <c r="D225" s="22" t="n">
        <v>0.3350913759019953</v>
      </c>
      <c r="E225" t="inlineStr">
        <is>
          <t>&lt; target</t>
        </is>
      </c>
      <c r="F225" s="22" t="n">
        <v>0.3350913759019953</v>
      </c>
      <c r="G225" t="inlineStr">
        <is>
          <t>&lt; target</t>
        </is>
      </c>
      <c r="H225" s="22" t="n">
        <v>0.3350913759019953</v>
      </c>
      <c r="I225" t="inlineStr">
        <is>
          <t>&lt; target</t>
        </is>
      </c>
      <c r="J225" s="22" t="n">
        <v>0.3350913759019953</v>
      </c>
      <c r="K225" t="inlineStr">
        <is>
          <t>&lt; target</t>
        </is>
      </c>
      <c r="L225" s="22" t="n">
        <v>0.3350913759019953</v>
      </c>
      <c r="M225" t="inlineStr">
        <is>
          <t>&lt; target</t>
        </is>
      </c>
    </row>
    <row r="226">
      <c r="A226" s="45" t="n">
        <v>222</v>
      </c>
      <c r="B226" s="139" t="n">
        <v>303458292058.6332</v>
      </c>
      <c r="C226" s="139" t="n">
        <v>451295000000</v>
      </c>
      <c r="D226" s="47" t="n">
        <v>0.336208347155002</v>
      </c>
      <c r="E226" s="48" t="inlineStr">
        <is>
          <t>&lt; target</t>
        </is>
      </c>
      <c r="F226" s="47" t="n">
        <v>0.336208347155002</v>
      </c>
      <c r="G226" s="48" t="inlineStr">
        <is>
          <t>&lt; target</t>
        </is>
      </c>
      <c r="H226" s="47" t="n">
        <v>0.336208347155002</v>
      </c>
      <c r="I226" s="48" t="inlineStr">
        <is>
          <t>&lt; target</t>
        </is>
      </c>
      <c r="J226" s="47" t="n">
        <v>0.336208347155002</v>
      </c>
      <c r="K226" s="48" t="inlineStr">
        <is>
          <t>&lt; target</t>
        </is>
      </c>
      <c r="L226" s="47" t="n">
        <v>0.336208347155002</v>
      </c>
      <c r="M226" s="48" t="inlineStr">
        <is>
          <t>&lt; target</t>
        </is>
      </c>
    </row>
    <row r="227">
      <c r="A227" s="7" t="n">
        <v>223</v>
      </c>
      <c r="B227" s="128" t="n">
        <v>304469819698.8287</v>
      </c>
      <c r="C227" s="128" t="n">
        <v>451295000000</v>
      </c>
      <c r="D227" s="22" t="n">
        <v>0.3373290416455187</v>
      </c>
      <c r="E227" t="inlineStr">
        <is>
          <t>&lt; target</t>
        </is>
      </c>
      <c r="F227" s="22" t="n">
        <v>0.3373290416455187</v>
      </c>
      <c r="G227" t="inlineStr">
        <is>
          <t>&lt; target</t>
        </is>
      </c>
      <c r="H227" s="22" t="n">
        <v>0.3373290416455187</v>
      </c>
      <c r="I227" t="inlineStr">
        <is>
          <t>&lt; target</t>
        </is>
      </c>
      <c r="J227" s="22" t="n">
        <v>0.3373290416455187</v>
      </c>
      <c r="K227" t="inlineStr">
        <is>
          <t>&lt; target</t>
        </is>
      </c>
      <c r="L227" s="22" t="n">
        <v>0.3373290416455187</v>
      </c>
      <c r="M227" t="inlineStr">
        <is>
          <t>&lt; target</t>
        </is>
      </c>
    </row>
    <row r="228">
      <c r="A228" s="45" t="n">
        <v>224</v>
      </c>
      <c r="B228" s="139" t="n">
        <v>305484719097.8248</v>
      </c>
      <c r="C228" s="139" t="n">
        <v>451295000000</v>
      </c>
      <c r="D228" s="47" t="n">
        <v>0.3384534717843371</v>
      </c>
      <c r="E228" s="48" t="inlineStr">
        <is>
          <t>&lt; target</t>
        </is>
      </c>
      <c r="F228" s="47" t="n">
        <v>0.3384534717843371</v>
      </c>
      <c r="G228" s="48" t="inlineStr">
        <is>
          <t>&lt; target</t>
        </is>
      </c>
      <c r="H228" s="47" t="n">
        <v>0.3384534717843371</v>
      </c>
      <c r="I228" s="48" t="inlineStr">
        <is>
          <t>&lt; target</t>
        </is>
      </c>
      <c r="J228" s="47" t="n">
        <v>0.3384534717843371</v>
      </c>
      <c r="K228" s="48" t="inlineStr">
        <is>
          <t>&lt; target</t>
        </is>
      </c>
      <c r="L228" s="47" t="n">
        <v>0.3384534717843371</v>
      </c>
      <c r="M228" s="48" t="inlineStr">
        <is>
          <t>&lt; target</t>
        </is>
      </c>
    </row>
    <row r="229">
      <c r="A229" s="7" t="n">
        <v>225</v>
      </c>
      <c r="B229" s="128" t="n">
        <v>306503001494.8176</v>
      </c>
      <c r="C229" s="128" t="n">
        <v>451295000000</v>
      </c>
      <c r="D229" s="22" t="n">
        <v>0.3395816500236183</v>
      </c>
      <c r="E229" t="inlineStr">
        <is>
          <t>&lt; target</t>
        </is>
      </c>
      <c r="F229" s="22" t="n">
        <v>0.3395816500236183</v>
      </c>
      <c r="G229" t="inlineStr">
        <is>
          <t>&lt; target</t>
        </is>
      </c>
      <c r="H229" s="22" t="n">
        <v>0.3395816500236183</v>
      </c>
      <c r="I229" t="inlineStr">
        <is>
          <t>&lt; target</t>
        </is>
      </c>
      <c r="J229" s="22" t="n">
        <v>0.3395816500236183</v>
      </c>
      <c r="K229" t="inlineStr">
        <is>
          <t>&lt; target</t>
        </is>
      </c>
      <c r="L229" s="22" t="n">
        <v>0.3395816500236183</v>
      </c>
      <c r="M229" t="inlineStr">
        <is>
          <t>&lt; target</t>
        </is>
      </c>
    </row>
    <row r="230">
      <c r="A230" s="45" t="n">
        <v>226</v>
      </c>
      <c r="B230" s="139" t="n">
        <v>307524678166.467</v>
      </c>
      <c r="C230" s="139" t="n">
        <v>451295000000</v>
      </c>
      <c r="D230" s="47" t="n">
        <v>0.3407135888570303</v>
      </c>
      <c r="E230" s="48" t="inlineStr">
        <is>
          <t>&lt; target</t>
        </is>
      </c>
      <c r="F230" s="47" t="n">
        <v>0.3407135888570303</v>
      </c>
      <c r="G230" s="48" t="inlineStr">
        <is>
          <t>&lt; target</t>
        </is>
      </c>
      <c r="H230" s="47" t="n">
        <v>0.3407135888570303</v>
      </c>
      <c r="I230" s="48" t="inlineStr">
        <is>
          <t>&lt; target</t>
        </is>
      </c>
      <c r="J230" s="47" t="n">
        <v>0.3407135888570303</v>
      </c>
      <c r="K230" s="48" t="inlineStr">
        <is>
          <t>&lt; target</t>
        </is>
      </c>
      <c r="L230" s="47" t="n">
        <v>0.3407135888570303</v>
      </c>
      <c r="M230" s="48" t="inlineStr">
        <is>
          <t>&lt; target</t>
        </is>
      </c>
    </row>
    <row r="231">
      <c r="A231" s="7" t="n">
        <v>227</v>
      </c>
      <c r="B231" s="128" t="n">
        <v>308549760427.022</v>
      </c>
      <c r="C231" s="128" t="n">
        <v>451295000000</v>
      </c>
      <c r="D231" s="22" t="n">
        <v>0.3418493008198872</v>
      </c>
      <c r="E231" t="inlineStr">
        <is>
          <t>&lt; target</t>
        </is>
      </c>
      <c r="F231" s="22" t="n">
        <v>0.3418493008198872</v>
      </c>
      <c r="G231" t="inlineStr">
        <is>
          <t>&lt; target</t>
        </is>
      </c>
      <c r="H231" s="22" t="n">
        <v>0.3418493008198872</v>
      </c>
      <c r="I231" t="inlineStr">
        <is>
          <t>&lt; target</t>
        </is>
      </c>
      <c r="J231" s="22" t="n">
        <v>0.3418493008198872</v>
      </c>
      <c r="K231" t="inlineStr">
        <is>
          <t>&lt; target</t>
        </is>
      </c>
      <c r="L231" s="22" t="n">
        <v>0.3418493008198872</v>
      </c>
      <c r="M231" t="inlineStr">
        <is>
          <t>&lt; target</t>
        </is>
      </c>
    </row>
    <row r="232">
      <c r="A232" s="45" t="n">
        <v>228</v>
      </c>
      <c r="B232" s="139" t="n">
        <v>309578259628.4454</v>
      </c>
      <c r="C232" s="139" t="n">
        <v>451295000000</v>
      </c>
      <c r="D232" s="47" t="n">
        <v>0.3429887984892868</v>
      </c>
      <c r="E232" s="48" t="inlineStr">
        <is>
          <t>&lt; target</t>
        </is>
      </c>
      <c r="F232" s="47" t="n">
        <v>0.3429887984892868</v>
      </c>
      <c r="G232" s="48" t="inlineStr">
        <is>
          <t>&lt; target</t>
        </is>
      </c>
      <c r="H232" s="47" t="n">
        <v>0.3429887984892868</v>
      </c>
      <c r="I232" s="48" t="inlineStr">
        <is>
          <t>&lt; target</t>
        </is>
      </c>
      <c r="J232" s="47" t="n">
        <v>0.3429887984892868</v>
      </c>
      <c r="K232" s="48" t="inlineStr">
        <is>
          <t>&lt; target</t>
        </is>
      </c>
      <c r="L232" s="47" t="n">
        <v>0.3429887984892868</v>
      </c>
      <c r="M232" s="48" t="inlineStr">
        <is>
          <t>&lt; target</t>
        </is>
      </c>
    </row>
    <row r="233">
      <c r="A233" s="7" t="n">
        <v>229</v>
      </c>
      <c r="B233" s="128" t="n">
        <v>310610187160.5402</v>
      </c>
      <c r="C233" s="128" t="n">
        <v>451295000000</v>
      </c>
      <c r="D233" s="22" t="n">
        <v>0.3441320944842511</v>
      </c>
      <c r="E233" t="inlineStr">
        <is>
          <t>&lt; target</t>
        </is>
      </c>
      <c r="F233" s="22" t="n">
        <v>0.3441320944842511</v>
      </c>
      <c r="G233" t="inlineStr">
        <is>
          <t>&lt; target</t>
        </is>
      </c>
      <c r="H233" s="22" t="n">
        <v>0.3441320944842511</v>
      </c>
      <c r="I233" t="inlineStr">
        <is>
          <t>&lt; target</t>
        </is>
      </c>
      <c r="J233" s="22" t="n">
        <v>0.3441320944842511</v>
      </c>
      <c r="K233" t="inlineStr">
        <is>
          <t>&lt; target</t>
        </is>
      </c>
      <c r="L233" s="22" t="n">
        <v>0.3441320944842511</v>
      </c>
      <c r="M233" t="inlineStr">
        <is>
          <t>&lt; target</t>
        </is>
      </c>
    </row>
    <row r="234">
      <c r="A234" s="45" t="n">
        <v>230</v>
      </c>
      <c r="B234" s="139" t="n">
        <v>311645554451.0754</v>
      </c>
      <c r="C234" s="139" t="n">
        <v>451295000000</v>
      </c>
      <c r="D234" s="47" t="n">
        <v>0.3452792014658653</v>
      </c>
      <c r="E234" s="48" t="inlineStr">
        <is>
          <t>&lt; target</t>
        </is>
      </c>
      <c r="F234" s="47" t="n">
        <v>0.3452792014658653</v>
      </c>
      <c r="G234" s="48" t="inlineStr">
        <is>
          <t>&lt; target</t>
        </is>
      </c>
      <c r="H234" s="47" t="n">
        <v>0.3452792014658653</v>
      </c>
      <c r="I234" s="48" t="inlineStr">
        <is>
          <t>&lt; target</t>
        </is>
      </c>
      <c r="J234" s="47" t="n">
        <v>0.3452792014658653</v>
      </c>
      <c r="K234" s="48" t="inlineStr">
        <is>
          <t>&lt; target</t>
        </is>
      </c>
      <c r="L234" s="47" t="n">
        <v>0.3452792014658653</v>
      </c>
      <c r="M234" s="48" t="inlineStr">
        <is>
          <t>&lt; target</t>
        </is>
      </c>
    </row>
    <row r="235">
      <c r="A235" s="7" t="n">
        <v>231</v>
      </c>
      <c r="B235" s="128" t="n">
        <v>312684372965.9123</v>
      </c>
      <c r="C235" s="128" t="n">
        <v>451295000000</v>
      </c>
      <c r="D235" s="22" t="n">
        <v>0.3464301321374182</v>
      </c>
      <c r="E235" t="inlineStr">
        <is>
          <t>&lt; target</t>
        </is>
      </c>
      <c r="F235" s="22" t="n">
        <v>0.3464301321374182</v>
      </c>
      <c r="G235" t="inlineStr">
        <is>
          <t>&lt; target</t>
        </is>
      </c>
      <c r="H235" s="22" t="n">
        <v>0.3464301321374182</v>
      </c>
      <c r="I235" t="inlineStr">
        <is>
          <t>&lt; target</t>
        </is>
      </c>
      <c r="J235" s="22" t="n">
        <v>0.3464301321374182</v>
      </c>
      <c r="K235" t="inlineStr">
        <is>
          <t>&lt; target</t>
        </is>
      </c>
      <c r="L235" s="22" t="n">
        <v>0.3464301321374182</v>
      </c>
      <c r="M235" t="inlineStr">
        <is>
          <t>&lt; target</t>
        </is>
      </c>
    </row>
    <row r="236">
      <c r="A236" s="45" t="n">
        <v>232</v>
      </c>
      <c r="B236" s="139" t="n">
        <v>313726654209.1321</v>
      </c>
      <c r="C236" s="139" t="n">
        <v>451295000000</v>
      </c>
      <c r="D236" s="47" t="n">
        <v>0.347584899244543</v>
      </c>
      <c r="E236" s="48" t="inlineStr">
        <is>
          <t>&lt; target</t>
        </is>
      </c>
      <c r="F236" s="47" t="n">
        <v>0.347584899244543</v>
      </c>
      <c r="G236" s="48" t="inlineStr">
        <is>
          <t>&lt; target</t>
        </is>
      </c>
      <c r="H236" s="47" t="n">
        <v>0.347584899244543</v>
      </c>
      <c r="I236" s="48" t="inlineStr">
        <is>
          <t>&lt; target</t>
        </is>
      </c>
      <c r="J236" s="47" t="n">
        <v>0.347584899244543</v>
      </c>
      <c r="K236" s="48" t="inlineStr">
        <is>
          <t>&lt; target</t>
        </is>
      </c>
      <c r="L236" s="47" t="n">
        <v>0.347584899244543</v>
      </c>
      <c r="M236" s="48" t="inlineStr">
        <is>
          <t>&lt; target</t>
        </is>
      </c>
    </row>
    <row r="237">
      <c r="A237" s="7" t="n">
        <v>233</v>
      </c>
      <c r="B237" s="128" t="n">
        <v>314772409723.1625</v>
      </c>
      <c r="C237" s="128" t="n">
        <v>451295000000</v>
      </c>
      <c r="D237" s="22" t="n">
        <v>0.3487435155753582</v>
      </c>
      <c r="E237" t="inlineStr">
        <is>
          <t>&lt; target</t>
        </is>
      </c>
      <c r="F237" s="22" t="n">
        <v>0.3487435155753582</v>
      </c>
      <c r="G237" t="inlineStr">
        <is>
          <t>&lt; target</t>
        </is>
      </c>
      <c r="H237" s="22" t="n">
        <v>0.3487435155753582</v>
      </c>
      <c r="I237" t="inlineStr">
        <is>
          <t>&lt; target</t>
        </is>
      </c>
      <c r="J237" s="22" t="n">
        <v>0.3487435155753582</v>
      </c>
      <c r="K237" t="inlineStr">
        <is>
          <t>&lt; target</t>
        </is>
      </c>
      <c r="L237" s="22" t="n">
        <v>0.3487435155753582</v>
      </c>
      <c r="M237" t="inlineStr">
        <is>
          <t>&lt; target</t>
        </is>
      </c>
    </row>
    <row r="238">
      <c r="A238" s="45" t="n">
        <v>234</v>
      </c>
      <c r="B238" s="139" t="n">
        <v>315821651088.9064</v>
      </c>
      <c r="C238" s="139" t="n">
        <v>451295000000</v>
      </c>
      <c r="D238" s="47" t="n">
        <v>0.3499059939606094</v>
      </c>
      <c r="E238" s="48" t="inlineStr">
        <is>
          <t>&lt; target</t>
        </is>
      </c>
      <c r="F238" s="47" t="n">
        <v>0.3499059939606094</v>
      </c>
      <c r="G238" s="48" t="inlineStr">
        <is>
          <t>&lt; target</t>
        </is>
      </c>
      <c r="H238" s="47" t="n">
        <v>0.3499059939606094</v>
      </c>
      <c r="I238" s="48" t="inlineStr">
        <is>
          <t>&lt; target</t>
        </is>
      </c>
      <c r="J238" s="47" t="n">
        <v>0.3499059939606094</v>
      </c>
      <c r="K238" s="48" t="inlineStr">
        <is>
          <t>&lt; target</t>
        </is>
      </c>
      <c r="L238" s="47" t="n">
        <v>0.3499059939606094</v>
      </c>
      <c r="M238" s="48" t="inlineStr">
        <is>
          <t>&lt; target</t>
        </is>
      </c>
    </row>
    <row r="239">
      <c r="A239" s="7" t="n">
        <v>235</v>
      </c>
      <c r="B239" s="128" t="n">
        <v>316874389925.8694</v>
      </c>
      <c r="C239" s="128" t="n">
        <v>451295000000</v>
      </c>
      <c r="D239" s="22" t="n">
        <v>0.3510723472738114</v>
      </c>
      <c r="E239" t="inlineStr">
        <is>
          <t>&lt; target</t>
        </is>
      </c>
      <c r="F239" s="22" t="n">
        <v>0.3510723472738114</v>
      </c>
      <c r="G239" t="inlineStr">
        <is>
          <t>&lt; target</t>
        </is>
      </c>
      <c r="H239" s="22" t="n">
        <v>0.3510723472738114</v>
      </c>
      <c r="I239" t="inlineStr">
        <is>
          <t>&lt; target</t>
        </is>
      </c>
      <c r="J239" s="22" t="n">
        <v>0.3510723472738114</v>
      </c>
      <c r="K239" t="inlineStr">
        <is>
          <t>&lt; target</t>
        </is>
      </c>
      <c r="L239" s="22" t="n">
        <v>0.3510723472738114</v>
      </c>
      <c r="M239" t="inlineStr">
        <is>
          <t>&lt; target</t>
        </is>
      </c>
    </row>
    <row r="240">
      <c r="A240" s="45" t="n">
        <v>236</v>
      </c>
      <c r="B240" s="139" t="n">
        <v>317930637892.289</v>
      </c>
      <c r="C240" s="139" t="n">
        <v>451295000000</v>
      </c>
      <c r="D240" s="47" t="n">
        <v>0.3522425884313908</v>
      </c>
      <c r="E240" s="48" t="inlineStr">
        <is>
          <t>&lt; target</t>
        </is>
      </c>
      <c r="F240" s="47" t="n">
        <v>0.3522425884313908</v>
      </c>
      <c r="G240" s="48" t="inlineStr">
        <is>
          <t>&lt; target</t>
        </is>
      </c>
      <c r="H240" s="47" t="n">
        <v>0.3522425884313908</v>
      </c>
      <c r="I240" s="48" t="inlineStr">
        <is>
          <t>&lt; target</t>
        </is>
      </c>
      <c r="J240" s="47" t="n">
        <v>0.3522425884313908</v>
      </c>
      <c r="K240" s="48" t="inlineStr">
        <is>
          <t>&lt; target</t>
        </is>
      </c>
      <c r="L240" s="47" t="n">
        <v>0.3522425884313908</v>
      </c>
      <c r="M240" s="48" t="inlineStr">
        <is>
          <t>&lt; target</t>
        </is>
      </c>
    </row>
    <row r="241">
      <c r="A241" s="7" t="n">
        <v>237</v>
      </c>
      <c r="B241" s="128" t="n">
        <v>318990406685.2634</v>
      </c>
      <c r="C241" s="128" t="n">
        <v>451295000000</v>
      </c>
      <c r="D241" s="22" t="n">
        <v>0.3534167303928288</v>
      </c>
      <c r="E241" t="inlineStr">
        <is>
          <t>&lt; target</t>
        </is>
      </c>
      <c r="F241" s="22" t="n">
        <v>0.3534167303928288</v>
      </c>
      <c r="G241" t="inlineStr">
        <is>
          <t>&lt; target</t>
        </is>
      </c>
      <c r="H241" s="22" t="n">
        <v>0.3534167303928288</v>
      </c>
      <c r="I241" t="inlineStr">
        <is>
          <t>&lt; target</t>
        </is>
      </c>
      <c r="J241" s="22" t="n">
        <v>0.3534167303928288</v>
      </c>
      <c r="K241" t="inlineStr">
        <is>
          <t>&lt; target</t>
        </is>
      </c>
      <c r="L241" s="22" t="n">
        <v>0.3534167303928288</v>
      </c>
      <c r="M241" t="inlineStr">
        <is>
          <t>&lt; target</t>
        </is>
      </c>
    </row>
    <row r="242">
      <c r="A242" s="45" t="n">
        <v>238</v>
      </c>
      <c r="B242" s="139" t="n">
        <v>320053708040.8809</v>
      </c>
      <c r="C242" s="139" t="n">
        <v>451295000000</v>
      </c>
      <c r="D242" s="47" t="n">
        <v>0.3545947861608049</v>
      </c>
      <c r="E242" s="48" t="inlineStr">
        <is>
          <t>&lt; target</t>
        </is>
      </c>
      <c r="F242" s="47" t="n">
        <v>0.3545947861608049</v>
      </c>
      <c r="G242" s="48" t="inlineStr">
        <is>
          <t>&lt; target</t>
        </is>
      </c>
      <c r="H242" s="47" t="n">
        <v>0.3545947861608049</v>
      </c>
      <c r="I242" s="48" t="inlineStr">
        <is>
          <t>&lt; target</t>
        </is>
      </c>
      <c r="J242" s="47" t="n">
        <v>0.3545947861608049</v>
      </c>
      <c r="K242" s="48" t="inlineStr">
        <is>
          <t>&lt; target</t>
        </is>
      </c>
      <c r="L242" s="47" t="n">
        <v>0.3545947861608049</v>
      </c>
      <c r="M242" s="48" t="inlineStr">
        <is>
          <t>&lt; target</t>
        </is>
      </c>
    </row>
    <row r="243">
      <c r="A243" s="7" t="n">
        <v>239</v>
      </c>
      <c r="B243" s="128" t="n">
        <v>321120553734.3505</v>
      </c>
      <c r="C243" s="128" t="n">
        <v>451295000000</v>
      </c>
      <c r="D243" s="22" t="n">
        <v>0.355776768781341</v>
      </c>
      <c r="E243" t="inlineStr">
        <is>
          <t>&lt; target</t>
        </is>
      </c>
      <c r="F243" s="22" t="n">
        <v>0.355776768781341</v>
      </c>
      <c r="G243" t="inlineStr">
        <is>
          <t>&lt; target</t>
        </is>
      </c>
      <c r="H243" s="22" t="n">
        <v>0.355776768781341</v>
      </c>
      <c r="I243" t="inlineStr">
        <is>
          <t>&lt; target</t>
        </is>
      </c>
      <c r="J243" s="22" t="n">
        <v>0.355776768781341</v>
      </c>
      <c r="K243" t="inlineStr">
        <is>
          <t>&lt; target</t>
        </is>
      </c>
      <c r="L243" s="22" t="n">
        <v>0.355776768781341</v>
      </c>
      <c r="M243" t="inlineStr">
        <is>
          <t>&lt; target</t>
        </is>
      </c>
    </row>
    <row r="244">
      <c r="A244" s="45" t="n">
        <v>240</v>
      </c>
      <c r="B244" s="139" t="n">
        <v>322190955580.1318</v>
      </c>
      <c r="C244" s="139" t="n">
        <v>451295000000</v>
      </c>
      <c r="D244" s="47" t="n">
        <v>0.3569626913439455</v>
      </c>
      <c r="E244" s="48" t="inlineStr">
        <is>
          <t>&lt; target</t>
        </is>
      </c>
      <c r="F244" s="47" t="n">
        <v>0.3569626913439455</v>
      </c>
      <c r="G244" s="48" t="inlineStr">
        <is>
          <t>&lt; target</t>
        </is>
      </c>
      <c r="H244" s="47" t="n">
        <v>0.3569626913439455</v>
      </c>
      <c r="I244" s="48" t="inlineStr">
        <is>
          <t>&lt; target</t>
        </is>
      </c>
      <c r="J244" s="47" t="n">
        <v>0.3569626913439455</v>
      </c>
      <c r="K244" s="48" t="inlineStr">
        <is>
          <t>&lt; target</t>
        </is>
      </c>
      <c r="L244" s="47" t="n">
        <v>0.3569626913439455</v>
      </c>
      <c r="M244" s="48" t="inlineStr">
        <is>
          <t>&lt; target</t>
        </is>
      </c>
    </row>
    <row r="245">
      <c r="A245" s="7" t="n">
        <v>241</v>
      </c>
      <c r="B245" s="128" t="n">
        <v>323264925432.0655</v>
      </c>
      <c r="C245" s="128" t="n">
        <v>451295000000</v>
      </c>
      <c r="D245" s="22" t="n">
        <v>0.3581525669817586</v>
      </c>
      <c r="E245" t="inlineStr">
        <is>
          <t>&lt; target</t>
        </is>
      </c>
      <c r="F245" s="22" t="n">
        <v>0.3581525669817586</v>
      </c>
      <c r="G245" t="inlineStr">
        <is>
          <t>&lt; target</t>
        </is>
      </c>
      <c r="H245" s="22" t="n">
        <v>0.3581525669817586</v>
      </c>
      <c r="I245" t="inlineStr">
        <is>
          <t>&lt; target</t>
        </is>
      </c>
      <c r="J245" s="22" t="n">
        <v>0.3581525669817586</v>
      </c>
      <c r="K245" t="inlineStr">
        <is>
          <t>&lt; target</t>
        </is>
      </c>
      <c r="L245" s="22" t="n">
        <v>0.3581525669817586</v>
      </c>
      <c r="M245" t="inlineStr">
        <is>
          <t>&lt; target</t>
        </is>
      </c>
    </row>
    <row r="246">
      <c r="A246" s="45" t="n">
        <v>242</v>
      </c>
      <c r="B246" s="139" t="n">
        <v>324342475183.5058</v>
      </c>
      <c r="C246" s="139" t="n">
        <v>451295000000</v>
      </c>
      <c r="D246" s="47" t="n">
        <v>0.3593464088716979</v>
      </c>
      <c r="E246" s="48" t="inlineStr">
        <is>
          <t>&lt; target</t>
        </is>
      </c>
      <c r="F246" s="47" t="n">
        <v>0.3593464088716979</v>
      </c>
      <c r="G246" s="48" t="inlineStr">
        <is>
          <t>&lt; target</t>
        </is>
      </c>
      <c r="H246" s="47" t="n">
        <v>0.3593464088716979</v>
      </c>
      <c r="I246" s="48" t="inlineStr">
        <is>
          <t>&lt; target</t>
        </is>
      </c>
      <c r="J246" s="47" t="n">
        <v>0.3593464088716979</v>
      </c>
      <c r="K246" s="48" t="inlineStr">
        <is>
          <t>&lt; target</t>
        </is>
      </c>
      <c r="L246" s="47" t="n">
        <v>0.3593464088716979</v>
      </c>
      <c r="M246" s="48" t="inlineStr">
        <is>
          <t>&lt; target</t>
        </is>
      </c>
    </row>
    <row r="247">
      <c r="A247" s="7" t="n">
        <v>243</v>
      </c>
      <c r="B247" s="128" t="n">
        <v>325423616767.4509</v>
      </c>
      <c r="C247" s="128" t="n">
        <v>451295000000</v>
      </c>
      <c r="D247" s="22" t="n">
        <v>0.3605442302346036</v>
      </c>
      <c r="E247" t="inlineStr">
        <is>
          <t>&lt; target</t>
        </is>
      </c>
      <c r="F247" s="22" t="n">
        <v>0.3605442302346036</v>
      </c>
      <c r="G247" t="inlineStr">
        <is>
          <t>&lt; target</t>
        </is>
      </c>
      <c r="H247" s="22" t="n">
        <v>0.3605442302346036</v>
      </c>
      <c r="I247" t="inlineStr">
        <is>
          <t>&lt; target</t>
        </is>
      </c>
      <c r="J247" s="22" t="n">
        <v>0.3605442302346036</v>
      </c>
      <c r="K247" t="inlineStr">
        <is>
          <t>&lt; target</t>
        </is>
      </c>
      <c r="L247" s="22" t="n">
        <v>0.3605442302346036</v>
      </c>
      <c r="M247" t="inlineStr">
        <is>
          <t>&lt; target</t>
        </is>
      </c>
    </row>
    <row r="248">
      <c r="A248" s="45" t="n">
        <v>244</v>
      </c>
      <c r="B248" s="139" t="n">
        <v>326508362156.6757</v>
      </c>
      <c r="C248" s="139" t="n">
        <v>451295000000</v>
      </c>
      <c r="D248" s="47" t="n">
        <v>0.3617460443353857</v>
      </c>
      <c r="E248" s="48" t="inlineStr">
        <is>
          <t>&lt; target</t>
        </is>
      </c>
      <c r="F248" s="47" t="n">
        <v>0.3617460443353857</v>
      </c>
      <c r="G248" s="48" t="inlineStr">
        <is>
          <t>&lt; target</t>
        </is>
      </c>
      <c r="H248" s="47" t="n">
        <v>0.3617460443353857</v>
      </c>
      <c r="I248" s="48" t="inlineStr">
        <is>
          <t>&lt; target</t>
        </is>
      </c>
      <c r="J248" s="47" t="n">
        <v>0.3617460443353857</v>
      </c>
      <c r="K248" s="48" t="inlineStr">
        <is>
          <t>&lt; target</t>
        </is>
      </c>
      <c r="L248" s="47" t="n">
        <v>0.3617460443353857</v>
      </c>
      <c r="M248" s="48" t="inlineStr">
        <is>
          <t>&lt; target</t>
        </is>
      </c>
    </row>
    <row r="249">
      <c r="A249" s="7" t="n">
        <v>245</v>
      </c>
      <c r="B249" s="128" t="n">
        <v>327596723363.8646</v>
      </c>
      <c r="C249" s="128" t="n">
        <v>451295000000</v>
      </c>
      <c r="D249" s="22" t="n">
        <v>0.3629518644831702</v>
      </c>
      <c r="E249" t="inlineStr">
        <is>
          <t>&lt; target</t>
        </is>
      </c>
      <c r="F249" s="22" t="n">
        <v>0.3629518644831702</v>
      </c>
      <c r="G249" t="inlineStr">
        <is>
          <t>&lt; target</t>
        </is>
      </c>
      <c r="H249" s="22" t="n">
        <v>0.3629518644831702</v>
      </c>
      <c r="I249" t="inlineStr">
        <is>
          <t>&lt; target</t>
        </is>
      </c>
      <c r="J249" s="22" t="n">
        <v>0.3629518644831702</v>
      </c>
      <c r="K249" t="inlineStr">
        <is>
          <t>&lt; target</t>
        </is>
      </c>
      <c r="L249" s="22" t="n">
        <v>0.3629518644831702</v>
      </c>
      <c r="M249" t="inlineStr">
        <is>
          <t>&lt; target</t>
        </is>
      </c>
    </row>
    <row r="250">
      <c r="A250" s="45" t="n">
        <v>246</v>
      </c>
      <c r="B250" s="139" t="n">
        <v>328688712441.7442</v>
      </c>
      <c r="C250" s="139" t="n">
        <v>451295000000</v>
      </c>
      <c r="D250" s="47" t="n">
        <v>0.3641617040314475</v>
      </c>
      <c r="E250" s="48" t="inlineStr">
        <is>
          <t>&lt; target</t>
        </is>
      </c>
      <c r="F250" s="47" t="n">
        <v>0.3641617040314475</v>
      </c>
      <c r="G250" s="48" t="inlineStr">
        <is>
          <t>&lt; target</t>
        </is>
      </c>
      <c r="H250" s="47" t="n">
        <v>0.3641617040314475</v>
      </c>
      <c r="I250" s="48" t="inlineStr">
        <is>
          <t>&lt; target</t>
        </is>
      </c>
      <c r="J250" s="47" t="n">
        <v>0.3641617040314475</v>
      </c>
      <c r="K250" s="48" t="inlineStr">
        <is>
          <t>&lt; target</t>
        </is>
      </c>
      <c r="L250" s="47" t="n">
        <v>0.3641617040314475</v>
      </c>
      <c r="M250" s="48" t="inlineStr">
        <is>
          <t>&lt; target</t>
        </is>
      </c>
    </row>
    <row r="251">
      <c r="A251" s="7" t="n">
        <v>247</v>
      </c>
      <c r="B251" s="128" t="n">
        <v>329784341483.2167</v>
      </c>
      <c r="C251" s="128" t="n">
        <v>451295000000</v>
      </c>
      <c r="D251" s="22" t="n">
        <v>0.365375576378219</v>
      </c>
      <c r="E251" t="inlineStr">
        <is>
          <t>&lt; target</t>
        </is>
      </c>
      <c r="F251" s="22" t="n">
        <v>0.365375576378219</v>
      </c>
      <c r="G251" t="inlineStr">
        <is>
          <t>&lt; target</t>
        </is>
      </c>
      <c r="H251" s="22" t="n">
        <v>0.365375576378219</v>
      </c>
      <c r="I251" t="inlineStr">
        <is>
          <t>&lt; target</t>
        </is>
      </c>
      <c r="J251" s="22" t="n">
        <v>0.365375576378219</v>
      </c>
      <c r="K251" t="inlineStr">
        <is>
          <t>&lt; target</t>
        </is>
      </c>
      <c r="L251" s="22" t="n">
        <v>0.365375576378219</v>
      </c>
      <c r="M251" t="inlineStr">
        <is>
          <t>&lt; target</t>
        </is>
      </c>
    </row>
    <row r="252">
      <c r="A252" s="45" t="n">
        <v>248</v>
      </c>
      <c r="B252" s="139" t="n">
        <v>330883622621.4941</v>
      </c>
      <c r="C252" s="139" t="n">
        <v>451295000000</v>
      </c>
      <c r="D252" s="47" t="n">
        <v>0.3665934949661465</v>
      </c>
      <c r="E252" s="48" t="inlineStr">
        <is>
          <t>&lt; target</t>
        </is>
      </c>
      <c r="F252" s="47" t="n">
        <v>0.3665934949661465</v>
      </c>
      <c r="G252" s="48" t="inlineStr">
        <is>
          <t>&lt; target</t>
        </is>
      </c>
      <c r="H252" s="47" t="n">
        <v>0.3665934949661465</v>
      </c>
      <c r="I252" s="48" t="inlineStr">
        <is>
          <t>&lt; target</t>
        </is>
      </c>
      <c r="J252" s="47" t="n">
        <v>0.3665934949661465</v>
      </c>
      <c r="K252" s="48" t="inlineStr">
        <is>
          <t>&lt; target</t>
        </is>
      </c>
      <c r="L252" s="47" t="n">
        <v>0.3665934949661465</v>
      </c>
      <c r="M252" s="48" t="inlineStr">
        <is>
          <t>&lt; target</t>
        </is>
      </c>
    </row>
    <row r="253">
      <c r="A253" s="7" t="n">
        <v>249</v>
      </c>
      <c r="B253" s="128" t="n">
        <v>331986568030.2324</v>
      </c>
      <c r="C253" s="128" t="n">
        <v>451295000000</v>
      </c>
      <c r="D253" s="22" t="n">
        <v>0.3678154732827003</v>
      </c>
      <c r="E253" t="inlineStr">
        <is>
          <t>&lt; target</t>
        </is>
      </c>
      <c r="F253" s="22" t="n">
        <v>0.3678154732827003</v>
      </c>
      <c r="G253" t="inlineStr">
        <is>
          <t>&lt; target</t>
        </is>
      </c>
      <c r="H253" s="22" t="n">
        <v>0.3678154732827003</v>
      </c>
      <c r="I253" t="inlineStr">
        <is>
          <t>&lt; target</t>
        </is>
      </c>
      <c r="J253" s="22" t="n">
        <v>0.3678154732827003</v>
      </c>
      <c r="K253" t="inlineStr">
        <is>
          <t>&lt; target</t>
        </is>
      </c>
      <c r="L253" s="22" t="n">
        <v>0.3678154732827003</v>
      </c>
      <c r="M253" t="inlineStr">
        <is>
          <t>&lt; target</t>
        </is>
      </c>
    </row>
    <row r="254">
      <c r="A254" s="45" t="n">
        <v>250</v>
      </c>
      <c r="B254" s="139" t="n">
        <v>333093189923.6666</v>
      </c>
      <c r="C254" s="139" t="n">
        <v>451295000000</v>
      </c>
      <c r="D254" s="47" t="n">
        <v>0.3690415248603093</v>
      </c>
      <c r="E254" s="48" t="inlineStr">
        <is>
          <t>&lt; target</t>
        </is>
      </c>
      <c r="F254" s="47" t="n">
        <v>0.3690415248603093</v>
      </c>
      <c r="G254" s="48" t="inlineStr">
        <is>
          <t>&lt; target</t>
        </is>
      </c>
      <c r="H254" s="47" t="n">
        <v>0.3690415248603093</v>
      </c>
      <c r="I254" s="48" t="inlineStr">
        <is>
          <t>&lt; target</t>
        </is>
      </c>
      <c r="J254" s="47" t="n">
        <v>0.3690415248603093</v>
      </c>
      <c r="K254" s="48" t="inlineStr">
        <is>
          <t>&lt; target</t>
        </is>
      </c>
      <c r="L254" s="47" t="n">
        <v>0.3690415248603093</v>
      </c>
      <c r="M254" s="48" t="inlineStr">
        <is>
          <t>&lt; target</t>
        </is>
      </c>
    </row>
    <row r="255">
      <c r="A255" s="7" t="n">
        <v>251</v>
      </c>
      <c r="B255" s="128" t="n">
        <v>334203500556.7455</v>
      </c>
      <c r="C255" s="128" t="n">
        <v>451295000000</v>
      </c>
      <c r="D255" s="22" t="n">
        <v>0.3702716632765103</v>
      </c>
      <c r="E255" t="inlineStr">
        <is>
          <t>&lt; target</t>
        </is>
      </c>
      <c r="F255" s="22" t="n">
        <v>0.3702716632765103</v>
      </c>
      <c r="G255" t="inlineStr">
        <is>
          <t>&lt; target</t>
        </is>
      </c>
      <c r="H255" s="22" t="n">
        <v>0.3702716632765103</v>
      </c>
      <c r="I255" t="inlineStr">
        <is>
          <t>&lt; target</t>
        </is>
      </c>
      <c r="J255" s="22" t="n">
        <v>0.3702716632765103</v>
      </c>
      <c r="K255" t="inlineStr">
        <is>
          <t>&lt; target</t>
        </is>
      </c>
      <c r="L255" s="22" t="n">
        <v>0.3702716632765103</v>
      </c>
      <c r="M255" t="inlineStr">
        <is>
          <t>&lt; target</t>
        </is>
      </c>
    </row>
    <row r="256">
      <c r="A256" s="45" t="n">
        <v>252</v>
      </c>
      <c r="B256" s="139" t="n">
        <v>335317512225.268</v>
      </c>
      <c r="C256" s="139" t="n">
        <v>451295000000</v>
      </c>
      <c r="D256" s="47" t="n">
        <v>0.3715059021540988</v>
      </c>
      <c r="E256" s="48" t="inlineStr">
        <is>
          <t>&lt; target</t>
        </is>
      </c>
      <c r="F256" s="47" t="n">
        <v>0.3715059021540988</v>
      </c>
      <c r="G256" s="48" t="inlineStr">
        <is>
          <t>&lt; target</t>
        </is>
      </c>
      <c r="H256" s="47" t="n">
        <v>0.3715059021540988</v>
      </c>
      <c r="I256" s="48" t="inlineStr">
        <is>
          <t>&lt; target</t>
        </is>
      </c>
      <c r="J256" s="47" t="n">
        <v>0.3715059021540988</v>
      </c>
      <c r="K256" s="48" t="inlineStr">
        <is>
          <t>&lt; target</t>
        </is>
      </c>
      <c r="L256" s="47" t="n">
        <v>0.3715059021540988</v>
      </c>
      <c r="M256" s="48" t="inlineStr">
        <is>
          <t>&lt; target</t>
        </is>
      </c>
    </row>
    <row r="257">
      <c r="A257" s="7" t="n">
        <v>253</v>
      </c>
      <c r="B257" s="128" t="n">
        <v>336435237266.0189</v>
      </c>
      <c r="C257" s="128" t="n">
        <v>451295000000</v>
      </c>
      <c r="D257" s="22" t="n">
        <v>0.3727442551612791</v>
      </c>
      <c r="E257" t="inlineStr">
        <is>
          <t>&lt; target</t>
        </is>
      </c>
      <c r="F257" s="22" t="n">
        <v>0.3727442551612791</v>
      </c>
      <c r="G257" t="inlineStr">
        <is>
          <t>&lt; target</t>
        </is>
      </c>
      <c r="H257" s="22" t="n">
        <v>0.3727442551612791</v>
      </c>
      <c r="I257" t="inlineStr">
        <is>
          <t>&lt; target</t>
        </is>
      </c>
      <c r="J257" s="22" t="n">
        <v>0.3727442551612791</v>
      </c>
      <c r="K257" t="inlineStr">
        <is>
          <t>&lt; target</t>
        </is>
      </c>
      <c r="L257" s="22" t="n">
        <v>0.3727442551612791</v>
      </c>
      <c r="M257" t="inlineStr">
        <is>
          <t>&lt; target</t>
        </is>
      </c>
    </row>
    <row r="258">
      <c r="A258" s="45" t="n">
        <v>254</v>
      </c>
      <c r="B258" s="139" t="n">
        <v>337556688056.9057</v>
      </c>
      <c r="C258" s="139" t="n">
        <v>451295000000</v>
      </c>
      <c r="D258" s="47" t="n">
        <v>0.3739867360118168</v>
      </c>
      <c r="E258" s="48" t="inlineStr">
        <is>
          <t>&lt; target</t>
        </is>
      </c>
      <c r="F258" s="47" t="n">
        <v>0.3739867360118168</v>
      </c>
      <c r="G258" s="48" t="inlineStr">
        <is>
          <t>&lt; target</t>
        </is>
      </c>
      <c r="H258" s="47" t="n">
        <v>0.3739867360118168</v>
      </c>
      <c r="I258" s="48" t="inlineStr">
        <is>
          <t>&lt; target</t>
        </is>
      </c>
      <c r="J258" s="47" t="n">
        <v>0.3739867360118168</v>
      </c>
      <c r="K258" s="48" t="inlineStr">
        <is>
          <t>&lt; target</t>
        </is>
      </c>
      <c r="L258" s="47" t="n">
        <v>0.3739867360118168</v>
      </c>
      <c r="M258" s="48" t="inlineStr">
        <is>
          <t>&lt; target</t>
        </is>
      </c>
    </row>
    <row r="259">
      <c r="A259" s="7" t="n">
        <v>255</v>
      </c>
      <c r="B259" s="128" t="n">
        <v>338681877017.0954</v>
      </c>
      <c r="C259" s="128" t="n">
        <v>451295000000</v>
      </c>
      <c r="D259" s="22" t="n">
        <v>0.3752333584651895</v>
      </c>
      <c r="E259" t="inlineStr">
        <is>
          <t>&lt; target</t>
        </is>
      </c>
      <c r="F259" s="22" t="n">
        <v>0.3752333584651895</v>
      </c>
      <c r="G259" t="inlineStr">
        <is>
          <t>&lt; target</t>
        </is>
      </c>
      <c r="H259" s="22" t="n">
        <v>0.3752333584651895</v>
      </c>
      <c r="I259" t="inlineStr">
        <is>
          <t>&lt; target</t>
        </is>
      </c>
      <c r="J259" s="22" t="n">
        <v>0.3752333584651895</v>
      </c>
      <c r="K259" t="inlineStr">
        <is>
          <t>&lt; target</t>
        </is>
      </c>
      <c r="L259" s="22" t="n">
        <v>0.3752333584651895</v>
      </c>
      <c r="M259" t="inlineStr">
        <is>
          <t>&lt; target</t>
        </is>
      </c>
    </row>
    <row r="260">
      <c r="A260" s="45" t="n">
        <v>256</v>
      </c>
      <c r="B260" s="139" t="n">
        <v>339810816607.1524</v>
      </c>
      <c r="C260" s="139" t="n">
        <v>451295000000</v>
      </c>
      <c r="D260" s="47" t="n">
        <v>0.3764841363267402</v>
      </c>
      <c r="E260" s="48" t="inlineStr">
        <is>
          <t>&lt; target</t>
        </is>
      </c>
      <c r="F260" s="47" t="n">
        <v>0.3764841363267402</v>
      </c>
      <c r="G260" s="48" t="inlineStr">
        <is>
          <t>&lt; target</t>
        </is>
      </c>
      <c r="H260" s="47" t="n">
        <v>0.3764841363267402</v>
      </c>
      <c r="I260" s="48" t="inlineStr">
        <is>
          <t>&lt; target</t>
        </is>
      </c>
      <c r="J260" s="47" t="n">
        <v>0.3764841363267402</v>
      </c>
      <c r="K260" s="48" t="inlineStr">
        <is>
          <t>&lt; target</t>
        </is>
      </c>
      <c r="L260" s="47" t="n">
        <v>0.3764841363267402</v>
      </c>
      <c r="M260" s="48" t="inlineStr">
        <is>
          <t>&lt; target</t>
        </is>
      </c>
    </row>
    <row r="261">
      <c r="A261" s="7" t="n">
        <v>257</v>
      </c>
      <c r="B261" s="128" t="n">
        <v>340943519329.1763</v>
      </c>
      <c r="C261" s="128" t="n">
        <v>451295000000</v>
      </c>
      <c r="D261" s="22" t="n">
        <v>0.3777390834478294</v>
      </c>
      <c r="E261" t="inlineStr">
        <is>
          <t>&lt; target</t>
        </is>
      </c>
      <c r="F261" s="22" t="n">
        <v>0.3777390834478294</v>
      </c>
      <c r="G261" t="inlineStr">
        <is>
          <t>&lt; target</t>
        </is>
      </c>
      <c r="H261" s="22" t="n">
        <v>0.3777390834478294</v>
      </c>
      <c r="I261" t="inlineStr">
        <is>
          <t>&lt; target</t>
        </is>
      </c>
      <c r="J261" s="22" t="n">
        <v>0.3777390834478294</v>
      </c>
      <c r="K261" t="inlineStr">
        <is>
          <t>&lt; target</t>
        </is>
      </c>
      <c r="L261" s="22" t="n">
        <v>0.3777390834478294</v>
      </c>
      <c r="M261" t="inlineStr">
        <is>
          <t>&lt; target</t>
        </is>
      </c>
    </row>
    <row r="262">
      <c r="A262" s="45" t="n">
        <v>258</v>
      </c>
      <c r="B262" s="139" t="n">
        <v>342079997726.9402</v>
      </c>
      <c r="C262" s="139" t="n">
        <v>451295000000</v>
      </c>
      <c r="D262" s="47" t="n">
        <v>0.3789982137259888</v>
      </c>
      <c r="E262" s="48" t="inlineStr">
        <is>
          <t>&lt; target</t>
        </is>
      </c>
      <c r="F262" s="47" t="n">
        <v>0.3789982137259888</v>
      </c>
      <c r="G262" s="48" t="inlineStr">
        <is>
          <t>&lt; target</t>
        </is>
      </c>
      <c r="H262" s="47" t="n">
        <v>0.3789982137259888</v>
      </c>
      <c r="I262" s="48" t="inlineStr">
        <is>
          <t>&lt; target</t>
        </is>
      </c>
      <c r="J262" s="47" t="n">
        <v>0.3789982137259888</v>
      </c>
      <c r="K262" s="48" t="inlineStr">
        <is>
          <t>&lt; target</t>
        </is>
      </c>
      <c r="L262" s="47" t="n">
        <v>0.3789982137259888</v>
      </c>
      <c r="M262" s="48" t="inlineStr">
        <is>
          <t>&lt; target</t>
        </is>
      </c>
    </row>
    <row r="263">
      <c r="A263" s="7" t="n">
        <v>259</v>
      </c>
      <c r="B263" s="128" t="n">
        <v>343220264386.03</v>
      </c>
      <c r="C263" s="128" t="n">
        <v>451295000000</v>
      </c>
      <c r="D263" s="22" t="n">
        <v>0.3802615411050754</v>
      </c>
      <c r="E263" t="inlineStr">
        <is>
          <t>&lt; target</t>
        </is>
      </c>
      <c r="F263" s="22" t="n">
        <v>0.3802615411050754</v>
      </c>
      <c r="G263" t="inlineStr">
        <is>
          <t>&lt; target</t>
        </is>
      </c>
      <c r="H263" s="22" t="n">
        <v>0.3802615411050754</v>
      </c>
      <c r="I263" t="inlineStr">
        <is>
          <t>&lt; target</t>
        </is>
      </c>
      <c r="J263" s="22" t="n">
        <v>0.3802615411050754</v>
      </c>
      <c r="K263" t="inlineStr">
        <is>
          <t>&lt; target</t>
        </is>
      </c>
      <c r="L263" s="22" t="n">
        <v>0.3802615411050754</v>
      </c>
      <c r="M263" t="inlineStr">
        <is>
          <t>&lt; target</t>
        </is>
      </c>
    </row>
    <row r="264">
      <c r="A264" s="45" t="n">
        <v>260</v>
      </c>
      <c r="B264" s="139" t="n">
        <v>344364331933.9835</v>
      </c>
      <c r="C264" s="139" t="n">
        <v>451295000000</v>
      </c>
      <c r="D264" s="47" t="n">
        <v>0.3815290795754258</v>
      </c>
      <c r="E264" s="48" t="inlineStr">
        <is>
          <t>&lt; target</t>
        </is>
      </c>
      <c r="F264" s="47" t="n">
        <v>0.3815290795754258</v>
      </c>
      <c r="G264" s="48" t="inlineStr">
        <is>
          <t>&lt; target</t>
        </is>
      </c>
      <c r="H264" s="47" t="n">
        <v>0.3815290795754258</v>
      </c>
      <c r="I264" s="48" t="inlineStr">
        <is>
          <t>&lt; target</t>
        </is>
      </c>
      <c r="J264" s="47" t="n">
        <v>0.3815290795754258</v>
      </c>
      <c r="K264" s="48" t="inlineStr">
        <is>
          <t>&lt; target</t>
        </is>
      </c>
      <c r="L264" s="47" t="n">
        <v>0.3815290795754258</v>
      </c>
      <c r="M264" s="48" t="inlineStr">
        <is>
          <t>&lt; target</t>
        </is>
      </c>
    </row>
    <row r="265">
      <c r="A265" s="7" t="n">
        <v>261</v>
      </c>
      <c r="B265" s="128" t="n">
        <v>345512213040.4302</v>
      </c>
      <c r="C265" s="128" t="n">
        <v>451295000000</v>
      </c>
      <c r="D265" s="22" t="n">
        <v>0.3828008431740105</v>
      </c>
      <c r="E265" t="inlineStr">
        <is>
          <t>&lt; target</t>
        </is>
      </c>
      <c r="F265" s="22" t="n">
        <v>0.3828008431740105</v>
      </c>
      <c r="G265" t="inlineStr">
        <is>
          <t>&lt; target</t>
        </is>
      </c>
      <c r="H265" s="22" t="n">
        <v>0.3828008431740105</v>
      </c>
      <c r="I265" t="inlineStr">
        <is>
          <t>&lt; target</t>
        </is>
      </c>
      <c r="J265" s="22" t="n">
        <v>0.3828008431740105</v>
      </c>
      <c r="K265" t="inlineStr">
        <is>
          <t>&lt; target</t>
        </is>
      </c>
      <c r="L265" s="22" t="n">
        <v>0.3828008431740105</v>
      </c>
      <c r="M265" t="inlineStr">
        <is>
          <t>&lt; target</t>
        </is>
      </c>
    </row>
    <row r="266">
      <c r="A266" s="45" t="n">
        <v>262</v>
      </c>
      <c r="B266" s="139" t="n">
        <v>346663920417.2316</v>
      </c>
      <c r="C266" s="139" t="n">
        <v>451295000000</v>
      </c>
      <c r="D266" s="47" t="n">
        <v>0.3840768459845906</v>
      </c>
      <c r="E266" s="48" t="inlineStr">
        <is>
          <t>&lt; target</t>
        </is>
      </c>
      <c r="F266" s="47" t="n">
        <v>0.3840768459845906</v>
      </c>
      <c r="G266" s="48" t="inlineStr">
        <is>
          <t>&lt; target</t>
        </is>
      </c>
      <c r="H266" s="47" t="n">
        <v>0.3840768459845906</v>
      </c>
      <c r="I266" s="48" t="inlineStr">
        <is>
          <t>&lt; target</t>
        </is>
      </c>
      <c r="J266" s="47" t="n">
        <v>0.3840768459845906</v>
      </c>
      <c r="K266" s="48" t="inlineStr">
        <is>
          <t>&lt; target</t>
        </is>
      </c>
      <c r="L266" s="47" t="n">
        <v>0.3840768459845906</v>
      </c>
      <c r="M266" s="48" t="inlineStr">
        <is>
          <t>&lt; target</t>
        </is>
      </c>
    </row>
    <row r="267">
      <c r="A267" s="7" t="n">
        <v>263</v>
      </c>
      <c r="B267" s="128" t="n">
        <v>347819466818.6224</v>
      </c>
      <c r="C267" s="128" t="n">
        <v>451295000000</v>
      </c>
      <c r="D267" s="22" t="n">
        <v>0.3853571021378726</v>
      </c>
      <c r="E267" t="inlineStr">
        <is>
          <t>&lt; target</t>
        </is>
      </c>
      <c r="F267" s="22" t="n">
        <v>0.3853571021378726</v>
      </c>
      <c r="G267" t="inlineStr">
        <is>
          <t>&lt; target</t>
        </is>
      </c>
      <c r="H267" s="22" t="n">
        <v>0.3853571021378726</v>
      </c>
      <c r="I267" t="inlineStr">
        <is>
          <t>&lt; target</t>
        </is>
      </c>
      <c r="J267" s="22" t="n">
        <v>0.3853571021378726</v>
      </c>
      <c r="K267" t="inlineStr">
        <is>
          <t>&lt; target</t>
        </is>
      </c>
      <c r="L267" s="22" t="n">
        <v>0.3853571021378726</v>
      </c>
      <c r="M267" t="inlineStr">
        <is>
          <t>&lt; target</t>
        </is>
      </c>
    </row>
    <row r="268">
      <c r="A268" s="45" t="n">
        <v>264</v>
      </c>
      <c r="B268" s="139" t="n">
        <v>348978865041.3511</v>
      </c>
      <c r="C268" s="139" t="n">
        <v>451295000000</v>
      </c>
      <c r="D268" s="47" t="n">
        <v>0.3866416258116654</v>
      </c>
      <c r="E268" s="48" t="inlineStr">
        <is>
          <t>&lt; target</t>
        </is>
      </c>
      <c r="F268" s="47" t="n">
        <v>0.3866416258116654</v>
      </c>
      <c r="G268" s="48" t="inlineStr">
        <is>
          <t>&lt; target</t>
        </is>
      </c>
      <c r="H268" s="47" t="n">
        <v>0.3866416258116654</v>
      </c>
      <c r="I268" s="48" t="inlineStr">
        <is>
          <t>&lt; target</t>
        </is>
      </c>
      <c r="J268" s="47" t="n">
        <v>0.3866416258116654</v>
      </c>
      <c r="K268" s="48" t="inlineStr">
        <is>
          <t>&lt; target</t>
        </is>
      </c>
      <c r="L268" s="47" t="n">
        <v>0.3866416258116654</v>
      </c>
      <c r="M268" s="48" t="inlineStr">
        <is>
          <t>&lt; target</t>
        </is>
      </c>
    </row>
    <row r="269">
      <c r="A269" s="7" t="n">
        <v>265</v>
      </c>
      <c r="B269" s="128" t="n">
        <v>350142127924.8224</v>
      </c>
      <c r="C269" s="128" t="n">
        <v>451295000000</v>
      </c>
      <c r="D269" s="22" t="n">
        <v>0.3879304312310378</v>
      </c>
      <c r="E269" t="inlineStr">
        <is>
          <t>&lt; target</t>
        </is>
      </c>
      <c r="F269" s="22" t="n">
        <v>0.3879304312310378</v>
      </c>
      <c r="G269" t="inlineStr">
        <is>
          <t>&lt; target</t>
        </is>
      </c>
      <c r="H269" s="22" t="n">
        <v>0.3879304312310378</v>
      </c>
      <c r="I269" t="inlineStr">
        <is>
          <t>&lt; target</t>
        </is>
      </c>
      <c r="J269" s="22" t="n">
        <v>0.3879304312310378</v>
      </c>
      <c r="K269" t="inlineStr">
        <is>
          <t>&lt; target</t>
        </is>
      </c>
      <c r="L269" s="22" t="n">
        <v>0.3879304312310378</v>
      </c>
      <c r="M269" t="inlineStr">
        <is>
          <t>&lt; target</t>
        </is>
      </c>
    </row>
    <row r="270">
      <c r="A270" s="45" t="n">
        <v>266</v>
      </c>
      <c r="B270" s="139" t="n">
        <v>351309268351.2385</v>
      </c>
      <c r="C270" s="139" t="n">
        <v>451295000000</v>
      </c>
      <c r="D270" s="47" t="n">
        <v>0.3892235326684746</v>
      </c>
      <c r="E270" s="48" t="inlineStr">
        <is>
          <t>&lt; target</t>
        </is>
      </c>
      <c r="F270" s="47" t="n">
        <v>0.3892235326684746</v>
      </c>
      <c r="G270" s="48" t="inlineStr">
        <is>
          <t>&lt; target</t>
        </is>
      </c>
      <c r="H270" s="47" t="n">
        <v>0.3892235326684746</v>
      </c>
      <c r="I270" s="48" t="inlineStr">
        <is>
          <t>&lt; target</t>
        </is>
      </c>
      <c r="J270" s="47" t="n">
        <v>0.3892235326684746</v>
      </c>
      <c r="K270" s="48" t="inlineStr">
        <is>
          <t>&lt; target</t>
        </is>
      </c>
      <c r="L270" s="47" t="n">
        <v>0.3892235326684746</v>
      </c>
      <c r="M270" s="48" t="inlineStr">
        <is>
          <t>&lt; target</t>
        </is>
      </c>
    </row>
    <row r="271">
      <c r="A271" s="7" t="n">
        <v>267</v>
      </c>
      <c r="B271" s="128" t="n">
        <v>352480299245.7427</v>
      </c>
      <c r="C271" s="128" t="n">
        <v>451295000000</v>
      </c>
      <c r="D271" s="22" t="n">
        <v>0.3905209444440362</v>
      </c>
      <c r="E271" t="inlineStr">
        <is>
          <t>&lt; target</t>
        </is>
      </c>
      <c r="F271" s="22" t="n">
        <v>0.3905209444440362</v>
      </c>
      <c r="G271" t="inlineStr">
        <is>
          <t>&lt; target</t>
        </is>
      </c>
      <c r="H271" s="22" t="n">
        <v>0.3905209444440362</v>
      </c>
      <c r="I271" t="inlineStr">
        <is>
          <t>&lt; target</t>
        </is>
      </c>
      <c r="J271" s="22" t="n">
        <v>0.3905209444440362</v>
      </c>
      <c r="K271" t="inlineStr">
        <is>
          <t>&lt; target</t>
        </is>
      </c>
      <c r="L271" s="22" t="n">
        <v>0.3905209444440362</v>
      </c>
      <c r="M271" t="inlineStr">
        <is>
          <t>&lt; target</t>
        </is>
      </c>
    </row>
    <row r="272">
      <c r="A272" s="45" t="n">
        <v>268</v>
      </c>
      <c r="B272" s="139" t="n">
        <v>353655233576.5618</v>
      </c>
      <c r="C272" s="139" t="n">
        <v>451295000000</v>
      </c>
      <c r="D272" s="47" t="n">
        <v>0.3918226809255164</v>
      </c>
      <c r="E272" s="48" t="inlineStr">
        <is>
          <t>&lt; target</t>
        </is>
      </c>
      <c r="F272" s="47" t="n">
        <v>0.3918226809255164</v>
      </c>
      <c r="G272" s="48" t="inlineStr">
        <is>
          <t>&lt; target</t>
        </is>
      </c>
      <c r="H272" s="47" t="n">
        <v>0.3918226809255164</v>
      </c>
      <c r="I272" s="48" t="inlineStr">
        <is>
          <t>&lt; target</t>
        </is>
      </c>
      <c r="J272" s="47" t="n">
        <v>0.3918226809255164</v>
      </c>
      <c r="K272" s="48" t="inlineStr">
        <is>
          <t>&lt; target</t>
        </is>
      </c>
      <c r="L272" s="47" t="n">
        <v>0.3918226809255164</v>
      </c>
      <c r="M272" s="48" t="inlineStr">
        <is>
          <t>&lt; target</t>
        </is>
      </c>
    </row>
    <row r="273">
      <c r="A273" s="7" t="n">
        <v>269</v>
      </c>
      <c r="B273" s="128" t="n">
        <v>354834084355.1504</v>
      </c>
      <c r="C273" s="128" t="n">
        <v>451295000000</v>
      </c>
      <c r="D273" s="22" t="n">
        <v>0.3931287565286015</v>
      </c>
      <c r="E273" t="inlineStr">
        <is>
          <t>&lt; target</t>
        </is>
      </c>
      <c r="F273" s="22" t="n">
        <v>0.3931287565286015</v>
      </c>
      <c r="G273" t="inlineStr">
        <is>
          <t>&lt; target</t>
        </is>
      </c>
      <c r="H273" s="22" t="n">
        <v>0.3931287565286015</v>
      </c>
      <c r="I273" t="inlineStr">
        <is>
          <t>&lt; target</t>
        </is>
      </c>
      <c r="J273" s="22" t="n">
        <v>0.3931287565286015</v>
      </c>
      <c r="K273" t="inlineStr">
        <is>
          <t>&lt; target</t>
        </is>
      </c>
      <c r="L273" s="22" t="n">
        <v>0.3931287565286015</v>
      </c>
      <c r="M273" t="inlineStr">
        <is>
          <t>&lt; target</t>
        </is>
      </c>
    </row>
    <row r="274">
      <c r="A274" s="45" t="n">
        <v>270</v>
      </c>
      <c r="B274" s="139" t="n">
        <v>356016864636.3343</v>
      </c>
      <c r="C274" s="139" t="n">
        <v>451295000000</v>
      </c>
      <c r="D274" s="47" t="n">
        <v>0.3944391857170302</v>
      </c>
      <c r="E274" s="48" t="inlineStr">
        <is>
          <t>&lt; target</t>
        </is>
      </c>
      <c r="F274" s="47" t="n">
        <v>0.3944391857170302</v>
      </c>
      <c r="G274" s="48" t="inlineStr">
        <is>
          <t>&lt; target</t>
        </is>
      </c>
      <c r="H274" s="47" t="n">
        <v>0.3944391857170302</v>
      </c>
      <c r="I274" s="48" t="inlineStr">
        <is>
          <t>&lt; target</t>
        </is>
      </c>
      <c r="J274" s="47" t="n">
        <v>0.3944391857170302</v>
      </c>
      <c r="K274" s="48" t="inlineStr">
        <is>
          <t>&lt; target</t>
        </is>
      </c>
      <c r="L274" s="47" t="n">
        <v>0.3944391857170302</v>
      </c>
      <c r="M274" s="48" t="inlineStr">
        <is>
          <t>&lt; target</t>
        </is>
      </c>
    </row>
    <row r="275">
      <c r="A275" s="7" t="n">
        <v>271</v>
      </c>
      <c r="B275" s="128" t="n">
        <v>357203587518.4554</v>
      </c>
      <c r="C275" s="128" t="n">
        <v>451295000000</v>
      </c>
      <c r="D275" s="22" t="n">
        <v>0.3957539830027536</v>
      </c>
      <c r="E275" t="inlineStr">
        <is>
          <t>&lt; target</t>
        </is>
      </c>
      <c r="F275" s="22" t="n">
        <v>0.3957539830027536</v>
      </c>
      <c r="G275" t="inlineStr">
        <is>
          <t>&lt; target</t>
        </is>
      </c>
      <c r="H275" s="22" t="n">
        <v>0.3957539830027536</v>
      </c>
      <c r="I275" t="inlineStr">
        <is>
          <t>&lt; target</t>
        </is>
      </c>
      <c r="J275" s="22" t="n">
        <v>0.3957539830027536</v>
      </c>
      <c r="K275" t="inlineStr">
        <is>
          <t>&lt; target</t>
        </is>
      </c>
      <c r="L275" s="22" t="n">
        <v>0.3957539830027536</v>
      </c>
      <c r="M275" t="inlineStr">
        <is>
          <t>&lt; target</t>
        </is>
      </c>
    </row>
    <row r="276">
      <c r="A276" s="45" t="n">
        <v>272</v>
      </c>
      <c r="B276" s="139" t="n">
        <v>358394266143.5169</v>
      </c>
      <c r="C276" s="139" t="n">
        <v>451295000000</v>
      </c>
      <c r="D276" s="47" t="n">
        <v>0.3970731629460961</v>
      </c>
      <c r="E276" s="48" t="inlineStr">
        <is>
          <t>&lt; target</t>
        </is>
      </c>
      <c r="F276" s="47" t="n">
        <v>0.3970731629460961</v>
      </c>
      <c r="G276" s="48" t="inlineStr">
        <is>
          <t>&lt; target</t>
        </is>
      </c>
      <c r="H276" s="47" t="n">
        <v>0.3970731629460961</v>
      </c>
      <c r="I276" s="48" t="inlineStr">
        <is>
          <t>&lt; target</t>
        </is>
      </c>
      <c r="J276" s="47" t="n">
        <v>0.3970731629460961</v>
      </c>
      <c r="K276" s="48" t="inlineStr">
        <is>
          <t>&lt; target</t>
        </is>
      </c>
      <c r="L276" s="47" t="n">
        <v>0.3970731629460961</v>
      </c>
      <c r="M276" s="48" t="inlineStr">
        <is>
          <t>&lt; target</t>
        </is>
      </c>
    </row>
    <row r="277">
      <c r="A277" s="7" t="n">
        <v>273</v>
      </c>
      <c r="B277" s="128" t="n">
        <v>359588913697.3287</v>
      </c>
      <c r="C277" s="128" t="n">
        <v>451295000000</v>
      </c>
      <c r="D277" s="22" t="n">
        <v>0.3983967401559165</v>
      </c>
      <c r="E277" t="inlineStr">
        <is>
          <t>&lt; target</t>
        </is>
      </c>
      <c r="F277" s="22" t="n">
        <v>0.3983967401559165</v>
      </c>
      <c r="G277" t="inlineStr">
        <is>
          <t>&lt; target</t>
        </is>
      </c>
      <c r="H277" s="22" t="n">
        <v>0.3983967401559165</v>
      </c>
      <c r="I277" t="inlineStr">
        <is>
          <t>&lt; target</t>
        </is>
      </c>
      <c r="J277" s="22" t="n">
        <v>0.3983967401559165</v>
      </c>
      <c r="K277" t="inlineStr">
        <is>
          <t>&lt; target</t>
        </is>
      </c>
      <c r="L277" s="22" t="n">
        <v>0.3983967401559165</v>
      </c>
      <c r="M277" t="inlineStr">
        <is>
          <t>&lt; target</t>
        </is>
      </c>
    </row>
    <row r="278">
      <c r="A278" s="45" t="n">
        <v>274</v>
      </c>
      <c r="B278" s="139" t="n">
        <v>360787543409.6531</v>
      </c>
      <c r="C278" s="139" t="n">
        <v>451295000000</v>
      </c>
      <c r="D278" s="47" t="n">
        <v>0.3997247292897696</v>
      </c>
      <c r="E278" s="48" t="inlineStr">
        <is>
          <t>&lt; target</t>
        </is>
      </c>
      <c r="F278" s="47" t="n">
        <v>0.3997247292897696</v>
      </c>
      <c r="G278" s="48" t="inlineStr">
        <is>
          <t>&lt; target</t>
        </is>
      </c>
      <c r="H278" s="47" t="n">
        <v>0.3997247292897696</v>
      </c>
      <c r="I278" s="48" t="inlineStr">
        <is>
          <t>&lt; target</t>
        </is>
      </c>
      <c r="J278" s="47" t="n">
        <v>0.3997247292897696</v>
      </c>
      <c r="K278" s="48" t="inlineStr">
        <is>
          <t>&lt; target</t>
        </is>
      </c>
      <c r="L278" s="47" t="n">
        <v>0.3997247292897696</v>
      </c>
      <c r="M278" s="48" t="inlineStr">
        <is>
          <t>&lt; target</t>
        </is>
      </c>
    </row>
    <row r="279">
      <c r="A279" s="7" t="n">
        <v>275</v>
      </c>
      <c r="B279" s="128" t="n">
        <v>361990168554.352</v>
      </c>
      <c r="C279" s="128" t="n">
        <v>451295000000</v>
      </c>
      <c r="D279" s="22" t="n">
        <v>0.4010571450540688</v>
      </c>
      <c r="E279" t="inlineStr">
        <is>
          <t>&lt; target</t>
        </is>
      </c>
      <c r="F279" s="22" t="n">
        <v>0.4010571450540688</v>
      </c>
      <c r="G279" t="inlineStr">
        <is>
          <t>&lt; target</t>
        </is>
      </c>
      <c r="H279" s="22" t="n">
        <v>0.4010571450540688</v>
      </c>
      <c r="I279" t="inlineStr">
        <is>
          <t>&lt; target</t>
        </is>
      </c>
      <c r="J279" s="22" t="n">
        <v>0.4010571450540688</v>
      </c>
      <c r="K279" t="inlineStr">
        <is>
          <t>&lt; target</t>
        </is>
      </c>
      <c r="L279" s="22" t="n">
        <v>0.4010571450540688</v>
      </c>
      <c r="M279" t="inlineStr">
        <is>
          <t>&lt; target</t>
        </is>
      </c>
    </row>
    <row r="280">
      <c r="A280" s="45" t="n">
        <v>276</v>
      </c>
      <c r="B280" s="139" t="n">
        <v>363196802449.5333</v>
      </c>
      <c r="C280" s="139" t="n">
        <v>451295000000</v>
      </c>
      <c r="D280" s="47" t="n">
        <v>0.4023940022042492</v>
      </c>
      <c r="E280" s="48" t="inlineStr">
        <is>
          <t>&lt; target</t>
        </is>
      </c>
      <c r="F280" s="47" t="n">
        <v>0.4023940022042492</v>
      </c>
      <c r="G280" s="48" t="inlineStr">
        <is>
          <t>&lt; target</t>
        </is>
      </c>
      <c r="H280" s="47" t="n">
        <v>0.4023940022042492</v>
      </c>
      <c r="I280" s="48" t="inlineStr">
        <is>
          <t>&lt; target</t>
        </is>
      </c>
      <c r="J280" s="47" t="n">
        <v>0.4023940022042492</v>
      </c>
      <c r="K280" s="48" t="inlineStr">
        <is>
          <t>&lt; target</t>
        </is>
      </c>
      <c r="L280" s="47" t="n">
        <v>0.4023940022042492</v>
      </c>
      <c r="M280" s="48" t="inlineStr">
        <is>
          <t>&lt; target</t>
        </is>
      </c>
    </row>
    <row r="281">
      <c r="A281" s="7" t="n">
        <v>277</v>
      </c>
      <c r="B281" s="128" t="n">
        <v>364407458457.6984</v>
      </c>
      <c r="C281" s="128" t="n">
        <v>451295000000</v>
      </c>
      <c r="D281" s="22" t="n">
        <v>0.40373531554493</v>
      </c>
      <c r="E281" t="inlineStr">
        <is>
          <t>&lt; target</t>
        </is>
      </c>
      <c r="F281" s="22" t="n">
        <v>0.40373531554493</v>
      </c>
      <c r="G281" t="inlineStr">
        <is>
          <t>&lt; target</t>
        </is>
      </c>
      <c r="H281" s="22" t="n">
        <v>0.40373531554493</v>
      </c>
      <c r="I281" t="inlineStr">
        <is>
          <t>&lt; target</t>
        </is>
      </c>
      <c r="J281" s="22" t="n">
        <v>0.40373531554493</v>
      </c>
      <c r="K281" t="inlineStr">
        <is>
          <t>&lt; target</t>
        </is>
      </c>
      <c r="L281" s="22" t="n">
        <v>0.40373531554493</v>
      </c>
      <c r="M281" t="inlineStr">
        <is>
          <t>&lt; target</t>
        </is>
      </c>
    </row>
    <row r="282">
      <c r="A282" s="45" t="n">
        <v>278</v>
      </c>
      <c r="B282" s="139" t="n">
        <v>365622149985.8907</v>
      </c>
      <c r="C282" s="139" t="n">
        <v>451295000000</v>
      </c>
      <c r="D282" s="47" t="n">
        <v>0.4050810999300797</v>
      </c>
      <c r="E282" s="48" t="inlineStr">
        <is>
          <t>&lt; target</t>
        </is>
      </c>
      <c r="F282" s="47" t="n">
        <v>0.4050810999300797</v>
      </c>
      <c r="G282" s="48" t="inlineStr">
        <is>
          <t>&lt; target</t>
        </is>
      </c>
      <c r="H282" s="47" t="n">
        <v>0.4050810999300797</v>
      </c>
      <c r="I282" s="48" t="inlineStr">
        <is>
          <t>&lt; target</t>
        </is>
      </c>
      <c r="J282" s="47" t="n">
        <v>0.4050810999300797</v>
      </c>
      <c r="K282" s="48" t="inlineStr">
        <is>
          <t>&lt; target</t>
        </is>
      </c>
      <c r="L282" s="47" t="n">
        <v>0.4050810999300797</v>
      </c>
      <c r="M282" s="48" t="inlineStr">
        <is>
          <t>&lt; target</t>
        </is>
      </c>
    </row>
    <row r="283">
      <c r="A283" s="7" t="n">
        <v>279</v>
      </c>
      <c r="B283" s="128" t="n">
        <v>366840890485.8437</v>
      </c>
      <c r="C283" s="128" t="n">
        <v>451295000000</v>
      </c>
      <c r="D283" s="22" t="n">
        <v>0.40643137026318</v>
      </c>
      <c r="E283" t="inlineStr">
        <is>
          <t>&lt; target</t>
        </is>
      </c>
      <c r="F283" s="22" t="n">
        <v>0.40643137026318</v>
      </c>
      <c r="G283" t="inlineStr">
        <is>
          <t>&lt; target</t>
        </is>
      </c>
      <c r="H283" s="22" t="n">
        <v>0.40643137026318</v>
      </c>
      <c r="I283" t="inlineStr">
        <is>
          <t>&lt; target</t>
        </is>
      </c>
      <c r="J283" s="22" t="n">
        <v>0.40643137026318</v>
      </c>
      <c r="K283" t="inlineStr">
        <is>
          <t>&lt; target</t>
        </is>
      </c>
      <c r="L283" s="22" t="n">
        <v>0.40643137026318</v>
      </c>
      <c r="M283" t="inlineStr">
        <is>
          <t>&lt; target</t>
        </is>
      </c>
    </row>
    <row r="284">
      <c r="A284" s="45" t="n">
        <v>280</v>
      </c>
      <c r="B284" s="139" t="n">
        <v>368063693454.1299</v>
      </c>
      <c r="C284" s="139" t="n">
        <v>451295000000</v>
      </c>
      <c r="D284" s="47" t="n">
        <v>0.4077861414973907</v>
      </c>
      <c r="E284" s="48" t="inlineStr">
        <is>
          <t>&lt; target</t>
        </is>
      </c>
      <c r="F284" s="47" t="n">
        <v>0.4077861414973907</v>
      </c>
      <c r="G284" s="48" t="inlineStr">
        <is>
          <t>&lt; target</t>
        </is>
      </c>
      <c r="H284" s="47" t="n">
        <v>0.4077861414973907</v>
      </c>
      <c r="I284" s="48" t="inlineStr">
        <is>
          <t>&lt; target</t>
        </is>
      </c>
      <c r="J284" s="47" t="n">
        <v>0.4077861414973907</v>
      </c>
      <c r="K284" s="48" t="inlineStr">
        <is>
          <t>&lt; target</t>
        </is>
      </c>
      <c r="L284" s="47" t="n">
        <v>0.4077861414973907</v>
      </c>
      <c r="M284" s="48" t="inlineStr">
        <is>
          <t>&lt; target</t>
        </is>
      </c>
    </row>
    <row r="285">
      <c r="A285" s="7" t="n">
        <v>281</v>
      </c>
      <c r="B285" s="128" t="n">
        <v>369290572432.3103</v>
      </c>
      <c r="C285" s="128" t="n">
        <v>451295000000</v>
      </c>
      <c r="D285" s="22" t="n">
        <v>0.4091454286357153</v>
      </c>
      <c r="E285" t="inlineStr">
        <is>
          <t>&lt; target</t>
        </is>
      </c>
      <c r="F285" s="22" t="n">
        <v>0.4091454286357153</v>
      </c>
      <c r="G285" t="inlineStr">
        <is>
          <t>&lt; target</t>
        </is>
      </c>
      <c r="H285" s="22" t="n">
        <v>0.4091454286357153</v>
      </c>
      <c r="I285" t="inlineStr">
        <is>
          <t>&lt; target</t>
        </is>
      </c>
      <c r="J285" s="22" t="n">
        <v>0.4091454286357153</v>
      </c>
      <c r="K285" t="inlineStr">
        <is>
          <t>&lt; target</t>
        </is>
      </c>
      <c r="L285" s="22" t="n">
        <v>0.4091454286357153</v>
      </c>
      <c r="M285" t="inlineStr">
        <is>
          <t>&lt; target</t>
        </is>
      </c>
    </row>
    <row r="286">
      <c r="A286" s="45" t="n">
        <v>282</v>
      </c>
      <c r="B286" s="139" t="n">
        <v>370521541007.0847</v>
      </c>
      <c r="C286" s="139" t="n">
        <v>451295000000</v>
      </c>
      <c r="D286" s="47" t="n">
        <v>0.4105092467311678</v>
      </c>
      <c r="E286" s="48" t="inlineStr">
        <is>
          <t>&lt; target</t>
        </is>
      </c>
      <c r="F286" s="47" t="n">
        <v>0.4105092467311678</v>
      </c>
      <c r="G286" s="48" t="inlineStr">
        <is>
          <t>&lt; target</t>
        </is>
      </c>
      <c r="H286" s="47" t="n">
        <v>0.4105092467311678</v>
      </c>
      <c r="I286" s="48" t="inlineStr">
        <is>
          <t>&lt; target</t>
        </is>
      </c>
      <c r="J286" s="47" t="n">
        <v>0.4105092467311678</v>
      </c>
      <c r="K286" s="48" t="inlineStr">
        <is>
          <t>&lt; target</t>
        </is>
      </c>
      <c r="L286" s="47" t="n">
        <v>0.4105092467311678</v>
      </c>
      <c r="M286" s="48" t="inlineStr">
        <is>
          <t>&lt; target</t>
        </is>
      </c>
    </row>
    <row r="287">
      <c r="A287" s="7" t="n">
        <v>283</v>
      </c>
      <c r="B287" s="128" t="n">
        <v>371756612810.4417</v>
      </c>
      <c r="C287" s="128" t="n">
        <v>451295000000</v>
      </c>
      <c r="D287" s="22" t="n">
        <v>0.4118776108869384</v>
      </c>
      <c r="E287" t="inlineStr">
        <is>
          <t>&lt; target</t>
        </is>
      </c>
      <c r="F287" s="22" t="n">
        <v>0.4118776108869384</v>
      </c>
      <c r="G287" t="inlineStr">
        <is>
          <t>&lt; target</t>
        </is>
      </c>
      <c r="H287" s="22" t="n">
        <v>0.4118776108869384</v>
      </c>
      <c r="I287" t="inlineStr">
        <is>
          <t>&lt; target</t>
        </is>
      </c>
      <c r="J287" s="22" t="n">
        <v>0.4118776108869384</v>
      </c>
      <c r="K287" t="inlineStr">
        <is>
          <t>&lt; target</t>
        </is>
      </c>
      <c r="L287" s="22" t="n">
        <v>0.4118776108869384</v>
      </c>
      <c r="M287" t="inlineStr">
        <is>
          <t>&lt; target</t>
        </is>
      </c>
    </row>
    <row r="288">
      <c r="A288" s="45" t="n">
        <v>284</v>
      </c>
      <c r="B288" s="139" t="n">
        <v>372995801519.8099</v>
      </c>
      <c r="C288" s="139" t="n">
        <v>451295000000</v>
      </c>
      <c r="D288" s="47" t="n">
        <v>0.4132505362565616</v>
      </c>
      <c r="E288" s="48" t="inlineStr">
        <is>
          <t>&lt; target</t>
        </is>
      </c>
      <c r="F288" s="47" t="n">
        <v>0.4132505362565616</v>
      </c>
      <c r="G288" s="48" t="inlineStr">
        <is>
          <t>&lt; target</t>
        </is>
      </c>
      <c r="H288" s="47" t="n">
        <v>0.4132505362565616</v>
      </c>
      <c r="I288" s="48" t="inlineStr">
        <is>
          <t>&lt; target</t>
        </is>
      </c>
      <c r="J288" s="47" t="n">
        <v>0.4132505362565616</v>
      </c>
      <c r="K288" s="48" t="inlineStr">
        <is>
          <t>&lt; target</t>
        </is>
      </c>
      <c r="L288" s="47" t="n">
        <v>0.4132505362565616</v>
      </c>
      <c r="M288" s="48" t="inlineStr">
        <is>
          <t>&lt; target</t>
        </is>
      </c>
    </row>
    <row r="289">
      <c r="A289" s="7" t="n">
        <v>285</v>
      </c>
      <c r="B289" s="128" t="n">
        <v>374239120858.2092</v>
      </c>
      <c r="C289" s="128" t="n">
        <v>451295000000</v>
      </c>
      <c r="D289" s="22" t="n">
        <v>0.4146280380440834</v>
      </c>
      <c r="E289" t="inlineStr">
        <is>
          <t>&lt; target</t>
        </is>
      </c>
      <c r="F289" s="22" t="n">
        <v>0.4146280380440834</v>
      </c>
      <c r="G289" t="inlineStr">
        <is>
          <t>&lt; target</t>
        </is>
      </c>
      <c r="H289" s="22" t="n">
        <v>0.4146280380440834</v>
      </c>
      <c r="I289" t="inlineStr">
        <is>
          <t>&lt; target</t>
        </is>
      </c>
      <c r="J289" s="22" t="n">
        <v>0.4146280380440834</v>
      </c>
      <c r="K289" t="inlineStr">
        <is>
          <t>&lt; target</t>
        </is>
      </c>
      <c r="L289" s="22" t="n">
        <v>0.4146280380440834</v>
      </c>
      <c r="M289" t="inlineStr">
        <is>
          <t>&lt; target</t>
        </is>
      </c>
    </row>
    <row r="290">
      <c r="A290" s="45" t="n">
        <v>286</v>
      </c>
      <c r="B290" s="139" t="n">
        <v>375486584594.4033</v>
      </c>
      <c r="C290" s="139" t="n">
        <v>451295000000</v>
      </c>
      <c r="D290" s="47" t="n">
        <v>0.4160101315042304</v>
      </c>
      <c r="E290" s="48" t="inlineStr">
        <is>
          <t>&lt; target</t>
        </is>
      </c>
      <c r="F290" s="47" t="n">
        <v>0.4160101315042304</v>
      </c>
      <c r="G290" s="48" t="inlineStr">
        <is>
          <t>&lt; target</t>
        </is>
      </c>
      <c r="H290" s="47" t="n">
        <v>0.4160101315042304</v>
      </c>
      <c r="I290" s="48" t="inlineStr">
        <is>
          <t>&lt; target</t>
        </is>
      </c>
      <c r="J290" s="47" t="n">
        <v>0.4160101315042304</v>
      </c>
      <c r="K290" s="48" t="inlineStr">
        <is>
          <t>&lt; target</t>
        </is>
      </c>
      <c r="L290" s="47" t="n">
        <v>0.4160101315042304</v>
      </c>
      <c r="M290" s="48" t="inlineStr">
        <is>
          <t>&lt; target</t>
        </is>
      </c>
    </row>
    <row r="291">
      <c r="A291" s="7" t="n">
        <v>287</v>
      </c>
      <c r="B291" s="128" t="n">
        <v>376738206543.0513</v>
      </c>
      <c r="C291" s="128" t="n">
        <v>451295000000</v>
      </c>
      <c r="D291" s="22" t="n">
        <v>0.4173968319425778</v>
      </c>
      <c r="E291" t="inlineStr">
        <is>
          <t>&lt; target</t>
        </is>
      </c>
      <c r="F291" s="22" t="n">
        <v>0.4173968319425778</v>
      </c>
      <c r="G291" t="inlineStr">
        <is>
          <t>&lt; target</t>
        </is>
      </c>
      <c r="H291" s="22" t="n">
        <v>0.4173968319425778</v>
      </c>
      <c r="I291" t="inlineStr">
        <is>
          <t>&lt; target</t>
        </is>
      </c>
      <c r="J291" s="22" t="n">
        <v>0.4173968319425778</v>
      </c>
      <c r="K291" t="inlineStr">
        <is>
          <t>&lt; target</t>
        </is>
      </c>
      <c r="L291" s="22" t="n">
        <v>0.4173968319425778</v>
      </c>
      <c r="M291" t="inlineStr">
        <is>
          <t>&lt; target</t>
        </is>
      </c>
    </row>
    <row r="292">
      <c r="A292" s="45" t="n">
        <v>288</v>
      </c>
      <c r="B292" s="139" t="n">
        <v>377994000564.8616</v>
      </c>
      <c r="C292" s="139" t="n">
        <v>451295000000</v>
      </c>
      <c r="D292" s="47" t="n">
        <v>0.4187881547157198</v>
      </c>
      <c r="E292" s="48" t="inlineStr">
        <is>
          <t>&lt; target</t>
        </is>
      </c>
      <c r="F292" s="47" t="n">
        <v>0.4187881547157198</v>
      </c>
      <c r="G292" s="48" t="inlineStr">
        <is>
          <t>&lt; target</t>
        </is>
      </c>
      <c r="H292" s="47" t="n">
        <v>0.4187881547157198</v>
      </c>
      <c r="I292" s="48" t="inlineStr">
        <is>
          <t>&lt; target</t>
        </is>
      </c>
      <c r="J292" s="47" t="n">
        <v>0.4187881547157198</v>
      </c>
      <c r="K292" s="48" t="inlineStr">
        <is>
          <t>&lt; target</t>
        </is>
      </c>
      <c r="L292" s="47" t="n">
        <v>0.4187881547157198</v>
      </c>
      <c r="M292" s="48" t="inlineStr">
        <is>
          <t>&lt; target</t>
        </is>
      </c>
    </row>
    <row r="293">
      <c r="A293" s="7" t="n">
        <v>289</v>
      </c>
      <c r="B293" s="128" t="n">
        <v>379253980566.7445</v>
      </c>
      <c r="C293" s="128" t="n">
        <v>451295000000</v>
      </c>
      <c r="D293" s="22" t="n">
        <v>0.420184115231439</v>
      </c>
      <c r="E293" t="inlineStr">
        <is>
          <t>&lt; target</t>
        </is>
      </c>
      <c r="F293" s="22" t="n">
        <v>0.420184115231439</v>
      </c>
      <c r="G293" t="inlineStr">
        <is>
          <t>&lt; target</t>
        </is>
      </c>
      <c r="H293" s="22" t="n">
        <v>0.420184115231439</v>
      </c>
      <c r="I293" t="inlineStr">
        <is>
          <t>&lt; target</t>
        </is>
      </c>
      <c r="J293" s="22" t="n">
        <v>0.420184115231439</v>
      </c>
      <c r="K293" t="inlineStr">
        <is>
          <t>&lt; target</t>
        </is>
      </c>
      <c r="L293" s="22" t="n">
        <v>0.420184115231439</v>
      </c>
      <c r="M293" t="inlineStr">
        <is>
          <t>&lt; target</t>
        </is>
      </c>
    </row>
    <row r="294">
      <c r="A294" s="45" t="n">
        <v>290</v>
      </c>
      <c r="B294" s="139" t="n">
        <v>380518160501.967</v>
      </c>
      <c r="C294" s="139" t="n">
        <v>451295000000</v>
      </c>
      <c r="D294" s="47" t="n">
        <v>0.4215847289488771</v>
      </c>
      <c r="E294" s="48" t="inlineStr">
        <is>
          <t>&lt; target</t>
        </is>
      </c>
      <c r="F294" s="47" t="n">
        <v>0.4215847289488771</v>
      </c>
      <c r="G294" s="48" t="inlineStr">
        <is>
          <t>&lt; target</t>
        </is>
      </c>
      <c r="H294" s="47" t="n">
        <v>0.4215847289488771</v>
      </c>
      <c r="I294" s="48" t="inlineStr">
        <is>
          <t>&lt; target</t>
        </is>
      </c>
      <c r="J294" s="47" t="n">
        <v>0.4215847289488771</v>
      </c>
      <c r="K294" s="48" t="inlineStr">
        <is>
          <t>&lt; target</t>
        </is>
      </c>
      <c r="L294" s="47" t="n">
        <v>0.4215847289488771</v>
      </c>
      <c r="M294" s="48" t="inlineStr">
        <is>
          <t>&lt; target</t>
        </is>
      </c>
    </row>
    <row r="295">
      <c r="A295" s="7" t="n">
        <v>291</v>
      </c>
      <c r="B295" s="128" t="n">
        <v>381786554370.3069</v>
      </c>
      <c r="C295" s="128" t="n">
        <v>451295000000</v>
      </c>
      <c r="D295" s="22" t="n">
        <v>0.4229900113787068</v>
      </c>
      <c r="E295" t="inlineStr">
        <is>
          <t>&lt; target</t>
        </is>
      </c>
      <c r="F295" s="22" t="n">
        <v>0.4229900113787068</v>
      </c>
      <c r="G295" t="inlineStr">
        <is>
          <t>&lt; target</t>
        </is>
      </c>
      <c r="H295" s="22" t="n">
        <v>0.4229900113787068</v>
      </c>
      <c r="I295" t="inlineStr">
        <is>
          <t>&lt; target</t>
        </is>
      </c>
      <c r="J295" s="22" t="n">
        <v>0.4229900113787068</v>
      </c>
      <c r="K295" t="inlineStr">
        <is>
          <t>&lt; target</t>
        </is>
      </c>
      <c r="L295" s="22" t="n">
        <v>0.4229900113787068</v>
      </c>
      <c r="M295" t="inlineStr">
        <is>
          <t>&lt; target</t>
        </is>
      </c>
    </row>
    <row r="296">
      <c r="A296" s="45" t="n">
        <v>292</v>
      </c>
      <c r="B296" s="139" t="n">
        <v>383059176218.208</v>
      </c>
      <c r="C296" s="139" t="n">
        <v>451295000000</v>
      </c>
      <c r="D296" s="47" t="n">
        <v>0.4243999780833025</v>
      </c>
      <c r="E296" s="48" t="inlineStr">
        <is>
          <t>&lt; target</t>
        </is>
      </c>
      <c r="F296" s="47" t="n">
        <v>0.4243999780833025</v>
      </c>
      <c r="G296" s="48" t="inlineStr">
        <is>
          <t>&lt; target</t>
        </is>
      </c>
      <c r="H296" s="47" t="n">
        <v>0.4243999780833025</v>
      </c>
      <c r="I296" s="48" t="inlineStr">
        <is>
          <t>&lt; target</t>
        </is>
      </c>
      <c r="J296" s="47" t="n">
        <v>0.4243999780833025</v>
      </c>
      <c r="K296" s="48" t="inlineStr">
        <is>
          <t>&lt; target</t>
        </is>
      </c>
      <c r="L296" s="47" t="n">
        <v>0.4243999780833025</v>
      </c>
      <c r="M296" s="48" t="inlineStr">
        <is>
          <t>&lt; target</t>
        </is>
      </c>
    </row>
    <row r="297">
      <c r="A297" s="7" t="n">
        <v>293</v>
      </c>
      <c r="B297" s="128" t="n">
        <v>384336040138.9353</v>
      </c>
      <c r="C297" s="128" t="n">
        <v>451295000000</v>
      </c>
      <c r="D297" s="22" t="n">
        <v>0.4258146446769134</v>
      </c>
      <c r="E297" t="inlineStr">
        <is>
          <t>&lt; target</t>
        </is>
      </c>
      <c r="F297" s="22" t="n">
        <v>0.4258146446769134</v>
      </c>
      <c r="G297" t="inlineStr">
        <is>
          <t>&lt; target</t>
        </is>
      </c>
      <c r="H297" s="22" t="n">
        <v>0.4258146446769134</v>
      </c>
      <c r="I297" t="inlineStr">
        <is>
          <t>&lt; target</t>
        </is>
      </c>
      <c r="J297" s="22" t="n">
        <v>0.4258146446769134</v>
      </c>
      <c r="K297" t="inlineStr">
        <is>
          <t>&lt; target</t>
        </is>
      </c>
      <c r="L297" s="22" t="n">
        <v>0.4258146446769134</v>
      </c>
      <c r="M297" t="inlineStr">
        <is>
          <t>&lt; target</t>
        </is>
      </c>
    </row>
    <row r="298">
      <c r="A298" s="45" t="n">
        <v>294</v>
      </c>
      <c r="B298" s="139" t="n">
        <v>385617160272.7319</v>
      </c>
      <c r="C298" s="139" t="n">
        <v>451295000000</v>
      </c>
      <c r="D298" s="47" t="n">
        <v>0.4272340268258366</v>
      </c>
      <c r="E298" s="48" t="inlineStr">
        <is>
          <t>&lt; target</t>
        </is>
      </c>
      <c r="F298" s="47" t="n">
        <v>0.4272340268258366</v>
      </c>
      <c r="G298" s="48" t="inlineStr">
        <is>
          <t>&lt; target</t>
        </is>
      </c>
      <c r="H298" s="47" t="n">
        <v>0.4272340268258366</v>
      </c>
      <c r="I298" s="48" t="inlineStr">
        <is>
          <t>&lt; target</t>
        </is>
      </c>
      <c r="J298" s="47" t="n">
        <v>0.4272340268258366</v>
      </c>
      <c r="K298" s="48" t="inlineStr">
        <is>
          <t>&lt; target</t>
        </is>
      </c>
      <c r="L298" s="47" t="n">
        <v>0.4272340268258366</v>
      </c>
      <c r="M298" s="48" t="inlineStr">
        <is>
          <t>&lt; target</t>
        </is>
      </c>
    </row>
    <row r="299">
      <c r="A299" s="7" t="n">
        <v>295</v>
      </c>
      <c r="B299" s="128" t="n">
        <v>386902550806.9743</v>
      </c>
      <c r="C299" s="128" t="n">
        <v>451295000000</v>
      </c>
      <c r="D299" s="22" t="n">
        <v>0.4286581402485894</v>
      </c>
      <c r="E299" t="inlineStr">
        <is>
          <t>&lt; target</t>
        </is>
      </c>
      <c r="F299" s="22" t="n">
        <v>0.4286581402485894</v>
      </c>
      <c r="G299" t="inlineStr">
        <is>
          <t>&lt; target</t>
        </is>
      </c>
      <c r="H299" s="22" t="n">
        <v>0.4286581402485894</v>
      </c>
      <c r="I299" t="inlineStr">
        <is>
          <t>&lt; target</t>
        </is>
      </c>
      <c r="J299" s="22" t="n">
        <v>0.4286581402485894</v>
      </c>
      <c r="K299" t="inlineStr">
        <is>
          <t>&lt; target</t>
        </is>
      </c>
      <c r="L299" s="22" t="n">
        <v>0.4286581402485894</v>
      </c>
      <c r="M299" t="inlineStr">
        <is>
          <t>&lt; target</t>
        </is>
      </c>
    </row>
    <row r="300">
      <c r="A300" s="45" t="n">
        <v>296</v>
      </c>
      <c r="B300" s="139" t="n">
        <v>388192225976.3309</v>
      </c>
      <c r="C300" s="139" t="n">
        <v>451295000000</v>
      </c>
      <c r="D300" s="47" t="n">
        <v>0.4300870007160847</v>
      </c>
      <c r="E300" s="48" t="inlineStr">
        <is>
          <t>&lt; target</t>
        </is>
      </c>
      <c r="F300" s="47" t="n">
        <v>0.4300870007160847</v>
      </c>
      <c r="G300" s="48" t="inlineStr">
        <is>
          <t>&lt; target</t>
        </is>
      </c>
      <c r="H300" s="47" t="n">
        <v>0.4300870007160847</v>
      </c>
      <c r="I300" s="48" t="inlineStr">
        <is>
          <t>&lt; target</t>
        </is>
      </c>
      <c r="J300" s="47" t="n">
        <v>0.4300870007160847</v>
      </c>
      <c r="K300" s="48" t="inlineStr">
        <is>
          <t>&lt; target</t>
        </is>
      </c>
      <c r="L300" s="47" t="n">
        <v>0.4300870007160847</v>
      </c>
      <c r="M300" s="48" t="inlineStr">
        <is>
          <t>&lt; target</t>
        </is>
      </c>
    </row>
    <row r="301">
      <c r="A301" s="7" t="n">
        <v>297</v>
      </c>
      <c r="B301" s="128" t="n">
        <v>389486200062.9187</v>
      </c>
      <c r="C301" s="128" t="n">
        <v>451295000000</v>
      </c>
      <c r="D301" s="22" t="n">
        <v>0.431520624051805</v>
      </c>
      <c r="E301" t="inlineStr">
        <is>
          <t>&lt; target</t>
        </is>
      </c>
      <c r="F301" s="22" t="n">
        <v>0.431520624051805</v>
      </c>
      <c r="G301" t="inlineStr">
        <is>
          <t>&lt; target</t>
        </is>
      </c>
      <c r="H301" s="22" t="n">
        <v>0.431520624051805</v>
      </c>
      <c r="I301" t="inlineStr">
        <is>
          <t>&lt; target</t>
        </is>
      </c>
      <c r="J301" s="22" t="n">
        <v>0.431520624051805</v>
      </c>
      <c r="K301" t="inlineStr">
        <is>
          <t>&lt; target</t>
        </is>
      </c>
      <c r="L301" s="22" t="n">
        <v>0.431520624051805</v>
      </c>
      <c r="M301" t="inlineStr">
        <is>
          <t>&lt; target</t>
        </is>
      </c>
    </row>
    <row r="302">
      <c r="A302" s="45" t="n">
        <v>298</v>
      </c>
      <c r="B302" s="139" t="n">
        <v>390784487396.4618</v>
      </c>
      <c r="C302" s="139" t="n">
        <v>451295000000</v>
      </c>
      <c r="D302" s="47" t="n">
        <v>0.4329590261319777</v>
      </c>
      <c r="E302" s="48" t="inlineStr">
        <is>
          <t>&lt; target</t>
        </is>
      </c>
      <c r="F302" s="47" t="n">
        <v>0.4329590261319777</v>
      </c>
      <c r="G302" s="48" t="inlineStr">
        <is>
          <t>&lt; target</t>
        </is>
      </c>
      <c r="H302" s="47" t="n">
        <v>0.4329590261319777</v>
      </c>
      <c r="I302" s="48" t="inlineStr">
        <is>
          <t>&lt; target</t>
        </is>
      </c>
      <c r="J302" s="47" t="n">
        <v>0.4329590261319777</v>
      </c>
      <c r="K302" s="48" t="inlineStr">
        <is>
          <t>&lt; target</t>
        </is>
      </c>
      <c r="L302" s="47" t="n">
        <v>0.4329590261319777</v>
      </c>
      <c r="M302" s="48" t="inlineStr">
        <is>
          <t>&lt; target</t>
        </is>
      </c>
    </row>
    <row r="303">
      <c r="A303" s="7" t="n">
        <v>299</v>
      </c>
      <c r="B303" s="128" t="n">
        <v>392087102354.45</v>
      </c>
      <c r="C303" s="128" t="n">
        <v>451295000000</v>
      </c>
      <c r="D303" s="22" t="n">
        <v>0.434402222885751</v>
      </c>
      <c r="E303" t="inlineStr">
        <is>
          <t>&lt; target</t>
        </is>
      </c>
      <c r="F303" s="22" t="n">
        <v>0.434402222885751</v>
      </c>
      <c r="G303" t="inlineStr">
        <is>
          <t>&lt; target</t>
        </is>
      </c>
      <c r="H303" s="22" t="n">
        <v>0.434402222885751</v>
      </c>
      <c r="I303" t="inlineStr">
        <is>
          <t>&lt; target</t>
        </is>
      </c>
      <c r="J303" s="22" t="n">
        <v>0.434402222885751</v>
      </c>
      <c r="K303" t="inlineStr">
        <is>
          <t>&lt; target</t>
        </is>
      </c>
      <c r="L303" s="22" t="n">
        <v>0.434402222885751</v>
      </c>
      <c r="M303" t="inlineStr">
        <is>
          <t>&lt; target</t>
        </is>
      </c>
    </row>
    <row r="304">
      <c r="A304" s="45" t="n">
        <v>300</v>
      </c>
      <c r="B304" s="139" t="n">
        <v>393394059362.2982</v>
      </c>
      <c r="C304" s="139" t="n">
        <v>451295000000</v>
      </c>
      <c r="D304" s="47" t="n">
        <v>0.4358502302953702</v>
      </c>
      <c r="E304" s="48" t="inlineStr">
        <is>
          <t>&lt; target</t>
        </is>
      </c>
      <c r="F304" s="47" t="n">
        <v>0.4358502302953702</v>
      </c>
      <c r="G304" s="48" t="inlineStr">
        <is>
          <t>&lt; target</t>
        </is>
      </c>
      <c r="H304" s="47" t="n">
        <v>0.4358502302953702</v>
      </c>
      <c r="I304" s="48" t="inlineStr">
        <is>
          <t>&lt; target</t>
        </is>
      </c>
      <c r="J304" s="47" t="n">
        <v>0.4358502302953702</v>
      </c>
      <c r="K304" s="48" t="inlineStr">
        <is>
          <t>&lt; target</t>
        </is>
      </c>
      <c r="L304" s="47" t="n">
        <v>0.4358502302953702</v>
      </c>
      <c r="M304" s="48" t="inlineStr">
        <is>
          <t>&lt; target</t>
        </is>
      </c>
    </row>
    <row r="305">
      <c r="A305" s="7" t="n">
        <v>301</v>
      </c>
      <c r="B305" s="128" t="n">
        <v>394705372893.5059</v>
      </c>
      <c r="C305" s="128" t="n">
        <v>451295000000</v>
      </c>
      <c r="D305" s="22" t="n">
        <v>0.4373030643963549</v>
      </c>
      <c r="E305" t="inlineStr">
        <is>
          <t>&lt; target</t>
        </is>
      </c>
      <c r="F305" s="22" t="n">
        <v>0.4373030643963549</v>
      </c>
      <c r="G305" t="inlineStr">
        <is>
          <t>&lt; target</t>
        </is>
      </c>
      <c r="H305" s="22" t="n">
        <v>0.4373030643963549</v>
      </c>
      <c r="I305" t="inlineStr">
        <is>
          <t>&lt; target</t>
        </is>
      </c>
      <c r="J305" s="22" t="n">
        <v>0.4373030643963549</v>
      </c>
      <c r="K305" t="inlineStr">
        <is>
          <t>&lt; target</t>
        </is>
      </c>
      <c r="L305" s="22" t="n">
        <v>0.4373030643963549</v>
      </c>
      <c r="M305" t="inlineStr">
        <is>
          <t>&lt; target</t>
        </is>
      </c>
    </row>
    <row r="306">
      <c r="A306" s="45" t="n">
        <v>302</v>
      </c>
      <c r="B306" s="139" t="n">
        <v>396021057469.8177</v>
      </c>
      <c r="C306" s="139" t="n">
        <v>451295000000</v>
      </c>
      <c r="D306" s="47" t="n">
        <v>0.4387607412776761</v>
      </c>
      <c r="E306" s="48" t="inlineStr">
        <is>
          <t>&lt; target</t>
        </is>
      </c>
      <c r="F306" s="47" t="n">
        <v>0.4387607412776761</v>
      </c>
      <c r="G306" s="48" t="inlineStr">
        <is>
          <t>&lt; target</t>
        </is>
      </c>
      <c r="H306" s="47" t="n">
        <v>0.4387607412776761</v>
      </c>
      <c r="I306" s="48" t="inlineStr">
        <is>
          <t>&lt; target</t>
        </is>
      </c>
      <c r="J306" s="47" t="n">
        <v>0.4387607412776761</v>
      </c>
      <c r="K306" s="48" t="inlineStr">
        <is>
          <t>&lt; target</t>
        </is>
      </c>
      <c r="L306" s="47" t="n">
        <v>0.4387607412776761</v>
      </c>
      <c r="M306" s="48" t="inlineStr">
        <is>
          <t>&lt; target</t>
        </is>
      </c>
    </row>
    <row r="307">
      <c r="A307" s="7" t="n">
        <v>303</v>
      </c>
      <c r="B307" s="128" t="n">
        <v>397341127661.3837</v>
      </c>
      <c r="C307" s="128" t="n">
        <v>451295000000</v>
      </c>
      <c r="D307" s="22" t="n">
        <v>0.440223277081935</v>
      </c>
      <c r="E307" t="inlineStr">
        <is>
          <t>&lt; target</t>
        </is>
      </c>
      <c r="F307" s="22" t="n">
        <v>0.440223277081935</v>
      </c>
      <c r="G307" t="inlineStr">
        <is>
          <t>&lt; target</t>
        </is>
      </c>
      <c r="H307" s="22" t="n">
        <v>0.440223277081935</v>
      </c>
      <c r="I307" t="inlineStr">
        <is>
          <t>&lt; target</t>
        </is>
      </c>
      <c r="J307" s="22" t="n">
        <v>0.440223277081935</v>
      </c>
      <c r="K307" t="inlineStr">
        <is>
          <t>&lt; target</t>
        </is>
      </c>
      <c r="L307" s="22" t="n">
        <v>0.440223277081935</v>
      </c>
      <c r="M307" t="inlineStr">
        <is>
          <t>&lt; target</t>
        </is>
      </c>
    </row>
    <row r="308">
      <c r="A308" s="45" t="n">
        <v>304</v>
      </c>
      <c r="B308" s="139" t="n">
        <v>398665598086.9217</v>
      </c>
      <c r="C308" s="139" t="n">
        <v>451295000000</v>
      </c>
      <c r="D308" s="47" t="n">
        <v>0.4416906880055415</v>
      </c>
      <c r="E308" s="48" t="inlineStr">
        <is>
          <t>&lt; target</t>
        </is>
      </c>
      <c r="F308" s="47" t="n">
        <v>0.4416906880055415</v>
      </c>
      <c r="G308" s="48" t="inlineStr">
        <is>
          <t>&lt; target</t>
        </is>
      </c>
      <c r="H308" s="47" t="n">
        <v>0.4416906880055415</v>
      </c>
      <c r="I308" s="48" t="inlineStr">
        <is>
          <t>&lt; target</t>
        </is>
      </c>
      <c r="J308" s="47" t="n">
        <v>0.4416906880055415</v>
      </c>
      <c r="K308" s="48" t="inlineStr">
        <is>
          <t>&lt; target</t>
        </is>
      </c>
      <c r="L308" s="47" t="n">
        <v>0.4416906880055415</v>
      </c>
      <c r="M308" s="48" t="inlineStr">
        <is>
          <t>&lt; target</t>
        </is>
      </c>
    </row>
    <row r="309">
      <c r="A309" s="7" t="n">
        <v>305</v>
      </c>
      <c r="B309" s="128" t="n">
        <v>399994483413.8781</v>
      </c>
      <c r="C309" s="128" t="n">
        <v>451295000000</v>
      </c>
      <c r="D309" s="22" t="n">
        <v>0.4431629902988933</v>
      </c>
      <c r="E309" t="inlineStr">
        <is>
          <t>&lt; target</t>
        </is>
      </c>
      <c r="F309" s="22" t="n">
        <v>0.4431629902988933</v>
      </c>
      <c r="G309" t="inlineStr">
        <is>
          <t>&lt; target</t>
        </is>
      </c>
      <c r="H309" s="22" t="n">
        <v>0.4431629902988933</v>
      </c>
      <c r="I309" t="inlineStr">
        <is>
          <t>&lt; target</t>
        </is>
      </c>
      <c r="J309" s="22" t="n">
        <v>0.4431629902988933</v>
      </c>
      <c r="K309" t="inlineStr">
        <is>
          <t>&lt; target</t>
        </is>
      </c>
      <c r="L309" s="22" t="n">
        <v>0.4431629902988933</v>
      </c>
      <c r="M309" t="inlineStr">
        <is>
          <t>&lt; target</t>
        </is>
      </c>
    </row>
    <row r="310">
      <c r="A310" s="45" t="n">
        <v>306</v>
      </c>
      <c r="B310" s="139" t="n">
        <v>401327798358.5911</v>
      </c>
      <c r="C310" s="139" t="n">
        <v>451295000000</v>
      </c>
      <c r="D310" s="47" t="n">
        <v>0.4446402002665564</v>
      </c>
      <c r="E310" s="48" t="inlineStr">
        <is>
          <t>&lt; target</t>
        </is>
      </c>
      <c r="F310" s="47" t="n">
        <v>0.4446402002665564</v>
      </c>
      <c r="G310" s="48" t="inlineStr">
        <is>
          <t>&lt; target</t>
        </is>
      </c>
      <c r="H310" s="47" t="n">
        <v>0.4446402002665564</v>
      </c>
      <c r="I310" s="48" t="inlineStr">
        <is>
          <t>&lt; target</t>
        </is>
      </c>
      <c r="J310" s="47" t="n">
        <v>0.4446402002665564</v>
      </c>
      <c r="K310" s="48" t="inlineStr">
        <is>
          <t>&lt; target</t>
        </is>
      </c>
      <c r="L310" s="47" t="n">
        <v>0.4446402002665564</v>
      </c>
      <c r="M310" s="48" t="inlineStr">
        <is>
          <t>&lt; target</t>
        </is>
      </c>
    </row>
    <row r="311">
      <c r="A311" s="7" t="n">
        <v>307</v>
      </c>
      <c r="B311" s="128" t="n">
        <v>402665557686.4531</v>
      </c>
      <c r="C311" s="128" t="n">
        <v>451295000000</v>
      </c>
      <c r="D311" s="22" t="n">
        <v>0.4461223342674449</v>
      </c>
      <c r="E311" t="inlineStr">
        <is>
          <t>&lt; target</t>
        </is>
      </c>
      <c r="F311" s="22" t="n">
        <v>0.4461223342674449</v>
      </c>
      <c r="G311" t="inlineStr">
        <is>
          <t>&lt; target</t>
        </is>
      </c>
      <c r="H311" s="22" t="n">
        <v>0.4461223342674449</v>
      </c>
      <c r="I311" t="inlineStr">
        <is>
          <t>&lt; target</t>
        </is>
      </c>
      <c r="J311" s="22" t="n">
        <v>0.4461223342674449</v>
      </c>
      <c r="K311" t="inlineStr">
        <is>
          <t>&lt; target</t>
        </is>
      </c>
      <c r="L311" s="22" t="n">
        <v>0.4461223342674449</v>
      </c>
      <c r="M311" t="inlineStr">
        <is>
          <t>&lt; target</t>
        </is>
      </c>
    </row>
    <row r="312">
      <c r="A312" s="45" t="n">
        <v>308</v>
      </c>
      <c r="B312" s="139" t="n">
        <v>404007776212.0746</v>
      </c>
      <c r="C312" s="139" t="n">
        <v>451295000000</v>
      </c>
      <c r="D312" s="47" t="n">
        <v>0.4476094087150031</v>
      </c>
      <c r="E312" s="48" t="inlineStr">
        <is>
          <t>&lt; target</t>
        </is>
      </c>
      <c r="F312" s="47" t="n">
        <v>0.4476094087150031</v>
      </c>
      <c r="G312" s="48" t="inlineStr">
        <is>
          <t>&lt; target</t>
        </is>
      </c>
      <c r="H312" s="47" t="n">
        <v>0.4476094087150031</v>
      </c>
      <c r="I312" s="48" t="inlineStr">
        <is>
          <t>&lt; target</t>
        </is>
      </c>
      <c r="J312" s="47" t="n">
        <v>0.4476094087150031</v>
      </c>
      <c r="K312" s="48" t="inlineStr">
        <is>
          <t>&lt; target</t>
        </is>
      </c>
      <c r="L312" s="47" t="n">
        <v>0.4476094087150031</v>
      </c>
      <c r="M312" s="48" t="inlineStr">
        <is>
          <t>&lt; target</t>
        </is>
      </c>
    </row>
    <row r="313">
      <c r="A313" s="7" t="n">
        <v>309</v>
      </c>
      <c r="B313" s="128" t="n">
        <v>405354468799.4482</v>
      </c>
      <c r="C313" s="128" t="n">
        <v>451295000000</v>
      </c>
      <c r="D313" s="22" t="n">
        <v>0.4491014400773864</v>
      </c>
      <c r="E313" t="inlineStr">
        <is>
          <t>&lt; target</t>
        </is>
      </c>
      <c r="F313" s="22" t="n">
        <v>0.4491014400773864</v>
      </c>
      <c r="G313" t="inlineStr">
        <is>
          <t>&lt; target</t>
        </is>
      </c>
      <c r="H313" s="22" t="n">
        <v>0.4491014400773864</v>
      </c>
      <c r="I313" t="inlineStr">
        <is>
          <t>&lt; target</t>
        </is>
      </c>
      <c r="J313" s="22" t="n">
        <v>0.4491014400773864</v>
      </c>
      <c r="K313" t="inlineStr">
        <is>
          <t>&lt; target</t>
        </is>
      </c>
      <c r="L313" s="22" t="n">
        <v>0.4491014400773864</v>
      </c>
      <c r="M313" t="inlineStr">
        <is>
          <t>&lt; target</t>
        </is>
      </c>
    </row>
    <row r="314">
      <c r="A314" s="45" t="n">
        <v>310</v>
      </c>
      <c r="B314" s="139" t="n">
        <v>406705650362.1131</v>
      </c>
      <c r="C314" s="139" t="n">
        <v>451295000000</v>
      </c>
      <c r="D314" s="47" t="n">
        <v>0.4505984448776444</v>
      </c>
      <c r="E314" s="48" t="inlineStr">
        <is>
          <t>&lt; target</t>
        </is>
      </c>
      <c r="F314" s="47" t="n">
        <v>0.4505984448776444</v>
      </c>
      <c r="G314" s="48" t="inlineStr">
        <is>
          <t>&lt; target</t>
        </is>
      </c>
      <c r="H314" s="47" t="n">
        <v>0.4505984448776444</v>
      </c>
      <c r="I314" s="48" t="inlineStr">
        <is>
          <t>&lt; target</t>
        </is>
      </c>
      <c r="J314" s="47" t="n">
        <v>0.4505984448776444</v>
      </c>
      <c r="K314" s="48" t="inlineStr">
        <is>
          <t>&lt; target</t>
        </is>
      </c>
      <c r="L314" s="47" t="n">
        <v>0.4505984448776444</v>
      </c>
      <c r="M314" s="48" t="inlineStr">
        <is>
          <t>&lt; target</t>
        </is>
      </c>
    </row>
    <row r="315">
      <c r="A315" s="7" t="n">
        <v>311</v>
      </c>
      <c r="B315" s="128" t="n">
        <v>408061335863.3201</v>
      </c>
      <c r="C315" s="128" t="n">
        <v>451295000000</v>
      </c>
      <c r="D315" s="22" t="n">
        <v>0.4521004396939032</v>
      </c>
      <c r="E315" t="inlineStr">
        <is>
          <t>&lt; target</t>
        </is>
      </c>
      <c r="F315" s="22" t="n">
        <v>0.4521004396939032</v>
      </c>
      <c r="G315" t="inlineStr">
        <is>
          <t>&lt; target</t>
        </is>
      </c>
      <c r="H315" s="22" t="n">
        <v>0.4521004396939032</v>
      </c>
      <c r="I315" t="inlineStr">
        <is>
          <t>&lt; target</t>
        </is>
      </c>
      <c r="J315" s="22" t="n">
        <v>0.4521004396939032</v>
      </c>
      <c r="K315" t="inlineStr">
        <is>
          <t>&lt; target</t>
        </is>
      </c>
      <c r="L315" s="22" t="n">
        <v>0.4521004396939032</v>
      </c>
      <c r="M315" t="inlineStr">
        <is>
          <t>&lt; target</t>
        </is>
      </c>
    </row>
    <row r="316">
      <c r="A316" s="45" t="n">
        <v>312</v>
      </c>
      <c r="B316" s="139" t="n">
        <v>409421540316.198</v>
      </c>
      <c r="C316" s="139" t="n">
        <v>451295000000</v>
      </c>
      <c r="D316" s="47" t="n">
        <v>0.4536074411595498</v>
      </c>
      <c r="E316" s="48" t="inlineStr">
        <is>
          <t>&lt; target</t>
        </is>
      </c>
      <c r="F316" s="47" t="n">
        <v>0.4536074411595498</v>
      </c>
      <c r="G316" s="48" t="inlineStr">
        <is>
          <t>&lt; target</t>
        </is>
      </c>
      <c r="H316" s="47" t="n">
        <v>0.4536074411595498</v>
      </c>
      <c r="I316" s="48" t="inlineStr">
        <is>
          <t>&lt; target</t>
        </is>
      </c>
      <c r="J316" s="47" t="n">
        <v>0.4536074411595498</v>
      </c>
      <c r="K316" s="48" t="inlineStr">
        <is>
          <t>&lt; target</t>
        </is>
      </c>
      <c r="L316" s="47" t="n">
        <v>0.4536074411595498</v>
      </c>
      <c r="M316" s="48" t="inlineStr">
        <is>
          <t>&lt; target</t>
        </is>
      </c>
    </row>
    <row r="317">
      <c r="A317" s="7" t="n">
        <v>313</v>
      </c>
      <c r="B317" s="128" t="n">
        <v>410786278783.9186</v>
      </c>
      <c r="C317" s="128" t="n">
        <v>451295000000</v>
      </c>
      <c r="D317" s="22" t="n">
        <v>0.4551194659634149</v>
      </c>
      <c r="E317" t="inlineStr">
        <is>
          <t>&lt; target</t>
        </is>
      </c>
      <c r="F317" s="22" t="n">
        <v>0.4551194659634149</v>
      </c>
      <c r="G317" t="inlineStr">
        <is>
          <t>&lt; target</t>
        </is>
      </c>
      <c r="H317" s="22" t="n">
        <v>0.4551194659634149</v>
      </c>
      <c r="I317" t="inlineStr">
        <is>
          <t>&lt; target</t>
        </is>
      </c>
      <c r="J317" s="22" t="n">
        <v>0.4551194659634149</v>
      </c>
      <c r="K317" t="inlineStr">
        <is>
          <t>&lt; target</t>
        </is>
      </c>
      <c r="L317" s="22" t="n">
        <v>0.4551194659634149</v>
      </c>
      <c r="M317" t="inlineStr">
        <is>
          <t>&lt; target</t>
        </is>
      </c>
    </row>
    <row r="318">
      <c r="A318" s="45" t="n">
        <v>314</v>
      </c>
      <c r="B318" s="139" t="n">
        <v>412155566379.8651</v>
      </c>
      <c r="C318" s="139" t="n">
        <v>451295000000</v>
      </c>
      <c r="D318" s="47" t="n">
        <v>0.4566365308499597</v>
      </c>
      <c r="E318" s="48" t="inlineStr">
        <is>
          <t>&lt; target</t>
        </is>
      </c>
      <c r="F318" s="47" t="n">
        <v>0.4566365308499597</v>
      </c>
      <c r="G318" s="48" t="inlineStr">
        <is>
          <t>&lt; target</t>
        </is>
      </c>
      <c r="H318" s="47" t="n">
        <v>0.4566365308499597</v>
      </c>
      <c r="I318" s="48" t="inlineStr">
        <is>
          <t>&lt; target</t>
        </is>
      </c>
      <c r="J318" s="47" t="n">
        <v>0.4566365308499597</v>
      </c>
      <c r="K318" s="48" t="inlineStr">
        <is>
          <t>&lt; target</t>
        </is>
      </c>
      <c r="L318" s="47" t="n">
        <v>0.4566365308499597</v>
      </c>
      <c r="M318" s="48" t="inlineStr">
        <is>
          <t>&lt; target</t>
        </is>
      </c>
    </row>
    <row r="319">
      <c r="A319" s="7" t="n">
        <v>315</v>
      </c>
      <c r="B319" s="128" t="n">
        <v>413529418267.798</v>
      </c>
      <c r="C319" s="128" t="n">
        <v>451295000000</v>
      </c>
      <c r="D319" s="22" t="n">
        <v>0.4581586526194595</v>
      </c>
      <c r="E319" t="inlineStr">
        <is>
          <t>&lt; target</t>
        </is>
      </c>
      <c r="F319" s="22" t="n">
        <v>0.4581586526194595</v>
      </c>
      <c r="G319" t="inlineStr">
        <is>
          <t>&lt; target</t>
        </is>
      </c>
      <c r="H319" s="22" t="n">
        <v>0.4581586526194595</v>
      </c>
      <c r="I319" t="inlineStr">
        <is>
          <t>&lt; target</t>
        </is>
      </c>
      <c r="J319" s="22" t="n">
        <v>0.4581586526194595</v>
      </c>
      <c r="K319" t="inlineStr">
        <is>
          <t>&lt; target</t>
        </is>
      </c>
      <c r="L319" s="22" t="n">
        <v>0.4581586526194595</v>
      </c>
      <c r="M319" t="inlineStr">
        <is>
          <t>&lt; target</t>
        </is>
      </c>
    </row>
    <row r="320">
      <c r="A320" s="45" t="n">
        <v>316</v>
      </c>
      <c r="B320" s="139" t="n">
        <v>414907849662.024</v>
      </c>
      <c r="C320" s="139" t="n">
        <v>451295000000</v>
      </c>
      <c r="D320" s="47" t="n">
        <v>0.4596858481281911</v>
      </c>
      <c r="E320" s="48" t="inlineStr">
        <is>
          <t>&lt; target</t>
        </is>
      </c>
      <c r="F320" s="47" t="n">
        <v>0.4596858481281911</v>
      </c>
      <c r="G320" s="48" t="inlineStr">
        <is>
          <t>&lt; target</t>
        </is>
      </c>
      <c r="H320" s="47" t="n">
        <v>0.4596858481281911</v>
      </c>
      <c r="I320" s="48" t="inlineStr">
        <is>
          <t>&lt; target</t>
        </is>
      </c>
      <c r="J320" s="47" t="n">
        <v>0.4596858481281911</v>
      </c>
      <c r="K320" s="48" t="inlineStr">
        <is>
          <t>&lt; target</t>
        </is>
      </c>
      <c r="L320" s="47" t="n">
        <v>0.4596858481281911</v>
      </c>
      <c r="M320" s="48" t="inlineStr">
        <is>
          <t>&lt; target</t>
        </is>
      </c>
    </row>
    <row r="321">
      <c r="A321" s="7" t="n">
        <v>317</v>
      </c>
      <c r="B321" s="128" t="n">
        <v>416290875827.5641</v>
      </c>
      <c r="C321" s="128" t="n">
        <v>451295000000</v>
      </c>
      <c r="D321" s="22" t="n">
        <v>0.4612181342886184</v>
      </c>
      <c r="E321" t="inlineStr">
        <is>
          <t>&lt; target</t>
        </is>
      </c>
      <c r="F321" s="22" t="n">
        <v>0.4612181342886184</v>
      </c>
      <c r="G321" t="inlineStr">
        <is>
          <t>&lt; target</t>
        </is>
      </c>
      <c r="H321" s="22" t="n">
        <v>0.4612181342886184</v>
      </c>
      <c r="I321" t="inlineStr">
        <is>
          <t>&lt; target</t>
        </is>
      </c>
      <c r="J321" s="22" t="n">
        <v>0.4612181342886184</v>
      </c>
      <c r="K321" t="inlineStr">
        <is>
          <t>&lt; target</t>
        </is>
      </c>
      <c r="L321" s="22" t="n">
        <v>0.4612181342886184</v>
      </c>
      <c r="M321" t="inlineStr">
        <is>
          <t>&lt; target</t>
        </is>
      </c>
    </row>
    <row r="322">
      <c r="A322" s="45" t="n">
        <v>318</v>
      </c>
      <c r="B322" s="139" t="n">
        <v>417678512080.3227</v>
      </c>
      <c r="C322" s="139" t="n">
        <v>451295000000</v>
      </c>
      <c r="D322" s="47" t="n">
        <v>0.4627555280695805</v>
      </c>
      <c r="E322" s="48" t="inlineStr">
        <is>
          <t>&lt; target</t>
        </is>
      </c>
      <c r="F322" s="47" t="n">
        <v>0.4627555280695805</v>
      </c>
      <c r="G322" s="48" t="inlineStr">
        <is>
          <t>&lt; target</t>
        </is>
      </c>
      <c r="H322" s="47" t="n">
        <v>0.4627555280695805</v>
      </c>
      <c r="I322" s="48" t="inlineStr">
        <is>
          <t>&lt; target</t>
        </is>
      </c>
      <c r="J322" s="47" t="n">
        <v>0.4627555280695805</v>
      </c>
      <c r="K322" s="48" t="inlineStr">
        <is>
          <t>&lt; target</t>
        </is>
      </c>
      <c r="L322" s="47" t="n">
        <v>0.4627555280695805</v>
      </c>
      <c r="M322" s="48" t="inlineStr">
        <is>
          <t>&lt; target</t>
        </is>
      </c>
    </row>
    <row r="323">
      <c r="A323" s="7" t="n">
        <v>319</v>
      </c>
      <c r="B323" s="128" t="n">
        <v>419070773787.2571</v>
      </c>
      <c r="C323" s="128" t="n">
        <v>451295000000</v>
      </c>
      <c r="D323" s="22" t="n">
        <v>0.4642980464964792</v>
      </c>
      <c r="E323" t="inlineStr">
        <is>
          <t>&lt; target</t>
        </is>
      </c>
      <c r="F323" s="22" t="n">
        <v>0.4642980464964792</v>
      </c>
      <c r="G323" t="inlineStr">
        <is>
          <t>&lt; target</t>
        </is>
      </c>
      <c r="H323" s="22" t="n">
        <v>0.4642980464964792</v>
      </c>
      <c r="I323" t="inlineStr">
        <is>
          <t>&lt; target</t>
        </is>
      </c>
      <c r="J323" s="22" t="n">
        <v>0.4642980464964792</v>
      </c>
      <c r="K323" t="inlineStr">
        <is>
          <t>&lt; target</t>
        </is>
      </c>
      <c r="L323" s="22" t="n">
        <v>0.4642980464964792</v>
      </c>
      <c r="M323" t="inlineStr">
        <is>
          <t>&lt; target</t>
        </is>
      </c>
    </row>
    <row r="324">
      <c r="A324" s="45" t="n">
        <v>320</v>
      </c>
      <c r="B324" s="139" t="n">
        <v>420467676366.548</v>
      </c>
      <c r="C324" s="139" t="n">
        <v>451295000000</v>
      </c>
      <c r="D324" s="47" t="n">
        <v>0.4658457066514675</v>
      </c>
      <c r="E324" s="48" t="inlineStr">
        <is>
          <t>&lt; target</t>
        </is>
      </c>
      <c r="F324" s="47" t="n">
        <v>0.4658457066514675</v>
      </c>
      <c r="G324" s="48" t="inlineStr">
        <is>
          <t>&lt; target</t>
        </is>
      </c>
      <c r="H324" s="47" t="n">
        <v>0.4658457066514675</v>
      </c>
      <c r="I324" s="48" t="inlineStr">
        <is>
          <t>&lt; target</t>
        </is>
      </c>
      <c r="J324" s="47" t="n">
        <v>0.4658457066514675</v>
      </c>
      <c r="K324" s="48" t="inlineStr">
        <is>
          <t>&lt; target</t>
        </is>
      </c>
      <c r="L324" s="47" t="n">
        <v>0.4658457066514675</v>
      </c>
      <c r="M324" s="48" t="inlineStr">
        <is>
          <t>&lt; target</t>
        </is>
      </c>
    </row>
    <row r="325">
      <c r="A325" s="7" t="n">
        <v>321</v>
      </c>
      <c r="B325" s="128" t="n">
        <v>421869235287.7699</v>
      </c>
      <c r="C325" s="128" t="n">
        <v>451295000000</v>
      </c>
      <c r="D325" s="22" t="n">
        <v>0.4673985256736391</v>
      </c>
      <c r="E325" t="inlineStr">
        <is>
          <t>&lt; target</t>
        </is>
      </c>
      <c r="F325" s="22" t="n">
        <v>0.4673985256736391</v>
      </c>
      <c r="G325" t="inlineStr">
        <is>
          <t>&lt; target</t>
        </is>
      </c>
      <c r="H325" s="22" t="n">
        <v>0.4673985256736391</v>
      </c>
      <c r="I325" t="inlineStr">
        <is>
          <t>&lt; target</t>
        </is>
      </c>
      <c r="J325" s="22" t="n">
        <v>0.4673985256736391</v>
      </c>
      <c r="K325" t="inlineStr">
        <is>
          <t>&lt; target</t>
        </is>
      </c>
      <c r="L325" s="22" t="n">
        <v>0.4673985256736391</v>
      </c>
      <c r="M325" t="inlineStr">
        <is>
          <t>&lt; target</t>
        </is>
      </c>
    </row>
    <row r="326">
      <c r="A326" s="45" t="n">
        <v>322</v>
      </c>
      <c r="B326" s="139" t="n">
        <v>423275466072.0625</v>
      </c>
      <c r="C326" s="139" t="n">
        <v>451295000000</v>
      </c>
      <c r="D326" s="47" t="n">
        <v>0.4689565207592179</v>
      </c>
      <c r="E326" s="48" t="inlineStr">
        <is>
          <t>&lt; target</t>
        </is>
      </c>
      <c r="F326" s="47" t="n">
        <v>0.4689565207592179</v>
      </c>
      <c r="G326" s="48" t="inlineStr">
        <is>
          <t>&lt; target</t>
        </is>
      </c>
      <c r="H326" s="47" t="n">
        <v>0.4689565207592179</v>
      </c>
      <c r="I326" s="48" t="inlineStr">
        <is>
          <t>&lt; target</t>
        </is>
      </c>
      <c r="J326" s="47" t="n">
        <v>0.4689565207592179</v>
      </c>
      <c r="K326" s="48" t="inlineStr">
        <is>
          <t>&lt; target</t>
        </is>
      </c>
      <c r="L326" s="47" t="n">
        <v>0.4689565207592179</v>
      </c>
      <c r="M326" s="48" t="inlineStr">
        <is>
          <t>&lt; target</t>
        </is>
      </c>
    </row>
    <row r="327">
      <c r="A327" s="7" t="n">
        <v>323</v>
      </c>
      <c r="B327" s="128" t="n">
        <v>424686384292.3027</v>
      </c>
      <c r="C327" s="128" t="n">
        <v>451295000000</v>
      </c>
      <c r="D327" s="22" t="n">
        <v>0.4705197091617487</v>
      </c>
      <c r="E327" t="inlineStr">
        <is>
          <t>&lt; target</t>
        </is>
      </c>
      <c r="F327" s="22" t="n">
        <v>0.4705197091617487</v>
      </c>
      <c r="G327" t="inlineStr">
        <is>
          <t>&lt; target</t>
        </is>
      </c>
      <c r="H327" s="22" t="n">
        <v>0.4705197091617487</v>
      </c>
      <c r="I327" t="inlineStr">
        <is>
          <t>&lt; target</t>
        </is>
      </c>
      <c r="J327" s="22" t="n">
        <v>0.4705197091617487</v>
      </c>
      <c r="K327" t="inlineStr">
        <is>
          <t>&lt; target</t>
        </is>
      </c>
      <c r="L327" s="22" t="n">
        <v>0.4705197091617487</v>
      </c>
      <c r="M327" t="inlineStr">
        <is>
          <t>&lt; target</t>
        </is>
      </c>
    </row>
    <row r="328">
      <c r="A328" s="45" t="n">
        <v>324</v>
      </c>
      <c r="B328" s="139" t="n">
        <v>426102005573.2771</v>
      </c>
      <c r="C328" s="139" t="n">
        <v>451295000000</v>
      </c>
      <c r="D328" s="47" t="n">
        <v>0.4720881081922879</v>
      </c>
      <c r="E328" s="48" t="inlineStr">
        <is>
          <t>&lt; target</t>
        </is>
      </c>
      <c r="F328" s="47" t="n">
        <v>0.4720881081922879</v>
      </c>
      <c r="G328" s="48" t="inlineStr">
        <is>
          <t>&lt; target</t>
        </is>
      </c>
      <c r="H328" s="47" t="n">
        <v>0.4720881081922879</v>
      </c>
      <c r="I328" s="48" t="inlineStr">
        <is>
          <t>&lt; target</t>
        </is>
      </c>
      <c r="J328" s="47" t="n">
        <v>0.4720881081922879</v>
      </c>
      <c r="K328" s="48" t="inlineStr">
        <is>
          <t>&lt; target</t>
        </is>
      </c>
      <c r="L328" s="47" t="n">
        <v>0.4720881081922879</v>
      </c>
      <c r="M328" s="48" t="inlineStr">
        <is>
          <t>&lt; target</t>
        </is>
      </c>
    </row>
    <row r="329">
      <c r="A329" s="7" t="n">
        <v>325</v>
      </c>
      <c r="B329" s="128" t="n">
        <v>427522345591.8547</v>
      </c>
      <c r="C329" s="128" t="n">
        <v>451295000000</v>
      </c>
      <c r="D329" s="22" t="n">
        <v>0.4736617352195955</v>
      </c>
      <c r="E329" t="inlineStr">
        <is>
          <t>&lt; target</t>
        </is>
      </c>
      <c r="F329" s="22" t="n">
        <v>0.4736617352195955</v>
      </c>
      <c r="G329" t="inlineStr">
        <is>
          <t>&lt; target</t>
        </is>
      </c>
      <c r="H329" s="22" t="n">
        <v>0.4736617352195955</v>
      </c>
      <c r="I329" t="inlineStr">
        <is>
          <t>&lt; target</t>
        </is>
      </c>
      <c r="J329" s="22" t="n">
        <v>0.4736617352195955</v>
      </c>
      <c r="K329" t="inlineStr">
        <is>
          <t>&lt; target</t>
        </is>
      </c>
      <c r="L329" s="22" t="n">
        <v>0.4736617352195955</v>
      </c>
      <c r="M329" t="inlineStr">
        <is>
          <t>&lt; target</t>
        </is>
      </c>
    </row>
    <row r="330">
      <c r="A330" s="45" t="n">
        <v>326</v>
      </c>
      <c r="B330" s="139" t="n">
        <v>428947420077.1609</v>
      </c>
      <c r="C330" s="139" t="n">
        <v>451295000000</v>
      </c>
      <c r="D330" s="47" t="n">
        <v>0.4752406076703276</v>
      </c>
      <c r="E330" s="48" t="inlineStr">
        <is>
          <t>&lt; target</t>
        </is>
      </c>
      <c r="F330" s="47" t="n">
        <v>0.4752406076703276</v>
      </c>
      <c r="G330" s="48" t="inlineStr">
        <is>
          <t>&lt; target</t>
        </is>
      </c>
      <c r="H330" s="47" t="n">
        <v>0.4752406076703276</v>
      </c>
      <c r="I330" s="48" t="inlineStr">
        <is>
          <t>&lt; target</t>
        </is>
      </c>
      <c r="J330" s="47" t="n">
        <v>0.4752406076703276</v>
      </c>
      <c r="K330" s="48" t="inlineStr">
        <is>
          <t>&lt; target</t>
        </is>
      </c>
      <c r="L330" s="47" t="n">
        <v>0.4752406076703276</v>
      </c>
      <c r="M330" s="48" t="inlineStr">
        <is>
          <t>&lt; target</t>
        </is>
      </c>
    </row>
    <row r="331">
      <c r="A331" s="7" t="n">
        <v>327</v>
      </c>
      <c r="B331" s="128" t="n">
        <v>430377244810.7515</v>
      </c>
      <c r="C331" s="128" t="n">
        <v>451295000000</v>
      </c>
      <c r="D331" s="22" t="n">
        <v>0.4768247430292287</v>
      </c>
      <c r="E331" t="inlineStr">
        <is>
          <t>&lt; target</t>
        </is>
      </c>
      <c r="F331" s="22" t="n">
        <v>0.4768247430292287</v>
      </c>
      <c r="G331" t="inlineStr">
        <is>
          <t>&lt; target</t>
        </is>
      </c>
      <c r="H331" s="22" t="n">
        <v>0.4768247430292287</v>
      </c>
      <c r="I331" t="inlineStr">
        <is>
          <t>&lt; target</t>
        </is>
      </c>
      <c r="J331" s="22" t="n">
        <v>0.4768247430292287</v>
      </c>
      <c r="K331" t="inlineStr">
        <is>
          <t>&lt; target</t>
        </is>
      </c>
      <c r="L331" s="22" t="n">
        <v>0.4768247430292287</v>
      </c>
      <c r="M331" t="inlineStr">
        <is>
          <t>&lt; target</t>
        </is>
      </c>
    </row>
    <row r="332">
      <c r="A332" s="45" t="n">
        <v>328</v>
      </c>
      <c r="B332" s="139" t="n">
        <v>431811835626.7874</v>
      </c>
      <c r="C332" s="139" t="n">
        <v>451295000000</v>
      </c>
      <c r="D332" s="47" t="n">
        <v>0.4784141588393262</v>
      </c>
      <c r="E332" s="48" t="inlineStr">
        <is>
          <t>&lt; target</t>
        </is>
      </c>
      <c r="F332" s="47" t="n">
        <v>0.4784141588393262</v>
      </c>
      <c r="G332" s="48" t="inlineStr">
        <is>
          <t>&lt; target</t>
        </is>
      </c>
      <c r="H332" s="47" t="n">
        <v>0.4784141588393262</v>
      </c>
      <c r="I332" s="48" t="inlineStr">
        <is>
          <t>&lt; target</t>
        </is>
      </c>
      <c r="J332" s="47" t="n">
        <v>0.4784141588393262</v>
      </c>
      <c r="K332" s="48" t="inlineStr">
        <is>
          <t>&lt; target</t>
        </is>
      </c>
      <c r="L332" s="47" t="n">
        <v>0.4784141588393262</v>
      </c>
      <c r="M332" s="48" t="inlineStr">
        <is>
          <t>&lt; target</t>
        </is>
      </c>
    </row>
    <row r="333">
      <c r="A333" s="7" t="n">
        <v>329</v>
      </c>
      <c r="B333" s="128" t="n">
        <v>433251208412.21</v>
      </c>
      <c r="C333" s="128" t="n">
        <v>451295000000</v>
      </c>
      <c r="D333" s="22" t="n">
        <v>0.4800088727021239</v>
      </c>
      <c r="E333" t="inlineStr">
        <is>
          <t>&lt; target</t>
        </is>
      </c>
      <c r="F333" s="22" t="n">
        <v>0.4800088727021239</v>
      </c>
      <c r="G333" t="inlineStr">
        <is>
          <t>&lt; target</t>
        </is>
      </c>
      <c r="H333" s="22" t="n">
        <v>0.4800088727021239</v>
      </c>
      <c r="I333" t="inlineStr">
        <is>
          <t>&lt; target</t>
        </is>
      </c>
      <c r="J333" s="22" t="n">
        <v>0.4800088727021239</v>
      </c>
      <c r="K333" t="inlineStr">
        <is>
          <t>&lt; target</t>
        </is>
      </c>
      <c r="L333" s="22" t="n">
        <v>0.4800088727021239</v>
      </c>
      <c r="M333" t="inlineStr">
        <is>
          <t>&lt; target</t>
        </is>
      </c>
    </row>
    <row r="334">
      <c r="A334" s="45" t="n">
        <v>330</v>
      </c>
      <c r="B334" s="139" t="n">
        <v>434695379106.9175</v>
      </c>
      <c r="C334" s="139" t="n">
        <v>451295000000</v>
      </c>
      <c r="D334" s="47" t="n">
        <v>0.4816089022777977</v>
      </c>
      <c r="E334" s="48" t="inlineStr">
        <is>
          <t>&lt; target</t>
        </is>
      </c>
      <c r="F334" s="47" t="n">
        <v>0.4816089022777977</v>
      </c>
      <c r="G334" s="48" t="inlineStr">
        <is>
          <t>&lt; target</t>
        </is>
      </c>
      <c r="H334" s="47" t="n">
        <v>0.4816089022777977</v>
      </c>
      <c r="I334" s="48" t="inlineStr">
        <is>
          <t>&lt; target</t>
        </is>
      </c>
      <c r="J334" s="47" t="n">
        <v>0.4816089022777977</v>
      </c>
      <c r="K334" s="48" t="inlineStr">
        <is>
          <t>&lt; target</t>
        </is>
      </c>
      <c r="L334" s="47" t="n">
        <v>0.4816089022777977</v>
      </c>
      <c r="M334" s="48" t="inlineStr">
        <is>
          <t>&lt; target</t>
        </is>
      </c>
    </row>
    <row r="335">
      <c r="A335" s="7" t="n">
        <v>331</v>
      </c>
      <c r="B335" s="128" t="n">
        <v>436144363703.9406</v>
      </c>
      <c r="C335" s="128" t="n">
        <v>451295000000</v>
      </c>
      <c r="D335" s="22" t="n">
        <v>0.4832142652853904</v>
      </c>
      <c r="E335" t="inlineStr">
        <is>
          <t>&lt; target</t>
        </is>
      </c>
      <c r="F335" s="22" t="n">
        <v>0.4832142652853904</v>
      </c>
      <c r="G335" t="inlineStr">
        <is>
          <t>&lt; target</t>
        </is>
      </c>
      <c r="H335" s="22" t="n">
        <v>0.4832142652853904</v>
      </c>
      <c r="I335" t="inlineStr">
        <is>
          <t>&lt; target</t>
        </is>
      </c>
      <c r="J335" s="22" t="n">
        <v>0.4832142652853904</v>
      </c>
      <c r="K335" t="inlineStr">
        <is>
          <t>&lt; target</t>
        </is>
      </c>
      <c r="L335" s="22" t="n">
        <v>0.4832142652853904</v>
      </c>
      <c r="M335" t="inlineStr">
        <is>
          <t>&lt; target</t>
        </is>
      </c>
    </row>
    <row r="336">
      <c r="A336" s="45" t="n">
        <v>332</v>
      </c>
      <c r="B336" s="139" t="n">
        <v>437598178249.6204</v>
      </c>
      <c r="C336" s="139" t="n">
        <v>451295000000</v>
      </c>
      <c r="D336" s="47" t="n">
        <v>0.4848249795030084</v>
      </c>
      <c r="E336" s="48" t="inlineStr">
        <is>
          <t>&lt; target</t>
        </is>
      </c>
      <c r="F336" s="47" t="n">
        <v>0.4848249795030084</v>
      </c>
      <c r="G336" s="48" t="inlineStr">
        <is>
          <t>&lt; target</t>
        </is>
      </c>
      <c r="H336" s="47" t="n">
        <v>0.4848249795030084</v>
      </c>
      <c r="I336" s="48" t="inlineStr">
        <is>
          <t>&lt; target</t>
        </is>
      </c>
      <c r="J336" s="47" t="n">
        <v>0.4848249795030084</v>
      </c>
      <c r="K336" s="48" t="inlineStr">
        <is>
          <t>&lt; target</t>
        </is>
      </c>
      <c r="L336" s="47" t="n">
        <v>0.4848249795030084</v>
      </c>
      <c r="M336" s="48" t="inlineStr">
        <is>
          <t>&lt; target</t>
        </is>
      </c>
    </row>
    <row r="337">
      <c r="A337" s="7" t="n">
        <v>333</v>
      </c>
      <c r="B337" s="128" t="n">
        <v>439056838843.7858</v>
      </c>
      <c r="C337" s="128" t="n">
        <v>451295000000</v>
      </c>
      <c r="D337" s="22" t="n">
        <v>0.4864410627680185</v>
      </c>
      <c r="E337" t="inlineStr">
        <is>
          <t>&lt; target</t>
        </is>
      </c>
      <c r="F337" s="22" t="n">
        <v>0.4864410627680185</v>
      </c>
      <c r="G337" t="inlineStr">
        <is>
          <t>&lt; target</t>
        </is>
      </c>
      <c r="H337" s="22" t="n">
        <v>0.4864410627680185</v>
      </c>
      <c r="I337" t="inlineStr">
        <is>
          <t>&lt; target</t>
        </is>
      </c>
      <c r="J337" s="22" t="n">
        <v>0.4864410627680185</v>
      </c>
      <c r="K337" t="inlineStr">
        <is>
          <t>&lt; target</t>
        </is>
      </c>
      <c r="L337" s="22" t="n">
        <v>0.4864410627680185</v>
      </c>
      <c r="M337" t="inlineStr">
        <is>
          <t>&lt; target</t>
        </is>
      </c>
    </row>
    <row r="338">
      <c r="A338" s="45" t="n">
        <v>334</v>
      </c>
      <c r="B338" s="139" t="n">
        <v>440520361639.9318</v>
      </c>
      <c r="C338" s="139" t="n">
        <v>451295000000</v>
      </c>
      <c r="D338" s="47" t="n">
        <v>0.4880625329772453</v>
      </c>
      <c r="E338" s="48" t="inlineStr">
        <is>
          <t>&lt; target</t>
        </is>
      </c>
      <c r="F338" s="47" t="n">
        <v>0.4880625329772453</v>
      </c>
      <c r="G338" s="48" t="inlineStr">
        <is>
          <t>&lt; target</t>
        </is>
      </c>
      <c r="H338" s="47" t="n">
        <v>0.4880625329772453</v>
      </c>
      <c r="I338" s="48" t="inlineStr">
        <is>
          <t>&lt; target</t>
        </is>
      </c>
      <c r="J338" s="47" t="n">
        <v>0.4880625329772453</v>
      </c>
      <c r="K338" s="48" t="inlineStr">
        <is>
          <t>&lt; target</t>
        </is>
      </c>
      <c r="L338" s="47" t="n">
        <v>0.4880625329772453</v>
      </c>
      <c r="M338" s="48" t="inlineStr">
        <is>
          <t>&lt; target</t>
        </is>
      </c>
    </row>
    <row r="339">
      <c r="A339" s="7" t="n">
        <v>335</v>
      </c>
      <c r="B339" s="128" t="n">
        <v>441988762845.3983</v>
      </c>
      <c r="C339" s="128" t="n">
        <v>451295000000</v>
      </c>
      <c r="D339" s="22" t="n">
        <v>0.4896894080871694</v>
      </c>
      <c r="E339" t="inlineStr">
        <is>
          <t>&lt; target</t>
        </is>
      </c>
      <c r="F339" s="22" t="n">
        <v>0.4896894080871694</v>
      </c>
      <c r="G339" t="inlineStr">
        <is>
          <t>&lt; target</t>
        </is>
      </c>
      <c r="H339" s="22" t="n">
        <v>0.4896894080871694</v>
      </c>
      <c r="I339" t="inlineStr">
        <is>
          <t>&lt; target</t>
        </is>
      </c>
      <c r="J339" s="22" t="n">
        <v>0.4896894080871694</v>
      </c>
      <c r="K339" t="inlineStr">
        <is>
          <t>&lt; target</t>
        </is>
      </c>
      <c r="L339" s="22" t="n">
        <v>0.4896894080871694</v>
      </c>
      <c r="M339" t="inlineStr">
        <is>
          <t>&lt; target</t>
        </is>
      </c>
    </row>
    <row r="340">
      <c r="A340" s="45" t="n">
        <v>336</v>
      </c>
      <c r="B340" s="139" t="n">
        <v>443462058721.5496</v>
      </c>
      <c r="C340" s="139" t="n">
        <v>451295000000</v>
      </c>
      <c r="D340" s="47" t="n">
        <v>0.4913217061141267</v>
      </c>
      <c r="E340" s="48" t="inlineStr">
        <is>
          <t>&lt; target</t>
        </is>
      </c>
      <c r="F340" s="47" t="n">
        <v>0.4913217061141267</v>
      </c>
      <c r="G340" s="48" t="inlineStr">
        <is>
          <t>&lt; target</t>
        </is>
      </c>
      <c r="H340" s="47" t="n">
        <v>0.4913217061141267</v>
      </c>
      <c r="I340" s="48" t="inlineStr">
        <is>
          <t>&lt; target</t>
        </is>
      </c>
      <c r="J340" s="47" t="n">
        <v>0.4913217061141267</v>
      </c>
      <c r="K340" s="48" t="inlineStr">
        <is>
          <t>&lt; target</t>
        </is>
      </c>
      <c r="L340" s="47" t="n">
        <v>0.4913217061141267</v>
      </c>
      <c r="M340" s="48" t="inlineStr">
        <is>
          <t>&lt; target</t>
        </is>
      </c>
    </row>
    <row r="341">
      <c r="A341" s="7" t="n">
        <v>337</v>
      </c>
      <c r="B341" s="128" t="n">
        <v>444940265583.9548</v>
      </c>
      <c r="C341" s="128" t="n">
        <v>451295000000</v>
      </c>
      <c r="D341" s="22" t="n">
        <v>0.4929594451345071</v>
      </c>
      <c r="E341" t="inlineStr">
        <is>
          <t>&lt; target</t>
        </is>
      </c>
      <c r="F341" s="22" t="n">
        <v>0.4929594451345071</v>
      </c>
      <c r="G341" t="inlineStr">
        <is>
          <t>&lt; target</t>
        </is>
      </c>
      <c r="H341" s="22" t="n">
        <v>0.4929594451345071</v>
      </c>
      <c r="I341" t="inlineStr">
        <is>
          <t>&lt; target</t>
        </is>
      </c>
      <c r="J341" s="22" t="n">
        <v>0.4929594451345071</v>
      </c>
      <c r="K341" t="inlineStr">
        <is>
          <t>&lt; target</t>
        </is>
      </c>
      <c r="L341" s="22" t="n">
        <v>0.4929594451345071</v>
      </c>
      <c r="M341" t="inlineStr">
        <is>
          <t>&lt; target</t>
        </is>
      </c>
    </row>
    <row r="342">
      <c r="A342" s="45" t="n">
        <v>338</v>
      </c>
      <c r="B342" s="139" t="n">
        <v>446423399802.5681</v>
      </c>
      <c r="C342" s="139" t="n">
        <v>451295000000</v>
      </c>
      <c r="D342" s="47" t="n">
        <v>0.4946026432849556</v>
      </c>
      <c r="E342" s="48" t="inlineStr">
        <is>
          <t>&lt; target</t>
        </is>
      </c>
      <c r="F342" s="47" t="n">
        <v>0.4946026432849556</v>
      </c>
      <c r="G342" s="48" t="inlineStr">
        <is>
          <t>&lt; target</t>
        </is>
      </c>
      <c r="H342" s="47" t="n">
        <v>0.4946026432849556</v>
      </c>
      <c r="I342" s="48" t="inlineStr">
        <is>
          <t>&lt; target</t>
        </is>
      </c>
      <c r="J342" s="47" t="n">
        <v>0.4946026432849556</v>
      </c>
      <c r="K342" s="48" t="inlineStr">
        <is>
          <t>&lt; target</t>
        </is>
      </c>
      <c r="L342" s="47" t="n">
        <v>0.4946026432849556</v>
      </c>
      <c r="M342" s="48" t="inlineStr">
        <is>
          <t>&lt; target</t>
        </is>
      </c>
    </row>
    <row r="343">
      <c r="A343" s="7" t="n">
        <v>339</v>
      </c>
      <c r="B343" s="128" t="n">
        <v>447911477801.91</v>
      </c>
      <c r="C343" s="128" t="n">
        <v>451295000000</v>
      </c>
      <c r="D343" s="22" t="n">
        <v>0.4962513187625721</v>
      </c>
      <c r="E343" t="inlineStr">
        <is>
          <t>&lt; target</t>
        </is>
      </c>
      <c r="F343" s="22" t="n">
        <v>0.4962513187625721</v>
      </c>
      <c r="G343" t="inlineStr">
        <is>
          <t>&lt; target</t>
        </is>
      </c>
      <c r="H343" s="22" t="n">
        <v>0.4962513187625721</v>
      </c>
      <c r="I343" t="inlineStr">
        <is>
          <t>&lt; target</t>
        </is>
      </c>
      <c r="J343" s="22" t="n">
        <v>0.4962513187625721</v>
      </c>
      <c r="K343" t="inlineStr">
        <is>
          <t>&lt; target</t>
        </is>
      </c>
      <c r="L343" s="22" t="n">
        <v>0.4962513187625721</v>
      </c>
      <c r="M343" t="inlineStr">
        <is>
          <t>&lt; target</t>
        </is>
      </c>
    </row>
    <row r="344">
      <c r="A344" s="45" t="n">
        <v>340</v>
      </c>
      <c r="B344" s="139" t="n">
        <v>449404516061.2497</v>
      </c>
      <c r="C344" s="139" t="n">
        <v>451295000000</v>
      </c>
      <c r="D344" s="47" t="n">
        <v>0.4979054898251141</v>
      </c>
      <c r="E344" s="48" t="inlineStr">
        <is>
          <t>&lt; target</t>
        </is>
      </c>
      <c r="F344" s="47" t="n">
        <v>0.4979054898251141</v>
      </c>
      <c r="G344" s="48" t="inlineStr">
        <is>
          <t>&lt; target</t>
        </is>
      </c>
      <c r="H344" s="47" t="n">
        <v>0.4979054898251141</v>
      </c>
      <c r="I344" s="48" t="inlineStr">
        <is>
          <t>&lt; target</t>
        </is>
      </c>
      <c r="J344" s="47" t="n">
        <v>0.4979054898251141</v>
      </c>
      <c r="K344" s="48" t="inlineStr">
        <is>
          <t>&lt; target</t>
        </is>
      </c>
      <c r="L344" s="47" t="n">
        <v>0.4979054898251141</v>
      </c>
      <c r="M344" s="48" t="inlineStr">
        <is>
          <t>&lt; target</t>
        </is>
      </c>
    </row>
    <row r="345">
      <c r="A345" s="7" t="n">
        <v>341</v>
      </c>
      <c r="B345" s="128" t="n">
        <v>450902531114.7872</v>
      </c>
      <c r="C345" s="128" t="n">
        <v>451295000000</v>
      </c>
      <c r="D345" s="22" t="n">
        <v>0.4995651747911978</v>
      </c>
      <c r="E345" t="inlineStr">
        <is>
          <t>&lt; target</t>
        </is>
      </c>
      <c r="F345" s="22" t="n">
        <v>0.4995651747911978</v>
      </c>
      <c r="G345" t="inlineStr">
        <is>
          <t>&lt; target</t>
        </is>
      </c>
      <c r="H345" s="22" t="n">
        <v>0.4995651747911978</v>
      </c>
      <c r="I345" t="inlineStr">
        <is>
          <t>&lt; target</t>
        </is>
      </c>
      <c r="J345" s="22" t="n">
        <v>0.4995651747911978</v>
      </c>
      <c r="K345" t="inlineStr">
        <is>
          <t>&lt; target</t>
        </is>
      </c>
      <c r="L345" s="22" t="n">
        <v>0.4995651747911978</v>
      </c>
      <c r="M345" t="inlineStr">
        <is>
          <t>&lt; target</t>
        </is>
      </c>
    </row>
    <row r="346">
      <c r="A346" s="45" t="n">
        <v>342</v>
      </c>
      <c r="B346" s="139" t="n">
        <v>452405539551.8366</v>
      </c>
      <c r="C346" s="139" t="n">
        <v>451295000000</v>
      </c>
      <c r="D346" s="47" t="n">
        <v>0.5012303920405019</v>
      </c>
      <c r="E346" s="48" t="inlineStr">
        <is>
          <t>&lt; target</t>
        </is>
      </c>
      <c r="F346" s="47" t="n">
        <v>0.5012303920405019</v>
      </c>
      <c r="G346" s="48" t="inlineStr">
        <is>
          <t>&lt; target</t>
        </is>
      </c>
      <c r="H346" s="47" t="n">
        <v>0.5012303920405019</v>
      </c>
      <c r="I346" s="48" t="inlineStr">
        <is>
          <t>&lt; target</t>
        </is>
      </c>
      <c r="J346" s="47" t="n">
        <v>0.5012303920405019</v>
      </c>
      <c r="K346" s="48" t="inlineStr">
        <is>
          <t>&lt; target</t>
        </is>
      </c>
      <c r="L346" s="47" t="n">
        <v>0.5012303920405019</v>
      </c>
      <c r="M346" s="48" t="inlineStr">
        <is>
          <t>&lt; target</t>
        </is>
      </c>
    </row>
    <row r="347">
      <c r="A347" s="7" t="n">
        <v>343</v>
      </c>
      <c r="B347" s="128" t="n">
        <v>453913558017.0093</v>
      </c>
      <c r="C347" s="128" t="n">
        <v>451295000000</v>
      </c>
      <c r="D347" s="22" t="n">
        <v>0.5029011600139702</v>
      </c>
      <c r="E347" t="inlineStr">
        <is>
          <t>&lt; target</t>
        </is>
      </c>
      <c r="F347" s="22" t="n">
        <v>0.5029011600139702</v>
      </c>
      <c r="G347" t="inlineStr">
        <is>
          <t>&lt; target</t>
        </is>
      </c>
      <c r="H347" s="22" t="n">
        <v>0.5029011600139702</v>
      </c>
      <c r="I347" t="inlineStr">
        <is>
          <t>&lt; target</t>
        </is>
      </c>
      <c r="J347" s="22" t="n">
        <v>0.5029011600139702</v>
      </c>
      <c r="K347" t="inlineStr">
        <is>
          <t>&lt; target</t>
        </is>
      </c>
      <c r="L347" s="22" t="n">
        <v>0.5029011600139702</v>
      </c>
      <c r="M347" t="inlineStr">
        <is>
          <t>&lt; target</t>
        </is>
      </c>
    </row>
    <row r="348">
      <c r="A348" s="45" t="n">
        <v>344</v>
      </c>
      <c r="B348" s="139" t="n">
        <v>455426603210.3994</v>
      </c>
      <c r="C348" s="139" t="n">
        <v>451295000000</v>
      </c>
      <c r="D348" s="47" t="n">
        <v>0.5045774972140168</v>
      </c>
      <c r="E348" s="48" t="inlineStr">
        <is>
          <t>&lt; target</t>
        </is>
      </c>
      <c r="F348" s="47" t="n">
        <v>0.5045774972140168</v>
      </c>
      <c r="G348" s="48" t="inlineStr">
        <is>
          <t>&lt; target</t>
        </is>
      </c>
      <c r="H348" s="47" t="n">
        <v>0.5045774972140168</v>
      </c>
      <c r="I348" s="48" t="inlineStr">
        <is>
          <t>&lt; target</t>
        </is>
      </c>
      <c r="J348" s="47" t="n">
        <v>0.5045774972140168</v>
      </c>
      <c r="K348" s="48" t="inlineStr">
        <is>
          <t>&lt; target</t>
        </is>
      </c>
      <c r="L348" s="47" t="n">
        <v>0.5045774972140168</v>
      </c>
      <c r="M348" s="48" t="inlineStr">
        <is>
          <t>&lt; target</t>
        </is>
      </c>
    </row>
    <row r="349">
      <c r="A349" s="7" t="n">
        <v>345</v>
      </c>
      <c r="B349" s="128" t="n">
        <v>456944691887.7675</v>
      </c>
      <c r="C349" s="128" t="n">
        <v>451295000000</v>
      </c>
      <c r="D349" s="22" t="n">
        <v>0.5062594222047302</v>
      </c>
      <c r="E349" t="inlineStr">
        <is>
          <t>&lt; target</t>
        </is>
      </c>
      <c r="F349" s="22" t="n">
        <v>0.5062594222047302</v>
      </c>
      <c r="G349" t="inlineStr">
        <is>
          <t>&lt; target</t>
        </is>
      </c>
      <c r="H349" s="22" t="n">
        <v>0.5062594222047302</v>
      </c>
      <c r="I349" t="inlineStr">
        <is>
          <t>&lt; target</t>
        </is>
      </c>
      <c r="J349" s="22" t="n">
        <v>0.5062594222047302</v>
      </c>
      <c r="K349" t="inlineStr">
        <is>
          <t>&lt; target</t>
        </is>
      </c>
      <c r="L349" s="22" t="n">
        <v>0.5062594222047302</v>
      </c>
      <c r="M349" t="inlineStr">
        <is>
          <t>&lt; target</t>
        </is>
      </c>
    </row>
    <row r="350">
      <c r="A350" s="45" t="n">
        <v>346</v>
      </c>
      <c r="B350" s="139" t="n">
        <v>458467840860.7267</v>
      </c>
      <c r="C350" s="139" t="n">
        <v>451295000000</v>
      </c>
      <c r="D350" s="47" t="n">
        <v>0.5079469536120794</v>
      </c>
      <c r="E350" s="48" t="inlineStr">
        <is>
          <t>&lt; target</t>
        </is>
      </c>
      <c r="F350" s="47" t="n">
        <v>0.5079469536120794</v>
      </c>
      <c r="G350" s="48" t="inlineStr">
        <is>
          <t>&lt; target</t>
        </is>
      </c>
      <c r="H350" s="47" t="n">
        <v>0.5079469536120794</v>
      </c>
      <c r="I350" s="48" t="inlineStr">
        <is>
          <t>&lt; target</t>
        </is>
      </c>
      <c r="J350" s="47" t="n">
        <v>0.5079469536120794</v>
      </c>
      <c r="K350" s="48" t="inlineStr">
        <is>
          <t>&lt; target</t>
        </is>
      </c>
      <c r="L350" s="47" t="n">
        <v>0.5079469536120794</v>
      </c>
      <c r="M350" s="48" t="inlineStr">
        <is>
          <t>&lt; target</t>
        </is>
      </c>
    </row>
    <row r="351">
      <c r="A351" s="7" t="n">
        <v>347</v>
      </c>
      <c r="B351" s="128" t="n">
        <v>459996066996.9292</v>
      </c>
      <c r="C351" s="128" t="n">
        <v>451295000000</v>
      </c>
      <c r="D351" s="22" t="n">
        <v>0.5096401101241197</v>
      </c>
      <c r="E351" t="inlineStr">
        <is>
          <t>&lt; target</t>
        </is>
      </c>
      <c r="F351" s="22" t="n">
        <v>0.5096401101241197</v>
      </c>
      <c r="G351" t="inlineStr">
        <is>
          <t>&lt; target</t>
        </is>
      </c>
      <c r="H351" s="22" t="n">
        <v>0.5096401101241197</v>
      </c>
      <c r="I351" t="inlineStr">
        <is>
          <t>&lt; target</t>
        </is>
      </c>
      <c r="J351" s="22" t="n">
        <v>0.5096401101241197</v>
      </c>
      <c r="K351" t="inlineStr">
        <is>
          <t>&lt; target</t>
        </is>
      </c>
      <c r="L351" s="22" t="n">
        <v>0.5096401101241197</v>
      </c>
      <c r="M351" t="inlineStr">
        <is>
          <t>&lt; target</t>
        </is>
      </c>
    </row>
    <row r="352">
      <c r="A352" s="45" t="n">
        <v>348</v>
      </c>
      <c r="B352" s="139" t="n">
        <v>461529387220.2523</v>
      </c>
      <c r="C352" s="139" t="n">
        <v>451295000000</v>
      </c>
      <c r="D352" s="47" t="n">
        <v>0.5113389104912002</v>
      </c>
      <c r="E352" s="48" t="inlineStr">
        <is>
          <t>&lt; target</t>
        </is>
      </c>
      <c r="F352" s="47" t="n">
        <v>0.5113389104912002</v>
      </c>
      <c r="G352" s="48" t="inlineStr">
        <is>
          <t>&lt; target</t>
        </is>
      </c>
      <c r="H352" s="47" t="n">
        <v>0.5113389104912002</v>
      </c>
      <c r="I352" s="48" t="inlineStr">
        <is>
          <t>&lt; target</t>
        </is>
      </c>
      <c r="J352" s="47" t="n">
        <v>0.5113389104912002</v>
      </c>
      <c r="K352" s="48" t="inlineStr">
        <is>
          <t>&lt; target</t>
        </is>
      </c>
      <c r="L352" s="47" t="n">
        <v>0.5113389104912002</v>
      </c>
      <c r="M352" s="48" t="inlineStr">
        <is>
          <t>&lt; target</t>
        </is>
      </c>
    </row>
    <row r="353">
      <c r="A353" s="7" t="n">
        <v>349</v>
      </c>
      <c r="B353" s="128" t="n">
        <v>463067818510.9865</v>
      </c>
      <c r="C353" s="128" t="n">
        <v>451295000000</v>
      </c>
      <c r="D353" s="22" t="n">
        <v>0.5130433735261708</v>
      </c>
      <c r="E353" t="inlineStr">
        <is>
          <t>&lt; target</t>
        </is>
      </c>
      <c r="F353" s="22" t="n">
        <v>0.5130433735261708</v>
      </c>
      <c r="G353" t="inlineStr">
        <is>
          <t>&lt; target</t>
        </is>
      </c>
      <c r="H353" s="22" t="n">
        <v>0.5130433735261708</v>
      </c>
      <c r="I353" t="inlineStr">
        <is>
          <t>&lt; target</t>
        </is>
      </c>
      <c r="J353" s="22" t="n">
        <v>0.5130433735261708</v>
      </c>
      <c r="K353" t="inlineStr">
        <is>
          <t>&lt; target</t>
        </is>
      </c>
      <c r="L353" s="22" t="n">
        <v>0.5130433735261708</v>
      </c>
      <c r="M353" t="inlineStr">
        <is>
          <t>&lt; target</t>
        </is>
      </c>
    </row>
    <row r="354">
      <c r="A354" s="45" t="n">
        <v>350</v>
      </c>
      <c r="B354" s="139" t="n">
        <v>464611377906.0232</v>
      </c>
      <c r="C354" s="139" t="n">
        <v>451295000000</v>
      </c>
      <c r="D354" s="47" t="n">
        <v>0.5147535181045915</v>
      </c>
      <c r="E354" s="48" t="inlineStr">
        <is>
          <t>&lt; target</t>
        </is>
      </c>
      <c r="F354" s="47" t="n">
        <v>0.5147535181045915</v>
      </c>
      <c r="G354" s="48" t="inlineStr">
        <is>
          <t>&lt; target</t>
        </is>
      </c>
      <c r="H354" s="47" t="n">
        <v>0.5147535181045915</v>
      </c>
      <c r="I354" s="48" t="inlineStr">
        <is>
          <t>&lt; target</t>
        </is>
      </c>
      <c r="J354" s="47" t="n">
        <v>0.5147535181045915</v>
      </c>
      <c r="K354" s="48" t="inlineStr">
        <is>
          <t>&lt; target</t>
        </is>
      </c>
      <c r="L354" s="47" t="n">
        <v>0.5147535181045915</v>
      </c>
      <c r="M354" s="48" t="inlineStr">
        <is>
          <t>&lt; target</t>
        </is>
      </c>
    </row>
    <row r="355">
      <c r="A355" s="7" t="n">
        <v>351</v>
      </c>
      <c r="B355" s="128" t="n">
        <v>466160082499.0433</v>
      </c>
      <c r="C355" s="128" t="n">
        <v>451295000000</v>
      </c>
      <c r="D355" s="22" t="n">
        <v>0.5164693631649401</v>
      </c>
      <c r="E355" t="inlineStr">
        <is>
          <t>&lt; target</t>
        </is>
      </c>
      <c r="F355" s="22" t="n">
        <v>0.5164693631649401</v>
      </c>
      <c r="G355" t="inlineStr">
        <is>
          <t>&lt; target</t>
        </is>
      </c>
      <c r="H355" s="22" t="n">
        <v>0.5164693631649401</v>
      </c>
      <c r="I355" t="inlineStr">
        <is>
          <t>&lt; target</t>
        </is>
      </c>
      <c r="J355" s="22" t="n">
        <v>0.5164693631649401</v>
      </c>
      <c r="K355" t="inlineStr">
        <is>
          <t>&lt; target</t>
        </is>
      </c>
      <c r="L355" s="22" t="n">
        <v>0.5164693631649401</v>
      </c>
      <c r="M355" t="inlineStr">
        <is>
          <t>&lt; target</t>
        </is>
      </c>
    </row>
    <row r="356">
      <c r="A356" s="45" t="n">
        <v>352</v>
      </c>
      <c r="B356" s="139" t="n">
        <v>467713949440.7068</v>
      </c>
      <c r="C356" s="139" t="n">
        <v>451295000000</v>
      </c>
      <c r="D356" s="47" t="n">
        <v>0.5181909277088234</v>
      </c>
      <c r="E356" s="48" t="inlineStr">
        <is>
          <t>&lt; target</t>
        </is>
      </c>
      <c r="F356" s="47" t="n">
        <v>0.5181909277088234</v>
      </c>
      <c r="G356" s="48" t="inlineStr">
        <is>
          <t>&lt; target</t>
        </is>
      </c>
      <c r="H356" s="47" t="n">
        <v>0.5181909277088234</v>
      </c>
      <c r="I356" s="48" t="inlineStr">
        <is>
          <t>&lt; target</t>
        </is>
      </c>
      <c r="J356" s="47" t="n">
        <v>0.5181909277088234</v>
      </c>
      <c r="K356" s="48" t="inlineStr">
        <is>
          <t>&lt; target</t>
        </is>
      </c>
      <c r="L356" s="47" t="n">
        <v>0.5181909277088234</v>
      </c>
      <c r="M356" s="48" t="inlineStr">
        <is>
          <t>&lt; target</t>
        </is>
      </c>
    </row>
    <row r="357">
      <c r="A357" s="7" t="n">
        <v>353</v>
      </c>
      <c r="B357" s="128" t="n">
        <v>469272995938.8426</v>
      </c>
      <c r="C357" s="128" t="n">
        <v>451295000000</v>
      </c>
      <c r="D357" s="22" t="n">
        <v>0.5199182308011862</v>
      </c>
      <c r="E357" t="inlineStr">
        <is>
          <t>&lt; target</t>
        </is>
      </c>
      <c r="F357" s="22" t="n">
        <v>0.5199182308011862</v>
      </c>
      <c r="G357" t="inlineStr">
        <is>
          <t>&lt; target</t>
        </is>
      </c>
      <c r="H357" s="22" t="n">
        <v>0.5199182308011862</v>
      </c>
      <c r="I357" t="inlineStr">
        <is>
          <t>&lt; target</t>
        </is>
      </c>
      <c r="J357" s="22" t="n">
        <v>0.5199182308011862</v>
      </c>
      <c r="K357" t="inlineStr">
        <is>
          <t>&lt; target</t>
        </is>
      </c>
      <c r="L357" s="22" t="n">
        <v>0.5199182308011862</v>
      </c>
      <c r="M357" t="inlineStr">
        <is>
          <t>&lt; target</t>
        </is>
      </c>
    </row>
    <row r="358">
      <c r="A358" s="45" t="n">
        <v>354</v>
      </c>
      <c r="B358" s="139" t="n">
        <v>470837239258.6387</v>
      </c>
      <c r="C358" s="139" t="n">
        <v>451295000000</v>
      </c>
      <c r="D358" s="47" t="n">
        <v>0.5216512915705234</v>
      </c>
      <c r="E358" s="48" t="inlineStr">
        <is>
          <t>&lt; target</t>
        </is>
      </c>
      <c r="F358" s="47" t="n">
        <v>0.5216512915705234</v>
      </c>
      <c r="G358" s="48" t="inlineStr">
        <is>
          <t>&lt; target</t>
        </is>
      </c>
      <c r="H358" s="47" t="n">
        <v>0.5216512915705234</v>
      </c>
      <c r="I358" s="48" t="inlineStr">
        <is>
          <t>&lt; target</t>
        </is>
      </c>
      <c r="J358" s="47" t="n">
        <v>0.5216512915705234</v>
      </c>
      <c r="K358" s="48" t="inlineStr">
        <is>
          <t>&lt; target</t>
        </is>
      </c>
      <c r="L358" s="47" t="n">
        <v>0.5216512915705234</v>
      </c>
      <c r="M358" s="48" t="inlineStr">
        <is>
          <t>&lt; target</t>
        </is>
      </c>
    </row>
    <row r="359">
      <c r="A359" s="7" t="n">
        <v>355</v>
      </c>
      <c r="B359" s="128" t="n">
        <v>472406696722.8342</v>
      </c>
      <c r="C359" s="128" t="n">
        <v>451295000000</v>
      </c>
      <c r="D359" s="22" t="n">
        <v>0.5233901292090919</v>
      </c>
      <c r="E359" t="inlineStr">
        <is>
          <t>&lt; target</t>
        </is>
      </c>
      <c r="F359" s="22" t="n">
        <v>0.5233901292090919</v>
      </c>
      <c r="G359" t="inlineStr">
        <is>
          <t>&lt; target</t>
        </is>
      </c>
      <c r="H359" s="22" t="n">
        <v>0.5233901292090919</v>
      </c>
      <c r="I359" t="inlineStr">
        <is>
          <t>&lt; target</t>
        </is>
      </c>
      <c r="J359" s="22" t="n">
        <v>0.5233901292090919</v>
      </c>
      <c r="K359" t="inlineStr">
        <is>
          <t>&lt; target</t>
        </is>
      </c>
      <c r="L359" s="22" t="n">
        <v>0.5233901292090919</v>
      </c>
      <c r="M359" t="inlineStr">
        <is>
          <t>&lt; target</t>
        </is>
      </c>
    </row>
    <row r="360">
      <c r="A360" s="45" t="n">
        <v>356</v>
      </c>
      <c r="B360" s="139" t="n">
        <v>473981385711.9104</v>
      </c>
      <c r="C360" s="139" t="n">
        <v>451295000000</v>
      </c>
      <c r="D360" s="47" t="n">
        <v>0.5251347629731222</v>
      </c>
      <c r="E360" s="48" t="inlineStr">
        <is>
          <t>&lt; target</t>
        </is>
      </c>
      <c r="F360" s="47" t="n">
        <v>0.5251347629731222</v>
      </c>
      <c r="G360" s="48" t="inlineStr">
        <is>
          <t>&lt; target</t>
        </is>
      </c>
      <c r="H360" s="47" t="n">
        <v>0.5251347629731222</v>
      </c>
      <c r="I360" s="48" t="inlineStr">
        <is>
          <t>&lt; target</t>
        </is>
      </c>
      <c r="J360" s="47" t="n">
        <v>0.5251347629731222</v>
      </c>
      <c r="K360" s="48" t="inlineStr">
        <is>
          <t>&lt; target</t>
        </is>
      </c>
      <c r="L360" s="47" t="n">
        <v>0.5251347629731222</v>
      </c>
      <c r="M360" s="48" t="inlineStr">
        <is>
          <t>&lt; target</t>
        </is>
      </c>
    </row>
    <row r="361">
      <c r="A361" s="7" t="n">
        <v>357</v>
      </c>
      <c r="B361" s="128" t="n">
        <v>475561323664.2834</v>
      </c>
      <c r="C361" s="128" t="n">
        <v>451295000000</v>
      </c>
      <c r="D361" s="22" t="n">
        <v>0.5268852121830326</v>
      </c>
      <c r="E361" t="inlineStr">
        <is>
          <t>&lt; target</t>
        </is>
      </c>
      <c r="F361" s="22" t="n">
        <v>0.5268852121830326</v>
      </c>
      <c r="G361" t="inlineStr">
        <is>
          <t>&lt; target</t>
        </is>
      </c>
      <c r="H361" s="22" t="n">
        <v>0.5268852121830326</v>
      </c>
      <c r="I361" t="inlineStr">
        <is>
          <t>&lt; target</t>
        </is>
      </c>
      <c r="J361" s="22" t="n">
        <v>0.5268852121830326</v>
      </c>
      <c r="K361" t="inlineStr">
        <is>
          <t>&lt; target</t>
        </is>
      </c>
      <c r="L361" s="22" t="n">
        <v>0.5268852121830326</v>
      </c>
      <c r="M361" t="inlineStr">
        <is>
          <t>&lt; target</t>
        </is>
      </c>
    </row>
    <row r="362">
      <c r="A362" s="45" t="n">
        <v>358</v>
      </c>
      <c r="B362" s="139" t="n">
        <v>477146528076.4978</v>
      </c>
      <c r="C362" s="139" t="n">
        <v>451295000000</v>
      </c>
      <c r="D362" s="47" t="n">
        <v>0.5286414962236429</v>
      </c>
      <c r="E362" s="48" t="inlineStr">
        <is>
          <t>&lt; target</t>
        </is>
      </c>
      <c r="F362" s="47" t="n">
        <v>0.5286414962236429</v>
      </c>
      <c r="G362" s="48" t="inlineStr">
        <is>
          <t>&lt; target</t>
        </is>
      </c>
      <c r="H362" s="47" t="n">
        <v>0.5286414962236429</v>
      </c>
      <c r="I362" s="48" t="inlineStr">
        <is>
          <t>&lt; target</t>
        </is>
      </c>
      <c r="J362" s="47" t="n">
        <v>0.5286414962236429</v>
      </c>
      <c r="K362" s="48" t="inlineStr">
        <is>
          <t>&lt; target</t>
        </is>
      </c>
      <c r="L362" s="47" t="n">
        <v>0.5286414962236429</v>
      </c>
      <c r="M362" s="48" t="inlineStr">
        <is>
          <t>&lt; target</t>
        </is>
      </c>
    </row>
    <row r="363">
      <c r="A363" s="7" t="n">
        <v>359</v>
      </c>
      <c r="B363" s="128" t="n">
        <v>478737016503.4194</v>
      </c>
      <c r="C363" s="128" t="n">
        <v>451295000000</v>
      </c>
      <c r="D363" s="22" t="n">
        <v>0.5304036345443883</v>
      </c>
      <c r="E363" t="inlineStr">
        <is>
          <t>&lt; target</t>
        </is>
      </c>
      <c r="F363" s="22" t="n">
        <v>0.5304036345443883</v>
      </c>
      <c r="G363" t="inlineStr">
        <is>
          <t>&lt; target</t>
        </is>
      </c>
      <c r="H363" s="22" t="n">
        <v>0.5304036345443883</v>
      </c>
      <c r="I363" t="inlineStr">
        <is>
          <t>&lt; target</t>
        </is>
      </c>
      <c r="J363" s="22" t="n">
        <v>0.5304036345443883</v>
      </c>
      <c r="K363" t="inlineStr">
        <is>
          <t>&lt; target</t>
        </is>
      </c>
      <c r="L363" s="22" t="n">
        <v>0.5304036345443883</v>
      </c>
      <c r="M363" t="inlineStr">
        <is>
          <t>&lt; target</t>
        </is>
      </c>
    </row>
    <row r="364">
      <c r="A364" s="45" t="n">
        <v>360</v>
      </c>
      <c r="B364" s="139" t="n">
        <v>480332806558.4309</v>
      </c>
      <c r="C364" s="139" t="n">
        <v>451295000000</v>
      </c>
      <c r="D364" s="47" t="n">
        <v>0.5321716466595363</v>
      </c>
      <c r="E364" s="48" t="inlineStr">
        <is>
          <t>&lt; target</t>
        </is>
      </c>
      <c r="F364" s="47" t="n">
        <v>0.5321716466595363</v>
      </c>
      <c r="G364" s="48" t="inlineStr">
        <is>
          <t>&lt; target</t>
        </is>
      </c>
      <c r="H364" s="47" t="n">
        <v>0.5321716466595363</v>
      </c>
      <c r="I364" s="48" t="inlineStr">
        <is>
          <t>&lt; target</t>
        </is>
      </c>
      <c r="J364" s="47" t="n">
        <v>0.5321716466595363</v>
      </c>
      <c r="K364" s="48" t="inlineStr">
        <is>
          <t>&lt; target</t>
        </is>
      </c>
      <c r="L364" s="47" t="n">
        <v>0.5321716466595363</v>
      </c>
      <c r="M364" s="48" t="inlineStr">
        <is>
          <t>&lt; target</t>
        </is>
      </c>
    </row>
    <row r="365">
      <c r="A365" s="7" t="n">
        <v>361</v>
      </c>
      <c r="B365" s="128" t="n">
        <v>481933915913.6257</v>
      </c>
      <c r="C365" s="128" t="n">
        <v>451295000000</v>
      </c>
      <c r="D365" s="22" t="n">
        <v>0.5339455521484016</v>
      </c>
      <c r="E365" t="inlineStr">
        <is>
          <t>&lt; target</t>
        </is>
      </c>
      <c r="F365" s="22" t="n">
        <v>0.5339455521484016</v>
      </c>
      <c r="G365" t="inlineStr">
        <is>
          <t>&lt; target</t>
        </is>
      </c>
      <c r="H365" s="22" t="n">
        <v>0.5339455521484016</v>
      </c>
      <c r="I365" t="inlineStr">
        <is>
          <t>&lt; target</t>
        </is>
      </c>
      <c r="J365" s="22" t="n">
        <v>0.5339455521484016</v>
      </c>
      <c r="K365" t="inlineStr">
        <is>
          <t>&lt; target</t>
        </is>
      </c>
      <c r="L365" s="22" t="n">
        <v>0.5339455521484016</v>
      </c>
      <c r="M365" t="inlineStr">
        <is>
          <t>&lt; target</t>
        </is>
      </c>
    </row>
    <row r="366">
      <c r="A366" s="45" t="n">
        <v>362</v>
      </c>
      <c r="B366" s="139" t="n">
        <v>483540362300.0045</v>
      </c>
      <c r="C366" s="139" t="n">
        <v>451295000000</v>
      </c>
      <c r="D366" s="47" t="n">
        <v>0.5357253706555629</v>
      </c>
      <c r="E366" s="48" t="inlineStr">
        <is>
          <t>&lt; target</t>
        </is>
      </c>
      <c r="F366" s="47" t="n">
        <v>0.5357253706555629</v>
      </c>
      <c r="G366" s="48" t="inlineStr">
        <is>
          <t>&lt; target</t>
        </is>
      </c>
      <c r="H366" s="47" t="n">
        <v>0.5357253706555629</v>
      </c>
      <c r="I366" s="48" t="inlineStr">
        <is>
          <t>&lt; target</t>
        </is>
      </c>
      <c r="J366" s="47" t="n">
        <v>0.5357253706555629</v>
      </c>
      <c r="K366" s="48" t="inlineStr">
        <is>
          <t>&lt; target</t>
        </is>
      </c>
      <c r="L366" s="47" t="n">
        <v>0.5357253706555629</v>
      </c>
      <c r="M366" s="48" t="inlineStr">
        <is>
          <t>&lt; target</t>
        </is>
      </c>
    </row>
    <row r="367">
      <c r="A367" s="7" t="n">
        <v>363</v>
      </c>
      <c r="B367" s="128" t="n">
        <v>485152163507.6713</v>
      </c>
      <c r="C367" s="128" t="n">
        <v>451295000000</v>
      </c>
      <c r="D367" s="22" t="n">
        <v>0.5375111218910815</v>
      </c>
      <c r="E367" t="inlineStr">
        <is>
          <t>&lt; target</t>
        </is>
      </c>
      <c r="F367" s="22" t="n">
        <v>0.5375111218910815</v>
      </c>
      <c r="G367" t="inlineStr">
        <is>
          <t>&lt; target</t>
        </is>
      </c>
      <c r="H367" s="22" t="n">
        <v>0.5375111218910815</v>
      </c>
      <c r="I367" t="inlineStr">
        <is>
          <t>&lt; target</t>
        </is>
      </c>
      <c r="J367" s="22" t="n">
        <v>0.5375111218910815</v>
      </c>
      <c r="K367" t="inlineStr">
        <is>
          <t>&lt; target</t>
        </is>
      </c>
      <c r="L367" s="22" t="n">
        <v>0.5375111218910815</v>
      </c>
      <c r="M367" t="inlineStr">
        <is>
          <t>&lt; target</t>
        </is>
      </c>
    </row>
    <row r="368">
      <c r="A368" s="45" t="n">
        <v>364</v>
      </c>
      <c r="B368" s="139" t="n">
        <v>486769337386.0302</v>
      </c>
      <c r="C368" s="139" t="n">
        <v>451295000000</v>
      </c>
      <c r="D368" s="47" t="n">
        <v>0.5393028256307184</v>
      </c>
      <c r="E368" s="48" t="inlineStr">
        <is>
          <t>&lt; target</t>
        </is>
      </c>
      <c r="F368" s="47" t="n">
        <v>0.5393028256307184</v>
      </c>
      <c r="G368" s="48" t="inlineStr">
        <is>
          <t>&lt; target</t>
        </is>
      </c>
      <c r="H368" s="47" t="n">
        <v>0.5393028256307184</v>
      </c>
      <c r="I368" s="48" t="inlineStr">
        <is>
          <t>&lt; target</t>
        </is>
      </c>
      <c r="J368" s="47" t="n">
        <v>0.5393028256307184</v>
      </c>
      <c r="K368" s="48" t="inlineStr">
        <is>
          <t>&lt; target</t>
        </is>
      </c>
      <c r="L368" s="47" t="n">
        <v>0.5393028256307184</v>
      </c>
      <c r="M368" s="48" t="inlineStr">
        <is>
          <t>&lt; target</t>
        </is>
      </c>
    </row>
    <row r="369">
      <c r="A369" s="7" t="n">
        <v>365</v>
      </c>
      <c r="B369" s="128" t="n">
        <v>488391901843.9836</v>
      </c>
      <c r="C369" s="128" t="n">
        <v>451295000000</v>
      </c>
      <c r="D369" s="22" t="n">
        <v>0.5411005017161542</v>
      </c>
      <c r="E369" t="inlineStr">
        <is>
          <t>&lt; target</t>
        </is>
      </c>
      <c r="F369" s="22" t="n">
        <v>0.5411005017161542</v>
      </c>
      <c r="G369" t="inlineStr">
        <is>
          <t>&lt; target</t>
        </is>
      </c>
      <c r="H369" s="22" t="n">
        <v>0.5411005017161542</v>
      </c>
      <c r="I369" t="inlineStr">
        <is>
          <t>&lt; target</t>
        </is>
      </c>
      <c r="J369" s="22" t="n">
        <v>0.5411005017161542</v>
      </c>
      <c r="K369" t="inlineStr">
        <is>
          <t>&lt; target</t>
        </is>
      </c>
      <c r="L369" s="22" t="n">
        <v>0.5411005017161542</v>
      </c>
      <c r="M369" t="inlineStr">
        <is>
          <t>&lt; target</t>
        </is>
      </c>
    </row>
    <row r="370">
      <c r="A370" s="45" t="n">
        <v>366</v>
      </c>
      <c r="B370" s="139" t="n">
        <v>490019874850.1302</v>
      </c>
      <c r="C370" s="139" t="n">
        <v>451295000000</v>
      </c>
      <c r="D370" s="47" t="n">
        <v>0.5429041700552081</v>
      </c>
      <c r="E370" s="48" t="inlineStr">
        <is>
          <t>&lt; target</t>
        </is>
      </c>
      <c r="F370" s="47" t="n">
        <v>0.5429041700552081</v>
      </c>
      <c r="G370" s="48" t="inlineStr">
        <is>
          <t>&lt; target</t>
        </is>
      </c>
      <c r="H370" s="47" t="n">
        <v>0.5429041700552081</v>
      </c>
      <c r="I370" s="48" t="inlineStr">
        <is>
          <t>&lt; target</t>
        </is>
      </c>
      <c r="J370" s="47" t="n">
        <v>0.5429041700552081</v>
      </c>
      <c r="K370" s="48" t="inlineStr">
        <is>
          <t>&lt; target</t>
        </is>
      </c>
      <c r="L370" s="47" t="n">
        <v>0.5429041700552081</v>
      </c>
      <c r="M370" s="48" t="inlineStr">
        <is>
          <t>&lt; target</t>
        </is>
      </c>
    </row>
    <row r="371">
      <c r="A371" s="7" t="n">
        <v>367</v>
      </c>
      <c r="B371" s="128" t="n">
        <v>491653274432.9641</v>
      </c>
      <c r="C371" s="128" t="n">
        <v>451295000000</v>
      </c>
      <c r="D371" s="22" t="n">
        <v>0.5447138506220589</v>
      </c>
      <c r="E371" t="inlineStr">
        <is>
          <t>&lt; target</t>
        </is>
      </c>
      <c r="F371" s="22" t="n">
        <v>0.5447138506220589</v>
      </c>
      <c r="G371" t="inlineStr">
        <is>
          <t>&lt; target</t>
        </is>
      </c>
      <c r="H371" s="22" t="n">
        <v>0.5447138506220589</v>
      </c>
      <c r="I371" t="inlineStr">
        <is>
          <t>&lt; target</t>
        </is>
      </c>
      <c r="J371" s="22" t="n">
        <v>0.5447138506220589</v>
      </c>
      <c r="K371" t="inlineStr">
        <is>
          <t>&lt; target</t>
        </is>
      </c>
      <c r="L371" s="22" t="n">
        <v>0.5447138506220589</v>
      </c>
      <c r="M371" t="inlineStr">
        <is>
          <t>&lt; target</t>
        </is>
      </c>
    </row>
    <row r="372">
      <c r="A372" s="45" t="n">
        <v>368</v>
      </c>
      <c r="B372" s="139" t="n">
        <v>493292118681.074</v>
      </c>
      <c r="C372" s="139" t="n">
        <v>451295000000</v>
      </c>
      <c r="D372" s="47" t="n">
        <v>0.5465295634574657</v>
      </c>
      <c r="E372" s="48" t="inlineStr">
        <is>
          <t>&lt; target</t>
        </is>
      </c>
      <c r="F372" s="47" t="n">
        <v>0.5465295634574657</v>
      </c>
      <c r="G372" s="48" t="inlineStr">
        <is>
          <t>&lt; target</t>
        </is>
      </c>
      <c r="H372" s="47" t="n">
        <v>0.5465295634574657</v>
      </c>
      <c r="I372" s="48" t="inlineStr">
        <is>
          <t>&lt; target</t>
        </is>
      </c>
      <c r="J372" s="47" t="n">
        <v>0.5465295634574657</v>
      </c>
      <c r="K372" s="48" t="inlineStr">
        <is>
          <t>&lt; target</t>
        </is>
      </c>
      <c r="L372" s="47" t="n">
        <v>0.5465295634574657</v>
      </c>
      <c r="M372" s="48" t="inlineStr">
        <is>
          <t>&lt; target</t>
        </is>
      </c>
    </row>
    <row r="373">
      <c r="A373" s="7" t="n">
        <v>369</v>
      </c>
      <c r="B373" s="128" t="n">
        <v>494936425743.3442</v>
      </c>
      <c r="C373" s="128" t="n">
        <v>451295000000</v>
      </c>
      <c r="D373" s="22" t="n">
        <v>0.5483513286689906</v>
      </c>
      <c r="E373" t="inlineStr">
        <is>
          <t>&lt; target</t>
        </is>
      </c>
      <c r="F373" s="22" t="n">
        <v>0.5483513286689906</v>
      </c>
      <c r="G373" t="inlineStr">
        <is>
          <t>&lt; target</t>
        </is>
      </c>
      <c r="H373" s="22" t="n">
        <v>0.5483513286689906</v>
      </c>
      <c r="I373" t="inlineStr">
        <is>
          <t>&lt; target</t>
        </is>
      </c>
      <c r="J373" s="22" t="n">
        <v>0.5483513286689906</v>
      </c>
      <c r="K373" t="inlineStr">
        <is>
          <t>&lt; target</t>
        </is>
      </c>
      <c r="L373" s="22" t="n">
        <v>0.5483513286689906</v>
      </c>
      <c r="M373" t="inlineStr">
        <is>
          <t>&lt; target</t>
        </is>
      </c>
    </row>
    <row r="374">
      <c r="A374" s="45" t="n">
        <v>370</v>
      </c>
      <c r="B374" s="139" t="n">
        <v>496586213829.1555</v>
      </c>
      <c r="C374" s="139" t="n">
        <v>451295000000</v>
      </c>
      <c r="D374" s="47" t="n">
        <v>0.5501791664312207</v>
      </c>
      <c r="E374" s="48" t="inlineStr">
        <is>
          <t>&lt; target</t>
        </is>
      </c>
      <c r="F374" s="47" t="n">
        <v>0.5501791664312207</v>
      </c>
      <c r="G374" s="48" t="inlineStr">
        <is>
          <t>&lt; target</t>
        </is>
      </c>
      <c r="H374" s="47" t="n">
        <v>0.5501791664312207</v>
      </c>
      <c r="I374" s="48" t="inlineStr">
        <is>
          <t>&lt; target</t>
        </is>
      </c>
      <c r="J374" s="47" t="n">
        <v>0.5501791664312207</v>
      </c>
      <c r="K374" s="48" t="inlineStr">
        <is>
          <t>&lt; target</t>
        </is>
      </c>
      <c r="L374" s="47" t="n">
        <v>0.5501791664312207</v>
      </c>
      <c r="M374" s="48" t="inlineStr">
        <is>
          <t>&lt; target</t>
        </is>
      </c>
    </row>
    <row r="375">
      <c r="A375" s="7" t="n">
        <v>371</v>
      </c>
      <c r="B375" s="128" t="n">
        <v>498241501208.5861</v>
      </c>
      <c r="C375" s="128" t="n">
        <v>451295000000</v>
      </c>
      <c r="D375" s="22" t="n">
        <v>0.5520130969859914</v>
      </c>
      <c r="E375" t="inlineStr">
        <is>
          <t>&lt; target</t>
        </is>
      </c>
      <c r="F375" s="22" t="n">
        <v>0.5520130969859914</v>
      </c>
      <c r="G375" t="inlineStr">
        <is>
          <t>&lt; target</t>
        </is>
      </c>
      <c r="H375" s="22" t="n">
        <v>0.5520130969859914</v>
      </c>
      <c r="I375" t="inlineStr">
        <is>
          <t>&lt; target</t>
        </is>
      </c>
      <c r="J375" s="22" t="n">
        <v>0.5520130969859914</v>
      </c>
      <c r="K375" t="inlineStr">
        <is>
          <t>&lt; target</t>
        </is>
      </c>
      <c r="L375" s="22" t="n">
        <v>0.5520130969859914</v>
      </c>
      <c r="M375" t="inlineStr">
        <is>
          <t>&lt; target</t>
        </is>
      </c>
    </row>
    <row r="376">
      <c r="A376" s="45" t="n">
        <v>372</v>
      </c>
      <c r="B376" s="139" t="n">
        <v>499902306212.6147</v>
      </c>
      <c r="C376" s="139" t="n">
        <v>451295000000</v>
      </c>
      <c r="D376" s="47" t="n">
        <v>0.5538531406426115</v>
      </c>
      <c r="E376" s="48" t="inlineStr">
        <is>
          <t>&lt; target</t>
        </is>
      </c>
      <c r="F376" s="47" t="n">
        <v>0.5538531406426115</v>
      </c>
      <c r="G376" s="48" t="inlineStr">
        <is>
          <t>&lt; target</t>
        </is>
      </c>
      <c r="H376" s="47" t="n">
        <v>0.5538531406426115</v>
      </c>
      <c r="I376" s="48" t="inlineStr">
        <is>
          <t>&lt; target</t>
        </is>
      </c>
      <c r="J376" s="47" t="n">
        <v>0.5538531406426115</v>
      </c>
      <c r="K376" s="48" t="inlineStr">
        <is>
          <t>&lt; target</t>
        </is>
      </c>
      <c r="L376" s="47" t="n">
        <v>0.5538531406426115</v>
      </c>
      <c r="M376" s="48" t="inlineStr">
        <is>
          <t>&lt; target</t>
        </is>
      </c>
    </row>
    <row r="377">
      <c r="A377" s="7" t="n">
        <v>373</v>
      </c>
      <c r="B377" s="128" t="n">
        <v>501568647233.3235</v>
      </c>
      <c r="C377" s="128" t="n">
        <v>451295000000</v>
      </c>
      <c r="D377" s="22" t="n">
        <v>0.5556993177780869</v>
      </c>
      <c r="E377" t="inlineStr">
        <is>
          <t>&lt; target</t>
        </is>
      </c>
      <c r="F377" s="22" t="n">
        <v>0.5556993177780869</v>
      </c>
      <c r="G377" t="inlineStr">
        <is>
          <t>&lt; target</t>
        </is>
      </c>
      <c r="H377" s="22" t="n">
        <v>0.5556993177780869</v>
      </c>
      <c r="I377" t="inlineStr">
        <is>
          <t>&lt; target</t>
        </is>
      </c>
      <c r="J377" s="22" t="n">
        <v>0.5556993177780869</v>
      </c>
      <c r="K377" t="inlineStr">
        <is>
          <t>&lt; target</t>
        </is>
      </c>
      <c r="L377" s="22" t="n">
        <v>0.5556993177780869</v>
      </c>
      <c r="M377" t="inlineStr">
        <is>
          <t>&lt; target</t>
        </is>
      </c>
    </row>
    <row r="378">
      <c r="A378" s="45" t="n">
        <v>374</v>
      </c>
      <c r="B378" s="139" t="n">
        <v>503240542724.1012</v>
      </c>
      <c r="C378" s="139" t="n">
        <v>451295000000</v>
      </c>
      <c r="D378" s="47" t="n">
        <v>0.5575516488373472</v>
      </c>
      <c r="E378" s="48" t="inlineStr">
        <is>
          <t>&lt; target</t>
        </is>
      </c>
      <c r="F378" s="47" t="n">
        <v>0.5575516488373472</v>
      </c>
      <c r="G378" s="48" t="inlineStr">
        <is>
          <t>&lt; target</t>
        </is>
      </c>
      <c r="H378" s="47" t="n">
        <v>0.5575516488373472</v>
      </c>
      <c r="I378" s="48" t="inlineStr">
        <is>
          <t>&lt; target</t>
        </is>
      </c>
      <c r="J378" s="47" t="n">
        <v>0.5575516488373472</v>
      </c>
      <c r="K378" s="48" t="inlineStr">
        <is>
          <t>&lt; target</t>
        </is>
      </c>
      <c r="L378" s="47" t="n">
        <v>0.5575516488373472</v>
      </c>
      <c r="M378" s="48" t="inlineStr">
        <is>
          <t>&lt; target</t>
        </is>
      </c>
    </row>
    <row r="379">
      <c r="A379" s="7" t="n">
        <v>375</v>
      </c>
      <c r="B379" s="128" t="n">
        <v>504918011199.8483</v>
      </c>
      <c r="C379" s="128" t="n">
        <v>451295000000</v>
      </c>
      <c r="D379" s="22" t="n">
        <v>0.5594101543334717</v>
      </c>
      <c r="E379" t="inlineStr">
        <is>
          <t>&lt; target</t>
        </is>
      </c>
      <c r="F379" s="22" t="n">
        <v>0.5594101543334717</v>
      </c>
      <c r="G379" t="inlineStr">
        <is>
          <t>&lt; target</t>
        </is>
      </c>
      <c r="H379" s="22" t="n">
        <v>0.5594101543334717</v>
      </c>
      <c r="I379" t="inlineStr">
        <is>
          <t>&lt; target</t>
        </is>
      </c>
      <c r="J379" s="22" t="n">
        <v>0.5594101543334717</v>
      </c>
      <c r="K379" t="inlineStr">
        <is>
          <t>&lt; target</t>
        </is>
      </c>
      <c r="L379" s="22" t="n">
        <v>0.5594101543334717</v>
      </c>
      <c r="M379" t="inlineStr">
        <is>
          <t>&lt; target</t>
        </is>
      </c>
    </row>
    <row r="380">
      <c r="A380" s="45" t="n">
        <v>376</v>
      </c>
      <c r="B380" s="139" t="n">
        <v>506601071237.1811</v>
      </c>
      <c r="C380" s="139" t="n">
        <v>451295000000</v>
      </c>
      <c r="D380" s="47" t="n">
        <v>0.5612748548479166</v>
      </c>
      <c r="E380" s="48" t="inlineStr">
        <is>
          <t>&lt; target</t>
        </is>
      </c>
      <c r="F380" s="47" t="n">
        <v>0.5612748548479166</v>
      </c>
      <c r="G380" s="48" t="inlineStr">
        <is>
          <t>&lt; target</t>
        </is>
      </c>
      <c r="H380" s="47" t="n">
        <v>0.5612748548479166</v>
      </c>
      <c r="I380" s="48" t="inlineStr">
        <is>
          <t>&lt; target</t>
        </is>
      </c>
      <c r="J380" s="47" t="n">
        <v>0.5612748548479166</v>
      </c>
      <c r="K380" s="48" t="inlineStr">
        <is>
          <t>&lt; target</t>
        </is>
      </c>
      <c r="L380" s="47" t="n">
        <v>0.5612748548479166</v>
      </c>
      <c r="M380" s="48" t="inlineStr">
        <is>
          <t>&lt; target</t>
        </is>
      </c>
    </row>
    <row r="381">
      <c r="A381" s="7" t="n">
        <v>377</v>
      </c>
      <c r="B381" s="128" t="n">
        <v>508289741474.6384</v>
      </c>
      <c r="C381" s="128" t="n">
        <v>451295000000</v>
      </c>
      <c r="D381" s="22" t="n">
        <v>0.5631457710307431</v>
      </c>
      <c r="E381" t="inlineStr">
        <is>
          <t>&lt; target</t>
        </is>
      </c>
      <c r="F381" s="22" t="n">
        <v>0.5631457710307431</v>
      </c>
      <c r="G381" t="inlineStr">
        <is>
          <t>&lt; target</t>
        </is>
      </c>
      <c r="H381" s="22" t="n">
        <v>0.5631457710307431</v>
      </c>
      <c r="I381" t="inlineStr">
        <is>
          <t>&lt; target</t>
        </is>
      </c>
      <c r="J381" s="22" t="n">
        <v>0.5631457710307431</v>
      </c>
      <c r="K381" t="inlineStr">
        <is>
          <t>&lt; target</t>
        </is>
      </c>
      <c r="L381" s="22" t="n">
        <v>0.5631457710307431</v>
      </c>
      <c r="M381" t="inlineStr">
        <is>
          <t>&lt; target</t>
        </is>
      </c>
    </row>
    <row r="382">
      <c r="A382" s="45" t="n">
        <v>378</v>
      </c>
      <c r="B382" s="139" t="n">
        <v>509984040612.8873</v>
      </c>
      <c r="C382" s="139" t="n">
        <v>451295000000</v>
      </c>
      <c r="D382" s="47" t="n">
        <v>0.5650229236008456</v>
      </c>
      <c r="E382" s="48" t="inlineStr">
        <is>
          <t>&lt; target</t>
        </is>
      </c>
      <c r="F382" s="47" t="n">
        <v>0.5650229236008456</v>
      </c>
      <c r="G382" s="48" t="inlineStr">
        <is>
          <t>&lt; target</t>
        </is>
      </c>
      <c r="H382" s="47" t="n">
        <v>0.5650229236008456</v>
      </c>
      <c r="I382" s="48" t="inlineStr">
        <is>
          <t>&lt; target</t>
        </is>
      </c>
      <c r="J382" s="47" t="n">
        <v>0.5650229236008456</v>
      </c>
      <c r="K382" s="48" t="inlineStr">
        <is>
          <t>&lt; target</t>
        </is>
      </c>
      <c r="L382" s="47" t="n">
        <v>0.5650229236008456</v>
      </c>
      <c r="M382" s="48" t="inlineStr">
        <is>
          <t>&lt; target</t>
        </is>
      </c>
    </row>
    <row r="383">
      <c r="A383" s="7" t="n">
        <v>379</v>
      </c>
      <c r="B383" s="128" t="n">
        <v>511683987414.9303</v>
      </c>
      <c r="C383" s="128" t="n">
        <v>451295000000</v>
      </c>
      <c r="D383" s="22" t="n">
        <v>0.5669063333461819</v>
      </c>
      <c r="E383" t="inlineStr">
        <is>
          <t>&lt; target</t>
        </is>
      </c>
      <c r="F383" s="22" t="n">
        <v>0.5669063333461819</v>
      </c>
      <c r="G383" t="inlineStr">
        <is>
          <t>&lt; target</t>
        </is>
      </c>
      <c r="H383" s="22" t="n">
        <v>0.5669063333461819</v>
      </c>
      <c r="I383" t="inlineStr">
        <is>
          <t>&lt; target</t>
        </is>
      </c>
      <c r="J383" s="22" t="n">
        <v>0.5669063333461819</v>
      </c>
      <c r="K383" t="inlineStr">
        <is>
          <t>&lt; target</t>
        </is>
      </c>
      <c r="L383" s="22" t="n">
        <v>0.5669063333461819</v>
      </c>
      <c r="M383" t="inlineStr">
        <is>
          <t>&lt; target</t>
        </is>
      </c>
    </row>
    <row r="384">
      <c r="A384" s="45" t="n">
        <v>380</v>
      </c>
      <c r="B384" s="139" t="n">
        <v>513389600706.3134</v>
      </c>
      <c r="C384" s="139" t="n">
        <v>451295000000</v>
      </c>
      <c r="D384" s="47" t="n">
        <v>0.5687960211240024</v>
      </c>
      <c r="E384" s="48" t="inlineStr">
        <is>
          <t>&lt; target</t>
        </is>
      </c>
      <c r="F384" s="47" t="n">
        <v>0.5687960211240024</v>
      </c>
      <c r="G384" s="48" t="inlineStr">
        <is>
          <t>&lt; target</t>
        </is>
      </c>
      <c r="H384" s="47" t="n">
        <v>0.5687960211240024</v>
      </c>
      <c r="I384" s="48" t="inlineStr">
        <is>
          <t>&lt; target</t>
        </is>
      </c>
      <c r="J384" s="47" t="n">
        <v>0.5687960211240024</v>
      </c>
      <c r="K384" s="48" t="inlineStr">
        <is>
          <t>&lt; target</t>
        </is>
      </c>
      <c r="L384" s="47" t="n">
        <v>0.5687960211240024</v>
      </c>
      <c r="M384" s="48" t="inlineStr">
        <is>
          <t>&lt; target</t>
        </is>
      </c>
    </row>
    <row r="385">
      <c r="A385" s="7" t="n">
        <v>381</v>
      </c>
      <c r="B385" s="128" t="n">
        <v>515100899375.3345</v>
      </c>
      <c r="C385" s="128" t="n">
        <v>451295000000</v>
      </c>
      <c r="D385" s="22" t="n">
        <v>0.5706920078610825</v>
      </c>
      <c r="E385" t="inlineStr">
        <is>
          <t>&lt; target</t>
        </is>
      </c>
      <c r="F385" s="22" t="n">
        <v>0.5706920078610825</v>
      </c>
      <c r="G385" t="inlineStr">
        <is>
          <t>&lt; target</t>
        </is>
      </c>
      <c r="H385" s="22" t="n">
        <v>0.5706920078610825</v>
      </c>
      <c r="I385" t="inlineStr">
        <is>
          <t>&lt; target</t>
        </is>
      </c>
      <c r="J385" s="22" t="n">
        <v>0.5706920078610825</v>
      </c>
      <c r="K385" t="inlineStr">
        <is>
          <t>&lt; target</t>
        </is>
      </c>
      <c r="L385" s="22" t="n">
        <v>0.5706920078610825</v>
      </c>
      <c r="M385" t="inlineStr">
        <is>
          <t>&lt; target</t>
        </is>
      </c>
    </row>
    <row r="386">
      <c r="A386" s="45" t="n">
        <v>382</v>
      </c>
      <c r="B386" s="139" t="n">
        <v>516817902373.2523</v>
      </c>
      <c r="C386" s="139" t="n">
        <v>451295000000</v>
      </c>
      <c r="D386" s="47" t="n">
        <v>0.5725943145539528</v>
      </c>
      <c r="E386" s="48" t="inlineStr">
        <is>
          <t>&lt; target</t>
        </is>
      </c>
      <c r="F386" s="47" t="n">
        <v>0.5725943145539528</v>
      </c>
      <c r="G386" s="48" t="inlineStr">
        <is>
          <t>&lt; target</t>
        </is>
      </c>
      <c r="H386" s="47" t="n">
        <v>0.5725943145539528</v>
      </c>
      <c r="I386" s="48" t="inlineStr">
        <is>
          <t>&lt; target</t>
        </is>
      </c>
      <c r="J386" s="47" t="n">
        <v>0.5725943145539528</v>
      </c>
      <c r="K386" s="48" t="inlineStr">
        <is>
          <t>&lt; target</t>
        </is>
      </c>
      <c r="L386" s="47" t="n">
        <v>0.5725943145539528</v>
      </c>
      <c r="M386" s="48" t="inlineStr">
        <is>
          <t>&lt; target</t>
        </is>
      </c>
    </row>
    <row r="387">
      <c r="A387" s="7" t="n">
        <v>383</v>
      </c>
      <c r="B387" s="128" t="n">
        <v>518540628714.4965</v>
      </c>
      <c r="C387" s="128" t="n">
        <v>451295000000</v>
      </c>
      <c r="D387" s="22" t="n">
        <v>0.5745029622691328</v>
      </c>
      <c r="E387" t="inlineStr">
        <is>
          <t>&lt; target</t>
        </is>
      </c>
      <c r="F387" s="22" t="n">
        <v>0.5745029622691328</v>
      </c>
      <c r="G387" t="inlineStr">
        <is>
          <t>&lt; target</t>
        </is>
      </c>
      <c r="H387" s="22" t="n">
        <v>0.5745029622691328</v>
      </c>
      <c r="I387" t="inlineStr">
        <is>
          <t>&lt; target</t>
        </is>
      </c>
      <c r="J387" s="22" t="n">
        <v>0.5745029622691328</v>
      </c>
      <c r="K387" t="inlineStr">
        <is>
          <t>&lt; target</t>
        </is>
      </c>
      <c r="L387" s="22" t="n">
        <v>0.5745029622691328</v>
      </c>
      <c r="M387" t="inlineStr">
        <is>
          <t>&lt; target</t>
        </is>
      </c>
    </row>
    <row r="388">
      <c r="A388" s="45" t="n">
        <v>384</v>
      </c>
      <c r="B388" s="139" t="n">
        <v>520269097476.8782</v>
      </c>
      <c r="C388" s="139" t="n">
        <v>451295000000</v>
      </c>
      <c r="D388" s="47" t="n">
        <v>0.5764179721433632</v>
      </c>
      <c r="E388" s="48" t="inlineStr">
        <is>
          <t>&lt; target</t>
        </is>
      </c>
      <c r="F388" s="47" t="n">
        <v>0.5764179721433632</v>
      </c>
      <c r="G388" s="48" t="inlineStr">
        <is>
          <t>&lt; target</t>
        </is>
      </c>
      <c r="H388" s="47" t="n">
        <v>0.5764179721433632</v>
      </c>
      <c r="I388" s="48" t="inlineStr">
        <is>
          <t>&lt; target</t>
        </is>
      </c>
      <c r="J388" s="47" t="n">
        <v>0.5764179721433632</v>
      </c>
      <c r="K388" s="48" t="inlineStr">
        <is>
          <t>&lt; target</t>
        </is>
      </c>
      <c r="L388" s="47" t="n">
        <v>0.5764179721433632</v>
      </c>
      <c r="M388" s="48" t="inlineStr">
        <is>
          <t>&lt; target</t>
        </is>
      </c>
    </row>
    <row r="389">
      <c r="A389" s="7" t="n">
        <v>385</v>
      </c>
      <c r="B389" s="128" t="n">
        <v>522003327801.8012</v>
      </c>
      <c r="C389" s="128" t="n">
        <v>451295000000</v>
      </c>
      <c r="D389" s="22" t="n">
        <v>0.5783393653838412</v>
      </c>
      <c r="E389" t="inlineStr">
        <is>
          <t>&lt; target</t>
        </is>
      </c>
      <c r="F389" s="22" t="n">
        <v>0.5783393653838412</v>
      </c>
      <c r="G389" t="inlineStr">
        <is>
          <t>&lt; target</t>
        </is>
      </c>
      <c r="H389" s="22" t="n">
        <v>0.5783393653838412</v>
      </c>
      <c r="I389" t="inlineStr">
        <is>
          <t>&lt; target</t>
        </is>
      </c>
      <c r="J389" s="22" t="n">
        <v>0.5783393653838412</v>
      </c>
      <c r="K389" t="inlineStr">
        <is>
          <t>&lt; target</t>
        </is>
      </c>
      <c r="L389" s="22" t="n">
        <v>0.5783393653838412</v>
      </c>
      <c r="M389" t="inlineStr">
        <is>
          <t>&lt; target</t>
        </is>
      </c>
    </row>
    <row r="390">
      <c r="A390" s="45" t="n">
        <v>386</v>
      </c>
      <c r="B390" s="139" t="n">
        <v>523743338894.4739</v>
      </c>
      <c r="C390" s="139" t="n">
        <v>451295000000</v>
      </c>
      <c r="D390" s="47" t="n">
        <v>0.580267163268454</v>
      </c>
      <c r="E390" s="48" t="inlineStr">
        <is>
          <t>&lt; target</t>
        </is>
      </c>
      <c r="F390" s="47" t="n">
        <v>0.580267163268454</v>
      </c>
      <c r="G390" s="48" t="inlineStr">
        <is>
          <t>&lt; target</t>
        </is>
      </c>
      <c r="H390" s="47" t="n">
        <v>0.580267163268454</v>
      </c>
      <c r="I390" s="48" t="inlineStr">
        <is>
          <t>&lt; target</t>
        </is>
      </c>
      <c r="J390" s="47" t="n">
        <v>0.580267163268454</v>
      </c>
      <c r="K390" s="48" t="inlineStr">
        <is>
          <t>&lt; target</t>
        </is>
      </c>
      <c r="L390" s="47" t="n">
        <v>0.580267163268454</v>
      </c>
      <c r="M390" s="48" t="inlineStr">
        <is>
          <t>&lt; target</t>
        </is>
      </c>
    </row>
    <row r="391">
      <c r="A391" s="7" t="n">
        <v>387</v>
      </c>
      <c r="B391" s="128" t="n">
        <v>525489150024.1222</v>
      </c>
      <c r="C391" s="128" t="n">
        <v>451295000000</v>
      </c>
      <c r="D391" s="22" t="n">
        <v>0.5822013871460155</v>
      </c>
      <c r="E391" t="inlineStr">
        <is>
          <t>&lt; target</t>
        </is>
      </c>
      <c r="F391" s="22" t="n">
        <v>0.5822013871460155</v>
      </c>
      <c r="G391" t="inlineStr">
        <is>
          <t>&lt; target</t>
        </is>
      </c>
      <c r="H391" s="22" t="n">
        <v>0.5822013871460155</v>
      </c>
      <c r="I391" t="inlineStr">
        <is>
          <t>&lt; target</t>
        </is>
      </c>
      <c r="J391" s="22" t="n">
        <v>0.5822013871460155</v>
      </c>
      <c r="K391" t="inlineStr">
        <is>
          <t>&lt; target</t>
        </is>
      </c>
      <c r="L391" s="22" t="n">
        <v>0.5822013871460155</v>
      </c>
      <c r="M391" t="inlineStr">
        <is>
          <t>&lt; target</t>
        </is>
      </c>
    </row>
    <row r="392">
      <c r="A392" s="45" t="n">
        <v>388</v>
      </c>
      <c r="B392" s="139" t="n">
        <v>527240780524.2026</v>
      </c>
      <c r="C392" s="139" t="n">
        <v>451295000000</v>
      </c>
      <c r="D392" s="47" t="n">
        <v>0.5841420584365024</v>
      </c>
      <c r="E392" s="48" t="inlineStr">
        <is>
          <t>&lt; target</t>
        </is>
      </c>
      <c r="F392" s="47" t="n">
        <v>0.5841420584365024</v>
      </c>
      <c r="G392" s="48" t="inlineStr">
        <is>
          <t>&lt; target</t>
        </is>
      </c>
      <c r="H392" s="47" t="n">
        <v>0.5841420584365024</v>
      </c>
      <c r="I392" s="48" t="inlineStr">
        <is>
          <t>&lt; target</t>
        </is>
      </c>
      <c r="J392" s="47" t="n">
        <v>0.5841420584365024</v>
      </c>
      <c r="K392" s="48" t="inlineStr">
        <is>
          <t>&lt; target</t>
        </is>
      </c>
      <c r="L392" s="47" t="n">
        <v>0.5841420584365024</v>
      </c>
      <c r="M392" s="48" t="inlineStr">
        <is>
          <t>&lt; target</t>
        </is>
      </c>
    </row>
    <row r="393">
      <c r="A393" s="7" t="n">
        <v>389</v>
      </c>
      <c r="B393" s="128" t="n">
        <v>528998249792.6167</v>
      </c>
      <c r="C393" s="128" t="n">
        <v>451295000000</v>
      </c>
      <c r="D393" s="22" t="n">
        <v>0.5860891986312907</v>
      </c>
      <c r="E393" t="inlineStr">
        <is>
          <t>&lt; target</t>
        </is>
      </c>
      <c r="F393" s="22" t="n">
        <v>0.5860891986312907</v>
      </c>
      <c r="G393" t="inlineStr">
        <is>
          <t>&lt; target</t>
        </is>
      </c>
      <c r="H393" s="22" t="n">
        <v>0.5860891986312907</v>
      </c>
      <c r="I393" t="inlineStr">
        <is>
          <t>&lt; target</t>
        </is>
      </c>
      <c r="J393" s="22" t="n">
        <v>0.5860891986312907</v>
      </c>
      <c r="K393" t="inlineStr">
        <is>
          <t>&lt; target</t>
        </is>
      </c>
      <c r="L393" s="22" t="n">
        <v>0.5860891986312907</v>
      </c>
      <c r="M393" t="inlineStr">
        <is>
          <t>&lt; target</t>
        </is>
      </c>
    </row>
    <row r="394">
      <c r="A394" s="45" t="n">
        <v>390</v>
      </c>
      <c r="B394" s="139" t="n">
        <v>530761577291.9254</v>
      </c>
      <c r="C394" s="139" t="n">
        <v>451295000000</v>
      </c>
      <c r="D394" s="47" t="n">
        <v>0.588042829293395</v>
      </c>
      <c r="E394" s="48" t="inlineStr">
        <is>
          <t>&lt; target</t>
        </is>
      </c>
      <c r="F394" s="47" t="n">
        <v>0.588042829293395</v>
      </c>
      <c r="G394" s="48" t="inlineStr">
        <is>
          <t>&lt; target</t>
        </is>
      </c>
      <c r="H394" s="47" t="n">
        <v>0.588042829293395</v>
      </c>
      <c r="I394" s="48" t="inlineStr">
        <is>
          <t>&lt; target</t>
        </is>
      </c>
      <c r="J394" s="47" t="n">
        <v>0.588042829293395</v>
      </c>
      <c r="K394" s="48" t="inlineStr">
        <is>
          <t>&lt; target</t>
        </is>
      </c>
      <c r="L394" s="47" t="n">
        <v>0.588042829293395</v>
      </c>
      <c r="M394" s="48" t="inlineStr">
        <is>
          <t>&lt; target</t>
        </is>
      </c>
    </row>
    <row r="395">
      <c r="A395" s="7" t="n">
        <v>391</v>
      </c>
      <c r="B395" s="128" t="n">
        <v>532530782549.5653</v>
      </c>
      <c r="C395" s="128" t="n">
        <v>451295000000</v>
      </c>
      <c r="D395" s="22" t="n">
        <v>0.5900029720577065</v>
      </c>
      <c r="E395" t="inlineStr">
        <is>
          <t>&lt; target</t>
        </is>
      </c>
      <c r="F395" s="22" t="n">
        <v>0.5900029720577065</v>
      </c>
      <c r="G395" t="inlineStr">
        <is>
          <t>&lt; target</t>
        </is>
      </c>
      <c r="H395" s="22" t="n">
        <v>0.5900029720577065</v>
      </c>
      <c r="I395" t="inlineStr">
        <is>
          <t>&lt; target</t>
        </is>
      </c>
      <c r="J395" s="22" t="n">
        <v>0.5900029720577065</v>
      </c>
      <c r="K395" t="inlineStr">
        <is>
          <t>&lt; target</t>
        </is>
      </c>
      <c r="L395" s="22" t="n">
        <v>0.5900029720577065</v>
      </c>
      <c r="M395" t="inlineStr">
        <is>
          <t>&lt; target</t>
        </is>
      </c>
    </row>
    <row r="396">
      <c r="A396" s="45" t="n">
        <v>392</v>
      </c>
      <c r="B396" s="139" t="n">
        <v>534305885158.0638</v>
      </c>
      <c r="C396" s="139" t="n">
        <v>451295000000</v>
      </c>
      <c r="D396" s="47" t="n">
        <v>0.5919696486312321</v>
      </c>
      <c r="E396" s="48" t="inlineStr">
        <is>
          <t>&lt; target</t>
        </is>
      </c>
      <c r="F396" s="47" t="n">
        <v>0.5919696486312321</v>
      </c>
      <c r="G396" s="48" t="inlineStr">
        <is>
          <t>&lt; target</t>
        </is>
      </c>
      <c r="H396" s="47" t="n">
        <v>0.5919696486312321</v>
      </c>
      <c r="I396" s="48" t="inlineStr">
        <is>
          <t>&lt; target</t>
        </is>
      </c>
      <c r="J396" s="47" t="n">
        <v>0.5919696486312321</v>
      </c>
      <c r="K396" s="48" t="inlineStr">
        <is>
          <t>&lt; target</t>
        </is>
      </c>
      <c r="L396" s="47" t="n">
        <v>0.5919696486312321</v>
      </c>
      <c r="M396" s="48" t="inlineStr">
        <is>
          <t>&lt; target</t>
        </is>
      </c>
    </row>
    <row r="397">
      <c r="A397" s="7" t="n">
        <v>393</v>
      </c>
      <c r="B397" s="128" t="n">
        <v>536086904775.2574</v>
      </c>
      <c r="C397" s="128" t="n">
        <v>451295000000</v>
      </c>
      <c r="D397" s="22" t="n">
        <v>0.5939428807933363</v>
      </c>
      <c r="E397" t="inlineStr">
        <is>
          <t>&lt; target</t>
        </is>
      </c>
      <c r="F397" s="22" t="n">
        <v>0.5939428807933363</v>
      </c>
      <c r="G397" t="inlineStr">
        <is>
          <t>&lt; target</t>
        </is>
      </c>
      <c r="H397" s="22" t="n">
        <v>0.5939428807933363</v>
      </c>
      <c r="I397" t="inlineStr">
        <is>
          <t>&lt; target</t>
        </is>
      </c>
      <c r="J397" s="22" t="n">
        <v>0.5939428807933363</v>
      </c>
      <c r="K397" t="inlineStr">
        <is>
          <t>&lt; target</t>
        </is>
      </c>
      <c r="L397" s="22" t="n">
        <v>0.5939428807933363</v>
      </c>
      <c r="M397" t="inlineStr">
        <is>
          <t>&lt; target</t>
        </is>
      </c>
    </row>
    <row r="398">
      <c r="A398" s="45" t="n">
        <v>394</v>
      </c>
      <c r="B398" s="139" t="n">
        <v>537873861124.5084</v>
      </c>
      <c r="C398" s="139" t="n">
        <v>451295000000</v>
      </c>
      <c r="D398" s="47" t="n">
        <v>0.5959226903959809</v>
      </c>
      <c r="E398" s="48" t="inlineStr">
        <is>
          <t>&lt; target</t>
        </is>
      </c>
      <c r="F398" s="47" t="n">
        <v>0.5959226903959809</v>
      </c>
      <c r="G398" s="48" t="inlineStr">
        <is>
          <t>&lt; target</t>
        </is>
      </c>
      <c r="H398" s="47" t="n">
        <v>0.5959226903959809</v>
      </c>
      <c r="I398" s="48" t="inlineStr">
        <is>
          <t>&lt; target</t>
        </is>
      </c>
      <c r="J398" s="47" t="n">
        <v>0.5959226903959809</v>
      </c>
      <c r="K398" s="48" t="inlineStr">
        <is>
          <t>&lt; target</t>
        </is>
      </c>
      <c r="L398" s="47" t="n">
        <v>0.5959226903959809</v>
      </c>
      <c r="M398" s="48" t="inlineStr">
        <is>
          <t>&lt; target</t>
        </is>
      </c>
    </row>
    <row r="399">
      <c r="A399" s="7" t="n">
        <v>395</v>
      </c>
      <c r="B399" s="128" t="n">
        <v>539666773994.9234</v>
      </c>
      <c r="C399" s="128" t="n">
        <v>451295000000</v>
      </c>
      <c r="D399" s="22" t="n">
        <v>0.5979090993639675</v>
      </c>
      <c r="E399" t="inlineStr">
        <is>
          <t>&lt; target</t>
        </is>
      </c>
      <c r="F399" s="22" t="n">
        <v>0.5979090993639675</v>
      </c>
      <c r="G399" t="inlineStr">
        <is>
          <t>&lt; target</t>
        </is>
      </c>
      <c r="H399" s="22" t="n">
        <v>0.5979090993639675</v>
      </c>
      <c r="I399" t="inlineStr">
        <is>
          <t>&lt; target</t>
        </is>
      </c>
      <c r="J399" s="22" t="n">
        <v>0.5979090993639675</v>
      </c>
      <c r="K399" t="inlineStr">
        <is>
          <t>&lt; target</t>
        </is>
      </c>
      <c r="L399" s="22" t="n">
        <v>0.5979090993639675</v>
      </c>
      <c r="M399" t="inlineStr">
        <is>
          <t>&lt; target</t>
        </is>
      </c>
    </row>
    <row r="400">
      <c r="A400" s="45" t="n">
        <v>396</v>
      </c>
      <c r="B400" s="139" t="n">
        <v>541465663241.5732</v>
      </c>
      <c r="C400" s="139" t="n">
        <v>451295000000</v>
      </c>
      <c r="D400" s="47" t="n">
        <v>0.5999021296951808</v>
      </c>
      <c r="E400" s="48" t="inlineStr">
        <is>
          <t>&lt; target</t>
        </is>
      </c>
      <c r="F400" s="47" t="n">
        <v>0.5999021296951808</v>
      </c>
      <c r="G400" s="48" t="inlineStr">
        <is>
          <t>&lt; target</t>
        </is>
      </c>
      <c r="H400" s="47" t="n">
        <v>0.5999021296951808</v>
      </c>
      <c r="I400" s="48" t="inlineStr">
        <is>
          <t>&lt; target</t>
        </is>
      </c>
      <c r="J400" s="47" t="n">
        <v>0.5999021296951808</v>
      </c>
      <c r="K400" s="48" t="inlineStr">
        <is>
          <t>&lt; target</t>
        </is>
      </c>
      <c r="L400" s="47" t="n">
        <v>0.5999021296951808</v>
      </c>
      <c r="M400" s="48" t="inlineStr">
        <is>
          <t>&lt; target</t>
        </is>
      </c>
    </row>
    <row r="401">
      <c r="A401" s="7" t="n">
        <v>397</v>
      </c>
      <c r="B401" s="128" t="n">
        <v>543270548785.7118</v>
      </c>
      <c r="C401" s="128" t="n">
        <v>451295000000</v>
      </c>
      <c r="D401" s="22" t="n">
        <v>0.6019018034608313</v>
      </c>
      <c r="E401" t="inlineStr">
        <is>
          <t>&lt; target</t>
        </is>
      </c>
      <c r="F401" s="22" t="n">
        <v>0.6019018034608313</v>
      </c>
      <c r="G401" t="inlineStr">
        <is>
          <t>&lt; target</t>
        </is>
      </c>
      <c r="H401" s="22" t="n">
        <v>0.6019018034608313</v>
      </c>
      <c r="I401" t="inlineStr">
        <is>
          <t>&lt; target</t>
        </is>
      </c>
      <c r="J401" s="22" t="n">
        <v>0.6019018034608313</v>
      </c>
      <c r="K401" t="inlineStr">
        <is>
          <t>&lt; target</t>
        </is>
      </c>
      <c r="L401" s="22" t="n">
        <v>0.6019018034608313</v>
      </c>
      <c r="M401" t="inlineStr">
        <is>
          <t>&lt; target</t>
        </is>
      </c>
    </row>
    <row r="402">
      <c r="A402" s="45" t="n">
        <v>398</v>
      </c>
      <c r="B402" s="139" t="n">
        <v>545081450614.9975</v>
      </c>
      <c r="C402" s="139" t="n">
        <v>451295000000</v>
      </c>
      <c r="D402" s="47" t="n">
        <v>0.6039081428057008</v>
      </c>
      <c r="E402" s="48" t="inlineStr">
        <is>
          <t>&lt; target</t>
        </is>
      </c>
      <c r="F402" s="47" t="n">
        <v>0.6039081428057008</v>
      </c>
      <c r="G402" s="48" t="inlineStr">
        <is>
          <t>&lt; target</t>
        </is>
      </c>
      <c r="H402" s="47" t="n">
        <v>0.6039081428057008</v>
      </c>
      <c r="I402" s="48" t="inlineStr">
        <is>
          <t>&lt; target</t>
        </is>
      </c>
      <c r="J402" s="47" t="n">
        <v>0.6039081428057008</v>
      </c>
      <c r="K402" s="48" t="inlineStr">
        <is>
          <t>&lt; target</t>
        </is>
      </c>
      <c r="L402" s="47" t="n">
        <v>0.6039081428057008</v>
      </c>
      <c r="M402" s="48" t="inlineStr">
        <is>
          <t>&lt; target</t>
        </is>
      </c>
    </row>
    <row r="403">
      <c r="A403" s="7" t="n">
        <v>399</v>
      </c>
      <c r="B403" s="128" t="n">
        <v>546898388783.7142</v>
      </c>
      <c r="C403" s="128" t="n">
        <v>451295000000</v>
      </c>
      <c r="D403" s="22" t="n">
        <v>0.6059211699483865</v>
      </c>
      <c r="E403" t="inlineStr">
        <is>
          <t>&lt; target</t>
        </is>
      </c>
      <c r="F403" s="22" t="n">
        <v>0.6059211699483865</v>
      </c>
      <c r="G403" t="inlineStr">
        <is>
          <t>&lt; target</t>
        </is>
      </c>
      <c r="H403" s="22" t="n">
        <v>0.6059211699483865</v>
      </c>
      <c r="I403" t="inlineStr">
        <is>
          <t>&lt; target</t>
        </is>
      </c>
      <c r="J403" s="22" t="n">
        <v>0.6059211699483865</v>
      </c>
      <c r="K403" t="inlineStr">
        <is>
          <t>&lt; target</t>
        </is>
      </c>
      <c r="L403" s="22" t="n">
        <v>0.6059211699483865</v>
      </c>
      <c r="M403" t="inlineStr">
        <is>
          <t>&lt; target</t>
        </is>
      </c>
    </row>
    <row r="404">
      <c r="A404" s="45" t="n">
        <v>400</v>
      </c>
      <c r="B404" s="139" t="n">
        <v>548721383412.9933</v>
      </c>
      <c r="C404" s="139" t="n">
        <v>451295000000</v>
      </c>
      <c r="D404" s="47" t="n">
        <v>0.6079409071815479</v>
      </c>
      <c r="E404" s="48" t="inlineStr">
        <is>
          <t>&lt; target</t>
        </is>
      </c>
      <c r="F404" s="47" t="n">
        <v>0.6079409071815479</v>
      </c>
      <c r="G404" s="48" t="inlineStr">
        <is>
          <t>&lt; target</t>
        </is>
      </c>
      <c r="H404" s="47" t="n">
        <v>0.6079409071815479</v>
      </c>
      <c r="I404" s="48" t="inlineStr">
        <is>
          <t>&lt; target</t>
        </is>
      </c>
      <c r="J404" s="47" t="n">
        <v>0.6079409071815479</v>
      </c>
      <c r="K404" s="48" t="inlineStr">
        <is>
          <t>&lt; target</t>
        </is>
      </c>
      <c r="L404" s="47" t="n">
        <v>0.6079409071815479</v>
      </c>
      <c r="M404" s="48" t="inlineStr">
        <is>
          <t>&lt; target</t>
        </is>
      </c>
    </row>
    <row r="405">
      <c r="A405" s="7" t="n">
        <v>401</v>
      </c>
      <c r="B405" s="128" t="n">
        <v>550550454691.0367</v>
      </c>
      <c r="C405" s="128" t="n">
        <v>451295000000</v>
      </c>
      <c r="D405" s="22" t="n">
        <v>0.6099673768721532</v>
      </c>
      <c r="E405" t="inlineStr">
        <is>
          <t>&lt; target</t>
        </is>
      </c>
      <c r="F405" s="22" t="n">
        <v>0.6099673768721532</v>
      </c>
      <c r="G405" t="inlineStr">
        <is>
          <t>&lt; target</t>
        </is>
      </c>
      <c r="H405" s="22" t="n">
        <v>0.6099673768721532</v>
      </c>
      <c r="I405" t="inlineStr">
        <is>
          <t>&lt; target</t>
        </is>
      </c>
      <c r="J405" s="22" t="n">
        <v>0.6099673768721532</v>
      </c>
      <c r="K405" t="inlineStr">
        <is>
          <t>&lt; target</t>
        </is>
      </c>
      <c r="L405" s="22" t="n">
        <v>0.6099673768721532</v>
      </c>
      <c r="M405" t="inlineStr">
        <is>
          <t>&lt; target</t>
        </is>
      </c>
    </row>
    <row r="406">
      <c r="A406" s="45" t="n">
        <v>402</v>
      </c>
      <c r="B406" s="139" t="n">
        <v>552385622873.3402</v>
      </c>
      <c r="C406" s="139" t="n">
        <v>451295000000</v>
      </c>
      <c r="D406" s="47" t="n">
        <v>0.6120006014617271</v>
      </c>
      <c r="E406" s="48" t="inlineStr">
        <is>
          <t>&lt; target</t>
        </is>
      </c>
      <c r="F406" s="47" t="n">
        <v>0.6120006014617271</v>
      </c>
      <c r="G406" s="48" t="inlineStr">
        <is>
          <t>&lt; target</t>
        </is>
      </c>
      <c r="H406" s="47" t="n">
        <v>0.6120006014617271</v>
      </c>
      <c r="I406" s="48" t="inlineStr">
        <is>
          <t>&lt; target</t>
        </is>
      </c>
      <c r="J406" s="47" t="n">
        <v>0.6120006014617271</v>
      </c>
      <c r="K406" s="48" t="inlineStr">
        <is>
          <t>&lt; target</t>
        </is>
      </c>
      <c r="L406" s="47" t="n">
        <v>0.6120006014617271</v>
      </c>
      <c r="M406" s="48" t="inlineStr">
        <is>
          <t>&lt; target</t>
        </is>
      </c>
    </row>
    <row r="407">
      <c r="A407" s="7" t="n">
        <v>403</v>
      </c>
      <c r="B407" s="128" t="n">
        <v>554226908282.9181</v>
      </c>
      <c r="C407" s="128" t="n">
        <v>451295000000</v>
      </c>
      <c r="D407" s="22" t="n">
        <v>0.6140406034665995</v>
      </c>
      <c r="E407" t="inlineStr">
        <is>
          <t>&lt; target</t>
        </is>
      </c>
      <c r="F407" s="22" t="n">
        <v>0.6140406034665995</v>
      </c>
      <c r="G407" t="inlineStr">
        <is>
          <t>&lt; target</t>
        </is>
      </c>
      <c r="H407" s="22" t="n">
        <v>0.6140406034665995</v>
      </c>
      <c r="I407" t="inlineStr">
        <is>
          <t>&lt; target</t>
        </is>
      </c>
      <c r="J407" s="22" t="n">
        <v>0.6140406034665995</v>
      </c>
      <c r="K407" t="inlineStr">
        <is>
          <t>&lt; target</t>
        </is>
      </c>
      <c r="L407" s="22" t="n">
        <v>0.6140406034665995</v>
      </c>
      <c r="M407" t="inlineStr">
        <is>
          <t>&lt; target</t>
        </is>
      </c>
    </row>
    <row r="408">
      <c r="A408" s="45" t="n">
        <v>404</v>
      </c>
      <c r="B408" s="139" t="n">
        <v>556074331310.5278</v>
      </c>
      <c r="C408" s="139" t="n">
        <v>451295000000</v>
      </c>
      <c r="D408" s="47" t="n">
        <v>0.6160874054781549</v>
      </c>
      <c r="E408" s="48" t="inlineStr">
        <is>
          <t>&lt; target</t>
        </is>
      </c>
      <c r="F408" s="47" t="n">
        <v>0.6160874054781549</v>
      </c>
      <c r="G408" s="48" t="inlineStr">
        <is>
          <t>&lt; target</t>
        </is>
      </c>
      <c r="H408" s="47" t="n">
        <v>0.6160874054781549</v>
      </c>
      <c r="I408" s="48" t="inlineStr">
        <is>
          <t>&lt; target</t>
        </is>
      </c>
      <c r="J408" s="47" t="n">
        <v>0.6160874054781549</v>
      </c>
      <c r="K408" s="48" t="inlineStr">
        <is>
          <t>&lt; target</t>
        </is>
      </c>
      <c r="L408" s="47" t="n">
        <v>0.6160874054781549</v>
      </c>
      <c r="M408" s="48" t="inlineStr">
        <is>
          <t>&lt; target</t>
        </is>
      </c>
    </row>
    <row r="409">
      <c r="A409" s="7" t="n">
        <v>405</v>
      </c>
      <c r="B409" s="128" t="n">
        <v>557927912414.8962</v>
      </c>
      <c r="C409" s="128" t="n">
        <v>451295000000</v>
      </c>
      <c r="D409" s="22" t="n">
        <v>0.6181410301630821</v>
      </c>
      <c r="E409" t="inlineStr">
        <is>
          <t>&lt; target</t>
        </is>
      </c>
      <c r="F409" s="22" t="n">
        <v>0.6181410301630821</v>
      </c>
      <c r="G409" t="inlineStr">
        <is>
          <t>&lt; target</t>
        </is>
      </c>
      <c r="H409" s="22" t="n">
        <v>0.6181410301630821</v>
      </c>
      <c r="I409" t="inlineStr">
        <is>
          <t>&lt; target</t>
        </is>
      </c>
      <c r="J409" s="22" t="n">
        <v>0.6181410301630821</v>
      </c>
      <c r="K409" t="inlineStr">
        <is>
          <t>&lt; target</t>
        </is>
      </c>
      <c r="L409" s="22" t="n">
        <v>0.6181410301630821</v>
      </c>
      <c r="M409" t="inlineStr">
        <is>
          <t>&lt; target</t>
        </is>
      </c>
    </row>
    <row r="410">
      <c r="A410" s="45" t="n">
        <v>406</v>
      </c>
      <c r="B410" s="139" t="n">
        <v>559787672122.9459</v>
      </c>
      <c r="C410" s="139" t="n">
        <v>451295000000</v>
      </c>
      <c r="D410" s="47" t="n">
        <v>0.6202015002636257</v>
      </c>
      <c r="E410" s="48" t="inlineStr">
        <is>
          <t>&lt; target</t>
        </is>
      </c>
      <c r="F410" s="47" t="n">
        <v>0.6202015002636257</v>
      </c>
      <c r="G410" s="48" t="inlineStr">
        <is>
          <t>&lt; target</t>
        </is>
      </c>
      <c r="H410" s="47" t="n">
        <v>0.6202015002636257</v>
      </c>
      <c r="I410" s="48" t="inlineStr">
        <is>
          <t>&lt; target</t>
        </is>
      </c>
      <c r="J410" s="47" t="n">
        <v>0.6202015002636257</v>
      </c>
      <c r="K410" s="48" t="inlineStr">
        <is>
          <t>&lt; target</t>
        </is>
      </c>
      <c r="L410" s="47" t="n">
        <v>0.6202015002636257</v>
      </c>
      <c r="M410" s="48" t="inlineStr">
        <is>
          <t>&lt; target</t>
        </is>
      </c>
    </row>
    <row r="411">
      <c r="A411" s="7" t="n">
        <v>407</v>
      </c>
      <c r="B411" s="128" t="n">
        <v>561653631030.0225</v>
      </c>
      <c r="C411" s="128" t="n">
        <v>451295000000</v>
      </c>
      <c r="D411" s="22" t="n">
        <v>0.6222688385978379</v>
      </c>
      <c r="E411" t="inlineStr">
        <is>
          <t>&lt; target</t>
        </is>
      </c>
      <c r="F411" s="22" t="n">
        <v>0.6222688385978379</v>
      </c>
      <c r="G411" t="inlineStr">
        <is>
          <t>&lt; target</t>
        </is>
      </c>
      <c r="H411" s="22" t="n">
        <v>0.6222688385978379</v>
      </c>
      <c r="I411" t="inlineStr">
        <is>
          <t>&lt; target</t>
        </is>
      </c>
      <c r="J411" s="22" t="n">
        <v>0.6222688385978379</v>
      </c>
      <c r="K411" t="inlineStr">
        <is>
          <t>&lt; target</t>
        </is>
      </c>
      <c r="L411" s="22" t="n">
        <v>0.6222688385978379</v>
      </c>
      <c r="M411" t="inlineStr">
        <is>
          <t>&lt; target</t>
        </is>
      </c>
    </row>
    <row r="412">
      <c r="A412" s="45" t="n">
        <v>408</v>
      </c>
      <c r="B412" s="139" t="n">
        <v>563525809800.1226</v>
      </c>
      <c r="C412" s="139" t="n">
        <v>451295000000</v>
      </c>
      <c r="D412" s="47" t="n">
        <v>0.6243430680598306</v>
      </c>
      <c r="E412" s="48" t="inlineStr">
        <is>
          <t>&lt; target</t>
        </is>
      </c>
      <c r="F412" s="47" t="n">
        <v>0.6243430680598306</v>
      </c>
      <c r="G412" s="48" t="inlineStr">
        <is>
          <t>&lt; target</t>
        </is>
      </c>
      <c r="H412" s="47" t="n">
        <v>0.6243430680598306</v>
      </c>
      <c r="I412" s="48" t="inlineStr">
        <is>
          <t>&lt; target</t>
        </is>
      </c>
      <c r="J412" s="47" t="n">
        <v>0.6243430680598306</v>
      </c>
      <c r="K412" s="48" t="inlineStr">
        <is>
          <t>&lt; target</t>
        </is>
      </c>
      <c r="L412" s="47" t="n">
        <v>0.6243430680598306</v>
      </c>
      <c r="M412" s="48" t="inlineStr">
        <is>
          <t>&lt; target</t>
        </is>
      </c>
    </row>
    <row r="413">
      <c r="A413" s="7" t="n">
        <v>409</v>
      </c>
      <c r="B413" s="128" t="n">
        <v>565404229166.123</v>
      </c>
      <c r="C413" s="128" t="n">
        <v>451295000000</v>
      </c>
      <c r="D413" s="22" t="n">
        <v>0.6264242116200301</v>
      </c>
      <c r="E413" t="inlineStr">
        <is>
          <t>&lt; target</t>
        </is>
      </c>
      <c r="F413" s="22" t="n">
        <v>0.6264242116200301</v>
      </c>
      <c r="G413" t="inlineStr">
        <is>
          <t>&lt; target</t>
        </is>
      </c>
      <c r="H413" s="22" t="n">
        <v>0.6264242116200301</v>
      </c>
      <c r="I413" t="inlineStr">
        <is>
          <t>&lt; target</t>
        </is>
      </c>
      <c r="J413" s="22" t="n">
        <v>0.6264242116200301</v>
      </c>
      <c r="K413" t="inlineStr">
        <is>
          <t>&lt; target</t>
        </is>
      </c>
      <c r="L413" s="22" t="n">
        <v>0.6264242116200301</v>
      </c>
      <c r="M413" t="inlineStr">
        <is>
          <t>&lt; target</t>
        </is>
      </c>
    </row>
    <row r="414">
      <c r="A414" s="45" t="n">
        <v>410</v>
      </c>
      <c r="B414" s="139" t="n">
        <v>567288909930.0103</v>
      </c>
      <c r="C414" s="139" t="n">
        <v>451295000000</v>
      </c>
      <c r="D414" s="47" t="n">
        <v>0.6285122923254304</v>
      </c>
      <c r="E414" s="48" t="inlineStr">
        <is>
          <t>&lt; target</t>
        </is>
      </c>
      <c r="F414" s="47" t="n">
        <v>0.6285122923254304</v>
      </c>
      <c r="G414" s="48" t="inlineStr">
        <is>
          <t>&lt; target</t>
        </is>
      </c>
      <c r="H414" s="47" t="n">
        <v>0.6285122923254304</v>
      </c>
      <c r="I414" s="48" t="inlineStr">
        <is>
          <t>&lt; target</t>
        </is>
      </c>
      <c r="J414" s="47" t="n">
        <v>0.6285122923254304</v>
      </c>
      <c r="K414" s="48" t="inlineStr">
        <is>
          <t>&lt; target</t>
        </is>
      </c>
      <c r="L414" s="47" t="n">
        <v>0.6285122923254304</v>
      </c>
      <c r="M414" s="48" t="inlineStr">
        <is>
          <t>&lt; target</t>
        </is>
      </c>
    </row>
    <row r="415">
      <c r="A415" s="7" t="n">
        <v>411</v>
      </c>
      <c r="B415" s="128" t="n">
        <v>569179872963.1102</v>
      </c>
      <c r="C415" s="128" t="n">
        <v>451295000000</v>
      </c>
      <c r="D415" s="22" t="n">
        <v>0.6306073332998484</v>
      </c>
      <c r="E415" t="inlineStr">
        <is>
          <t>&lt; target</t>
        </is>
      </c>
      <c r="F415" s="22" t="n">
        <v>0.6306073332998484</v>
      </c>
      <c r="G415" t="inlineStr">
        <is>
          <t>&lt; target</t>
        </is>
      </c>
      <c r="H415" s="22" t="n">
        <v>0.6306073332998484</v>
      </c>
      <c r="I415" t="inlineStr">
        <is>
          <t>&lt; target</t>
        </is>
      </c>
      <c r="J415" s="22" t="n">
        <v>0.6306073332998484</v>
      </c>
      <c r="K415" t="inlineStr">
        <is>
          <t>&lt; target</t>
        </is>
      </c>
      <c r="L415" s="22" t="n">
        <v>0.6306073332998484</v>
      </c>
      <c r="M415" t="inlineStr">
        <is>
          <t>&lt; target</t>
        </is>
      </c>
    </row>
    <row r="416">
      <c r="A416" s="45" t="n">
        <v>412</v>
      </c>
      <c r="B416" s="139" t="n">
        <v>571077139206.3207</v>
      </c>
      <c r="C416" s="139" t="n">
        <v>451295000000</v>
      </c>
      <c r="D416" s="47" t="n">
        <v>0.6327093577441814</v>
      </c>
      <c r="E416" s="48" t="inlineStr">
        <is>
          <t>&lt; target</t>
        </is>
      </c>
      <c r="F416" s="47" t="n">
        <v>0.6327093577441814</v>
      </c>
      <c r="G416" s="48" t="inlineStr">
        <is>
          <t>&lt; target</t>
        </is>
      </c>
      <c r="H416" s="47" t="n">
        <v>0.6327093577441814</v>
      </c>
      <c r="I416" s="48" t="inlineStr">
        <is>
          <t>&lt; target</t>
        </is>
      </c>
      <c r="J416" s="47" t="n">
        <v>0.6327093577441814</v>
      </c>
      <c r="K416" s="48" t="inlineStr">
        <is>
          <t>&lt; target</t>
        </is>
      </c>
      <c r="L416" s="47" t="n">
        <v>0.6327093577441814</v>
      </c>
      <c r="M416" s="48" t="inlineStr">
        <is>
          <t>&lt; target</t>
        </is>
      </c>
    </row>
    <row r="417">
      <c r="A417" s="7" t="n">
        <v>413</v>
      </c>
      <c r="B417" s="128" t="n">
        <v>572980729670.3418</v>
      </c>
      <c r="C417" s="128" t="n">
        <v>451295000000</v>
      </c>
      <c r="D417" s="22" t="n">
        <v>0.6348183889366621</v>
      </c>
      <c r="E417" t="inlineStr">
        <is>
          <t>&lt; target</t>
        </is>
      </c>
      <c r="F417" s="22" t="n">
        <v>0.6348183889366621</v>
      </c>
      <c r="G417" t="inlineStr">
        <is>
          <t>&lt; target</t>
        </is>
      </c>
      <c r="H417" s="22" t="n">
        <v>0.6348183889366621</v>
      </c>
      <c r="I417" t="inlineStr">
        <is>
          <t>&lt; target</t>
        </is>
      </c>
      <c r="J417" s="22" t="n">
        <v>0.6348183889366621</v>
      </c>
      <c r="K417" t="inlineStr">
        <is>
          <t>&lt; target</t>
        </is>
      </c>
      <c r="L417" s="22" t="n">
        <v>0.6348183889366621</v>
      </c>
      <c r="M417" t="inlineStr">
        <is>
          <t>&lt; target</t>
        </is>
      </c>
    </row>
    <row r="418">
      <c r="A418" s="45" t="n">
        <v>414</v>
      </c>
      <c r="B418" s="139" t="n">
        <v>574890665435.9097</v>
      </c>
      <c r="C418" s="139" t="n">
        <v>451295000000</v>
      </c>
      <c r="D418" s="47" t="n">
        <v>0.6369344502331177</v>
      </c>
      <c r="E418" s="48" t="inlineStr">
        <is>
          <t>&lt; target</t>
        </is>
      </c>
      <c r="F418" s="47" t="n">
        <v>0.6369344502331177</v>
      </c>
      <c r="G418" s="48" t="inlineStr">
        <is>
          <t>&lt; target</t>
        </is>
      </c>
      <c r="H418" s="47" t="n">
        <v>0.6369344502331177</v>
      </c>
      <c r="I418" s="48" t="inlineStr">
        <is>
          <t>&lt; target</t>
        </is>
      </c>
      <c r="J418" s="47" t="n">
        <v>0.6369344502331177</v>
      </c>
      <c r="K418" s="48" t="inlineStr">
        <is>
          <t>&lt; target</t>
        </is>
      </c>
      <c r="L418" s="47" t="n">
        <v>0.6369344502331177</v>
      </c>
      <c r="M418" s="48" t="inlineStr">
        <is>
          <t>&lt; target</t>
        </is>
      </c>
    </row>
    <row r="419">
      <c r="A419" s="7" t="n">
        <v>415</v>
      </c>
      <c r="B419" s="128" t="n">
        <v>576806967654.0293</v>
      </c>
      <c r="C419" s="128" t="n">
        <v>451295000000</v>
      </c>
      <c r="D419" s="22" t="n">
        <v>0.639057565067228</v>
      </c>
      <c r="E419" t="inlineStr">
        <is>
          <t>&lt; target</t>
        </is>
      </c>
      <c r="F419" s="22" t="n">
        <v>0.639057565067228</v>
      </c>
      <c r="G419" t="inlineStr">
        <is>
          <t>&lt; target</t>
        </is>
      </c>
      <c r="H419" s="22" t="n">
        <v>0.639057565067228</v>
      </c>
      <c r="I419" t="inlineStr">
        <is>
          <t>&lt; target</t>
        </is>
      </c>
      <c r="J419" s="22" t="n">
        <v>0.639057565067228</v>
      </c>
      <c r="K419" t="inlineStr">
        <is>
          <t>&lt; target</t>
        </is>
      </c>
      <c r="L419" s="22" t="n">
        <v>0.639057565067228</v>
      </c>
      <c r="M419" t="inlineStr">
        <is>
          <t>&lt; target</t>
        </is>
      </c>
    </row>
    <row r="420">
      <c r="A420" s="45" t="n">
        <v>416</v>
      </c>
      <c r="B420" s="139" t="n">
        <v>578729657546.2095</v>
      </c>
      <c r="C420" s="139" t="n">
        <v>451295000000</v>
      </c>
      <c r="D420" s="47" t="n">
        <v>0.6411877569507854</v>
      </c>
      <c r="E420" s="48" t="inlineStr">
        <is>
          <t>&lt; target</t>
        </is>
      </c>
      <c r="F420" s="47" t="n">
        <v>0.6411877569507854</v>
      </c>
      <c r="G420" s="48" t="inlineStr">
        <is>
          <t>&lt; target</t>
        </is>
      </c>
      <c r="H420" s="47" t="n">
        <v>0.6411877569507854</v>
      </c>
      <c r="I420" s="48" t="inlineStr">
        <is>
          <t>&lt; target</t>
        </is>
      </c>
      <c r="J420" s="47" t="n">
        <v>0.6411877569507854</v>
      </c>
      <c r="K420" s="48" t="inlineStr">
        <is>
          <t>&lt; target</t>
        </is>
      </c>
      <c r="L420" s="47" t="n">
        <v>0.6411877569507854</v>
      </c>
      <c r="M420" s="48" t="inlineStr">
        <is>
          <t>&lt; target</t>
        </is>
      </c>
    </row>
    <row r="421">
      <c r="A421" s="7" t="n">
        <v>417</v>
      </c>
      <c r="B421" s="128" t="n">
        <v>580658756404.697</v>
      </c>
      <c r="C421" s="128" t="n">
        <v>451295000000</v>
      </c>
      <c r="D421" s="22" t="n">
        <v>0.643325049473955</v>
      </c>
      <c r="E421" t="inlineStr">
        <is>
          <t>&lt; target</t>
        </is>
      </c>
      <c r="F421" s="22" t="n">
        <v>0.643325049473955</v>
      </c>
      <c r="G421" t="inlineStr">
        <is>
          <t>&lt; target</t>
        </is>
      </c>
      <c r="H421" s="22" t="n">
        <v>0.643325049473955</v>
      </c>
      <c r="I421" t="inlineStr">
        <is>
          <t>&lt; target</t>
        </is>
      </c>
      <c r="J421" s="22" t="n">
        <v>0.643325049473955</v>
      </c>
      <c r="K421" t="inlineStr">
        <is>
          <t>&lt; target</t>
        </is>
      </c>
      <c r="L421" s="22" t="n">
        <v>0.643325049473955</v>
      </c>
      <c r="M421" t="inlineStr">
        <is>
          <t>&lt; target</t>
        </is>
      </c>
    </row>
    <row r="422">
      <c r="A422" s="45" t="n">
        <v>418</v>
      </c>
      <c r="B422" s="139" t="n">
        <v>582594285592.7125</v>
      </c>
      <c r="C422" s="139" t="n">
        <v>451295000000</v>
      </c>
      <c r="D422" s="47" t="n">
        <v>0.6454694663055347</v>
      </c>
      <c r="E422" s="48" t="inlineStr">
        <is>
          <t>&lt; target</t>
        </is>
      </c>
      <c r="F422" s="47" t="n">
        <v>0.6454694663055347</v>
      </c>
      <c r="G422" s="48" t="inlineStr">
        <is>
          <t>&lt; target</t>
        </is>
      </c>
      <c r="H422" s="47" t="n">
        <v>0.6454694663055347</v>
      </c>
      <c r="I422" s="48" t="inlineStr">
        <is>
          <t>&lt; target</t>
        </is>
      </c>
      <c r="J422" s="47" t="n">
        <v>0.6454694663055347</v>
      </c>
      <c r="K422" s="48" t="inlineStr">
        <is>
          <t>&lt; target</t>
        </is>
      </c>
      <c r="L422" s="47" t="n">
        <v>0.6454694663055347</v>
      </c>
      <c r="M422" s="48" t="inlineStr">
        <is>
          <t>&lt; target</t>
        </is>
      </c>
    </row>
    <row r="423">
      <c r="A423" s="7" t="n">
        <v>419</v>
      </c>
      <c r="B423" s="128" t="n">
        <v>584536266544.6885</v>
      </c>
      <c r="C423" s="128" t="n">
        <v>451295000000</v>
      </c>
      <c r="D423" s="22" t="n">
        <v>0.64762103119322</v>
      </c>
      <c r="E423" t="inlineStr">
        <is>
          <t>&lt; target</t>
        </is>
      </c>
      <c r="F423" s="22" t="n">
        <v>0.64762103119322</v>
      </c>
      <c r="G423" t="inlineStr">
        <is>
          <t>&lt; target</t>
        </is>
      </c>
      <c r="H423" s="22" t="n">
        <v>0.64762103119322</v>
      </c>
      <c r="I423" t="inlineStr">
        <is>
          <t>&lt; target</t>
        </is>
      </c>
      <c r="J423" s="22" t="n">
        <v>0.64762103119322</v>
      </c>
      <c r="K423" t="inlineStr">
        <is>
          <t>&lt; target</t>
        </is>
      </c>
      <c r="L423" s="22" t="n">
        <v>0.64762103119322</v>
      </c>
      <c r="M423" t="inlineStr">
        <is>
          <t>&lt; target</t>
        </is>
      </c>
    </row>
    <row r="424">
      <c r="A424" s="45" t="n">
        <v>420</v>
      </c>
      <c r="B424" s="139" t="n">
        <v>586484720766.5042</v>
      </c>
      <c r="C424" s="139" t="n">
        <v>451295000000</v>
      </c>
      <c r="D424" s="47" t="n">
        <v>0.6497797679638642</v>
      </c>
      <c r="E424" s="48" t="inlineStr">
        <is>
          <t>&lt; target</t>
        </is>
      </c>
      <c r="F424" s="47" t="n">
        <v>0.6497797679638642</v>
      </c>
      <c r="G424" s="48" t="inlineStr">
        <is>
          <t>&lt; target</t>
        </is>
      </c>
      <c r="H424" s="47" t="n">
        <v>0.6497797679638642</v>
      </c>
      <c r="I424" s="48" t="inlineStr">
        <is>
          <t>&lt; target</t>
        </is>
      </c>
      <c r="J424" s="47" t="n">
        <v>0.6497797679638642</v>
      </c>
      <c r="K424" s="48" t="inlineStr">
        <is>
          <t>&lt; target</t>
        </is>
      </c>
      <c r="L424" s="47" t="n">
        <v>0.6497797679638642</v>
      </c>
      <c r="M424" s="48" t="inlineStr">
        <is>
          <t>&lt; target</t>
        </is>
      </c>
    </row>
    <row r="425">
      <c r="A425" s="7" t="n">
        <v>421</v>
      </c>
      <c r="B425" s="128" t="n">
        <v>588439669835.7258</v>
      </c>
      <c r="C425" s="128" t="n">
        <v>451295000000</v>
      </c>
      <c r="D425" s="22" t="n">
        <v>0.6519457005237437</v>
      </c>
      <c r="E425" t="inlineStr">
        <is>
          <t>&lt; target</t>
        </is>
      </c>
      <c r="F425" s="22" t="n">
        <v>0.6519457005237437</v>
      </c>
      <c r="G425" t="inlineStr">
        <is>
          <t>&lt; target</t>
        </is>
      </c>
      <c r="H425" s="22" t="n">
        <v>0.6519457005237437</v>
      </c>
      <c r="I425" t="inlineStr">
        <is>
          <t>&lt; target</t>
        </is>
      </c>
      <c r="J425" s="22" t="n">
        <v>0.6519457005237437</v>
      </c>
      <c r="K425" t="inlineStr">
        <is>
          <t>&lt; target</t>
        </is>
      </c>
      <c r="L425" s="22" t="n">
        <v>0.6519457005237437</v>
      </c>
      <c r="M425" t="inlineStr">
        <is>
          <t>&lt; target</t>
        </is>
      </c>
    </row>
    <row r="426">
      <c r="A426" s="45" t="n">
        <v>422</v>
      </c>
      <c r="B426" s="139" t="n">
        <v>590401135401.845</v>
      </c>
      <c r="C426" s="139" t="n">
        <v>451295000000</v>
      </c>
      <c r="D426" s="47" t="n">
        <v>0.6541188528588229</v>
      </c>
      <c r="E426" s="48" t="inlineStr">
        <is>
          <t>&lt; target</t>
        </is>
      </c>
      <c r="F426" s="47" t="n">
        <v>0.6541188528588229</v>
      </c>
      <c r="G426" s="48" t="inlineStr">
        <is>
          <t>&lt; target</t>
        </is>
      </c>
      <c r="H426" s="47" t="n">
        <v>0.6541188528588229</v>
      </c>
      <c r="I426" s="48" t="inlineStr">
        <is>
          <t>&lt; target</t>
        </is>
      </c>
      <c r="J426" s="47" t="n">
        <v>0.6541188528588229</v>
      </c>
      <c r="K426" s="48" t="inlineStr">
        <is>
          <t>&lt; target</t>
        </is>
      </c>
      <c r="L426" s="47" t="n">
        <v>0.6541188528588229</v>
      </c>
      <c r="M426" s="48" t="inlineStr">
        <is>
          <t>&lt; target</t>
        </is>
      </c>
    </row>
    <row r="427">
      <c r="A427" s="7" t="n">
        <v>423</v>
      </c>
      <c r="B427" s="128" t="n">
        <v>592369139186.5177</v>
      </c>
      <c r="C427" s="128" t="n">
        <v>451295000000</v>
      </c>
      <c r="D427" s="22" t="n">
        <v>0.6562992490350189</v>
      </c>
      <c r="E427" t="inlineStr">
        <is>
          <t>&lt; target</t>
        </is>
      </c>
      <c r="F427" s="22" t="n">
        <v>0.6562992490350189</v>
      </c>
      <c r="G427" t="inlineStr">
        <is>
          <t>&lt; target</t>
        </is>
      </c>
      <c r="H427" s="22" t="n">
        <v>0.6562992490350189</v>
      </c>
      <c r="I427" t="inlineStr">
        <is>
          <t>&lt; target</t>
        </is>
      </c>
      <c r="J427" s="22" t="n">
        <v>0.6562992490350189</v>
      </c>
      <c r="K427" t="inlineStr">
        <is>
          <t>&lt; target</t>
        </is>
      </c>
      <c r="L427" s="22" t="n">
        <v>0.6562992490350189</v>
      </c>
      <c r="M427" t="inlineStr">
        <is>
          <t>&lt; target</t>
        </is>
      </c>
    </row>
    <row r="428">
      <c r="A428" s="45" t="n">
        <v>424</v>
      </c>
      <c r="B428" s="139" t="n">
        <v>594343702983.8063</v>
      </c>
      <c r="C428" s="139" t="n">
        <v>451295000000</v>
      </c>
      <c r="D428" s="47" t="n">
        <v>0.6584869131984692</v>
      </c>
      <c r="E428" s="48" t="inlineStr">
        <is>
          <t>&lt; target</t>
        </is>
      </c>
      <c r="F428" s="47" t="n">
        <v>0.6584869131984692</v>
      </c>
      <c r="G428" s="48" t="inlineStr">
        <is>
          <t>&lt; target</t>
        </is>
      </c>
      <c r="H428" s="47" t="n">
        <v>0.6584869131984692</v>
      </c>
      <c r="I428" s="48" t="inlineStr">
        <is>
          <t>&lt; target</t>
        </is>
      </c>
      <c r="J428" s="47" t="n">
        <v>0.6584869131984692</v>
      </c>
      <c r="K428" s="48" t="inlineStr">
        <is>
          <t>&lt; target</t>
        </is>
      </c>
      <c r="L428" s="47" t="n">
        <v>0.6584869131984692</v>
      </c>
      <c r="M428" s="48" t="inlineStr">
        <is>
          <t>&lt; target</t>
        </is>
      </c>
    </row>
    <row r="429">
      <c r="A429" s="7" t="n">
        <v>425</v>
      </c>
      <c r="B429" s="128" t="n">
        <v>596324848660.4189</v>
      </c>
      <c r="C429" s="128" t="n">
        <v>451295000000</v>
      </c>
      <c r="D429" s="22" t="n">
        <v>0.6606818695757973</v>
      </c>
      <c r="E429" t="inlineStr">
        <is>
          <t>&lt; target</t>
        </is>
      </c>
      <c r="F429" s="22" t="n">
        <v>0.6606818695757973</v>
      </c>
      <c r="G429" t="inlineStr">
        <is>
          <t>&lt; target</t>
        </is>
      </c>
      <c r="H429" s="22" t="n">
        <v>0.6606818695757973</v>
      </c>
      <c r="I429" t="inlineStr">
        <is>
          <t>&lt; target</t>
        </is>
      </c>
      <c r="J429" s="22" t="n">
        <v>0.6606818695757973</v>
      </c>
      <c r="K429" t="inlineStr">
        <is>
          <t>&lt; target</t>
        </is>
      </c>
      <c r="L429" s="22" t="n">
        <v>0.6606818695757973</v>
      </c>
      <c r="M429" t="inlineStr">
        <is>
          <t>&lt; target</t>
        </is>
      </c>
    </row>
    <row r="430">
      <c r="A430" s="45" t="n">
        <v>426</v>
      </c>
      <c r="B430" s="139" t="n">
        <v>598312598155.9537</v>
      </c>
      <c r="C430" s="139" t="n">
        <v>451295000000</v>
      </c>
      <c r="D430" s="47" t="n">
        <v>0.6628841424743834</v>
      </c>
      <c r="E430" s="48" t="inlineStr">
        <is>
          <t>&lt; target</t>
        </is>
      </c>
      <c r="F430" s="47" t="n">
        <v>0.6628841424743834</v>
      </c>
      <c r="G430" s="48" t="inlineStr">
        <is>
          <t>&lt; target</t>
        </is>
      </c>
      <c r="H430" s="47" t="n">
        <v>0.6628841424743834</v>
      </c>
      <c r="I430" s="48" t="inlineStr">
        <is>
          <t>&lt; target</t>
        </is>
      </c>
      <c r="J430" s="47" t="n">
        <v>0.6628841424743834</v>
      </c>
      <c r="K430" s="48" t="inlineStr">
        <is>
          <t>&lt; target</t>
        </is>
      </c>
      <c r="L430" s="47" t="n">
        <v>0.6628841424743834</v>
      </c>
      <c r="M430" s="48" t="inlineStr">
        <is>
          <t>&lt; target</t>
        </is>
      </c>
    </row>
    <row r="431">
      <c r="A431" s="7" t="n">
        <v>427</v>
      </c>
      <c r="B431" s="128" t="n">
        <v>600306973483.1403</v>
      </c>
      <c r="C431" s="128" t="n">
        <v>451295000000</v>
      </c>
      <c r="D431" s="22" t="n">
        <v>0.6650937562826313</v>
      </c>
      <c r="E431" t="inlineStr">
        <is>
          <t>&lt; target</t>
        </is>
      </c>
      <c r="F431" s="22" t="n">
        <v>0.6650937562826313</v>
      </c>
      <c r="G431" t="inlineStr">
        <is>
          <t>&lt; target</t>
        </is>
      </c>
      <c r="H431" s="22" t="n">
        <v>0.6650937562826313</v>
      </c>
      <c r="I431" t="inlineStr">
        <is>
          <t>&lt; target</t>
        </is>
      </c>
      <c r="J431" s="22" t="n">
        <v>0.6650937562826313</v>
      </c>
      <c r="K431" t="inlineStr">
        <is>
          <t>&lt; target</t>
        </is>
      </c>
      <c r="L431" s="22" t="n">
        <v>0.6650937562826313</v>
      </c>
      <c r="M431" t="inlineStr">
        <is>
          <t>&lt; target</t>
        </is>
      </c>
    </row>
    <row r="432">
      <c r="A432" s="45" t="n">
        <v>428</v>
      </c>
      <c r="B432" s="139" t="n">
        <v>602307996728.0842</v>
      </c>
      <c r="C432" s="139" t="n">
        <v>451295000000</v>
      </c>
      <c r="D432" s="47" t="n">
        <v>0.6673107354702403</v>
      </c>
      <c r="E432" s="48" t="inlineStr">
        <is>
          <t>&lt; target</t>
        </is>
      </c>
      <c r="F432" s="47" t="n">
        <v>0.6673107354702403</v>
      </c>
      <c r="G432" s="48" t="inlineStr">
        <is>
          <t>&lt; target</t>
        </is>
      </c>
      <c r="H432" s="47" t="n">
        <v>0.6673107354702403</v>
      </c>
      <c r="I432" s="48" t="inlineStr">
        <is>
          <t>&lt; target</t>
        </is>
      </c>
      <c r="J432" s="47" t="n">
        <v>0.6673107354702403</v>
      </c>
      <c r="K432" s="48" t="inlineStr">
        <is>
          <t>&lt; target</t>
        </is>
      </c>
      <c r="L432" s="47" t="n">
        <v>0.6673107354702403</v>
      </c>
      <c r="M432" s="48" t="inlineStr">
        <is>
          <t>&lt; target</t>
        </is>
      </c>
    </row>
    <row r="433">
      <c r="A433" s="7" t="n">
        <v>429</v>
      </c>
      <c r="B433" s="128" t="n">
        <v>604315690050.5112</v>
      </c>
      <c r="C433" s="128" t="n">
        <v>451295000000</v>
      </c>
      <c r="D433" s="22" t="n">
        <v>0.6695351045884745</v>
      </c>
      <c r="E433" t="inlineStr">
        <is>
          <t>&lt; target</t>
        </is>
      </c>
      <c r="F433" s="22" t="n">
        <v>0.6695351045884745</v>
      </c>
      <c r="G433" t="inlineStr">
        <is>
          <t>&lt; target</t>
        </is>
      </c>
      <c r="H433" s="22" t="n">
        <v>0.6695351045884745</v>
      </c>
      <c r="I433" t="inlineStr">
        <is>
          <t>&lt; target</t>
        </is>
      </c>
      <c r="J433" s="22" t="n">
        <v>0.6695351045884745</v>
      </c>
      <c r="K433" t="inlineStr">
        <is>
          <t>&lt; target</t>
        </is>
      </c>
      <c r="L433" s="22" t="n">
        <v>0.6695351045884745</v>
      </c>
      <c r="M433" t="inlineStr">
        <is>
          <t>&lt; target</t>
        </is>
      </c>
    </row>
    <row r="434">
      <c r="A434" s="45" t="n">
        <v>430</v>
      </c>
      <c r="B434" s="139" t="n">
        <v>606330075684.0129</v>
      </c>
      <c r="C434" s="139" t="n">
        <v>451295000000</v>
      </c>
      <c r="D434" s="47" t="n">
        <v>0.6717668882704361</v>
      </c>
      <c r="E434" s="48" t="inlineStr">
        <is>
          <t>&lt; target</t>
        </is>
      </c>
      <c r="F434" s="47" t="n">
        <v>0.6717668882704361</v>
      </c>
      <c r="G434" s="48" t="inlineStr">
        <is>
          <t>&lt; target</t>
        </is>
      </c>
      <c r="H434" s="47" t="n">
        <v>0.6717668882704361</v>
      </c>
      <c r="I434" s="48" t="inlineStr">
        <is>
          <t>&lt; target</t>
        </is>
      </c>
      <c r="J434" s="47" t="n">
        <v>0.6717668882704361</v>
      </c>
      <c r="K434" s="48" t="inlineStr">
        <is>
          <t>&lt; target</t>
        </is>
      </c>
      <c r="L434" s="47" t="n">
        <v>0.6717668882704361</v>
      </c>
      <c r="M434" s="48" t="inlineStr">
        <is>
          <t>&lt; target</t>
        </is>
      </c>
    </row>
    <row r="435">
      <c r="A435" s="7" t="n">
        <v>431</v>
      </c>
      <c r="B435" s="128" t="n">
        <v>608351175936.293</v>
      </c>
      <c r="C435" s="128" t="n">
        <v>451295000000</v>
      </c>
      <c r="D435" s="22" t="n">
        <v>0.6740061112313376</v>
      </c>
      <c r="E435" t="inlineStr">
        <is>
          <t>&lt; target</t>
        </is>
      </c>
      <c r="F435" s="22" t="n">
        <v>0.6740061112313376</v>
      </c>
      <c r="G435" t="inlineStr">
        <is>
          <t>&lt; target</t>
        </is>
      </c>
      <c r="H435" s="22" t="n">
        <v>0.6740061112313376</v>
      </c>
      <c r="I435" t="inlineStr">
        <is>
          <t>&lt; target</t>
        </is>
      </c>
      <c r="J435" s="22" t="n">
        <v>0.6740061112313376</v>
      </c>
      <c r="K435" t="inlineStr">
        <is>
          <t>&lt; target</t>
        </is>
      </c>
      <c r="L435" s="22" t="n">
        <v>0.6740061112313376</v>
      </c>
      <c r="M435" t="inlineStr">
        <is>
          <t>&lt; target</t>
        </is>
      </c>
    </row>
    <row r="436">
      <c r="A436" s="45" t="n">
        <v>432</v>
      </c>
      <c r="B436" s="139" t="n">
        <v>610379013189.4139</v>
      </c>
      <c r="C436" s="139" t="n">
        <v>451295000000</v>
      </c>
      <c r="D436" s="47" t="n">
        <v>0.6762527982687754</v>
      </c>
      <c r="E436" s="48" t="inlineStr">
        <is>
          <t>&lt; target</t>
        </is>
      </c>
      <c r="F436" s="47" t="n">
        <v>0.6762527982687754</v>
      </c>
      <c r="G436" s="48" t="inlineStr">
        <is>
          <t>&lt; target</t>
        </is>
      </c>
      <c r="H436" s="47" t="n">
        <v>0.6762527982687754</v>
      </c>
      <c r="I436" s="48" t="inlineStr">
        <is>
          <t>&lt; target</t>
        </is>
      </c>
      <c r="J436" s="47" t="n">
        <v>0.6762527982687754</v>
      </c>
      <c r="K436" s="48" t="inlineStr">
        <is>
          <t>&lt; target</t>
        </is>
      </c>
      <c r="L436" s="47" t="n">
        <v>0.6762527982687754</v>
      </c>
      <c r="M436" s="48" t="inlineStr">
        <is>
          <t>&lt; target</t>
        </is>
      </c>
    </row>
    <row r="437">
      <c r="A437" s="7" t="n">
        <v>433</v>
      </c>
      <c r="B437" s="128" t="n">
        <v>612413609900.0454</v>
      </c>
      <c r="C437" s="128" t="n">
        <v>451295000000</v>
      </c>
      <c r="D437" s="22" t="n">
        <v>0.6785069742630047</v>
      </c>
      <c r="E437" t="inlineStr">
        <is>
          <t>&lt; target</t>
        </is>
      </c>
      <c r="F437" s="22" t="n">
        <v>0.6785069742630047</v>
      </c>
      <c r="G437" t="inlineStr">
        <is>
          <t>&lt; target</t>
        </is>
      </c>
      <c r="H437" s="22" t="n">
        <v>0.6785069742630047</v>
      </c>
      <c r="I437" t="inlineStr">
        <is>
          <t>&lt; target</t>
        </is>
      </c>
      <c r="J437" s="22" t="n">
        <v>0.6785069742630047</v>
      </c>
      <c r="K437" t="inlineStr">
        <is>
          <t>&lt; target</t>
        </is>
      </c>
      <c r="L437" s="22" t="n">
        <v>0.6785069742630047</v>
      </c>
      <c r="M437" t="inlineStr">
        <is>
          <t>&lt; target</t>
        </is>
      </c>
    </row>
    <row r="438">
      <c r="A438" s="45" t="n">
        <v>434</v>
      </c>
      <c r="B438" s="139" t="n">
        <v>614454988599.7123</v>
      </c>
      <c r="C438" s="139" t="n">
        <v>451295000000</v>
      </c>
      <c r="D438" s="47" t="n">
        <v>0.6807686641772148</v>
      </c>
      <c r="E438" s="48" t="inlineStr">
        <is>
          <t>&lt; target</t>
        </is>
      </c>
      <c r="F438" s="47" t="n">
        <v>0.6807686641772148</v>
      </c>
      <c r="G438" s="48" t="inlineStr">
        <is>
          <t>&lt; target</t>
        </is>
      </c>
      <c r="H438" s="47" t="n">
        <v>0.6807686641772148</v>
      </c>
      <c r="I438" s="48" t="inlineStr">
        <is>
          <t>&lt; target</t>
        </is>
      </c>
      <c r="J438" s="47" t="n">
        <v>0.6807686641772148</v>
      </c>
      <c r="K438" s="48" t="inlineStr">
        <is>
          <t>&lt; target</t>
        </is>
      </c>
      <c r="L438" s="47" t="n">
        <v>0.6807686641772148</v>
      </c>
      <c r="M438" s="48" t="inlineStr">
        <is>
          <t>&lt; target</t>
        </is>
      </c>
    </row>
    <row r="439">
      <c r="A439" s="7" t="n">
        <v>435</v>
      </c>
      <c r="B439" s="128" t="n">
        <v>616503171895.0447</v>
      </c>
      <c r="C439" s="128" t="n">
        <v>451295000000</v>
      </c>
      <c r="D439" s="22" t="n">
        <v>0.6830378930578055</v>
      </c>
      <c r="E439" t="inlineStr">
        <is>
          <t>&lt; target</t>
        </is>
      </c>
      <c r="F439" s="22" t="n">
        <v>0.6830378930578055</v>
      </c>
      <c r="G439" t="inlineStr">
        <is>
          <t>&lt; target</t>
        </is>
      </c>
      <c r="H439" s="22" t="n">
        <v>0.6830378930578055</v>
      </c>
      <c r="I439" t="inlineStr">
        <is>
          <t>&lt; target</t>
        </is>
      </c>
      <c r="J439" s="22" t="n">
        <v>0.6830378930578055</v>
      </c>
      <c r="K439" t="inlineStr">
        <is>
          <t>&lt; target</t>
        </is>
      </c>
      <c r="L439" s="22" t="n">
        <v>0.6830378930578055</v>
      </c>
      <c r="M439" t="inlineStr">
        <is>
          <t>&lt; target</t>
        </is>
      </c>
    </row>
    <row r="440">
      <c r="A440" s="45" t="n">
        <v>436</v>
      </c>
      <c r="B440" s="139" t="n">
        <v>618558182468.0283</v>
      </c>
      <c r="C440" s="139" t="n">
        <v>451295000000</v>
      </c>
      <c r="D440" s="47" t="n">
        <v>0.6853146860346651</v>
      </c>
      <c r="E440" s="48" t="inlineStr">
        <is>
          <t>&lt; target</t>
        </is>
      </c>
      <c r="F440" s="47" t="n">
        <v>0.6853146860346651</v>
      </c>
      <c r="G440" s="48" t="inlineStr">
        <is>
          <t>&lt; target</t>
        </is>
      </c>
      <c r="H440" s="47" t="n">
        <v>0.6853146860346651</v>
      </c>
      <c r="I440" s="48" t="inlineStr">
        <is>
          <t>&lt; target</t>
        </is>
      </c>
      <c r="J440" s="47" t="n">
        <v>0.6853146860346651</v>
      </c>
      <c r="K440" s="48" t="inlineStr">
        <is>
          <t>&lt; target</t>
        </is>
      </c>
      <c r="L440" s="47" t="n">
        <v>0.6853146860346651</v>
      </c>
      <c r="M440" s="48" t="inlineStr">
        <is>
          <t>&lt; target</t>
        </is>
      </c>
    </row>
    <row r="441">
      <c r="A441" s="7" t="n">
        <v>437</v>
      </c>
      <c r="B441" s="128" t="n">
        <v>620620043076.2551</v>
      </c>
      <c r="C441" s="128" t="n">
        <v>451295000000</v>
      </c>
      <c r="D441" s="22" t="n">
        <v>0.6875990683214473</v>
      </c>
      <c r="E441" t="inlineStr">
        <is>
          <t>&lt; target</t>
        </is>
      </c>
      <c r="F441" s="22" t="n">
        <v>0.6875990683214473</v>
      </c>
      <c r="G441" t="inlineStr">
        <is>
          <t>&lt; target</t>
        </is>
      </c>
      <c r="H441" s="22" t="n">
        <v>0.6875990683214473</v>
      </c>
      <c r="I441" t="inlineStr">
        <is>
          <t>&lt; target</t>
        </is>
      </c>
      <c r="J441" s="22" t="n">
        <v>0.6875990683214473</v>
      </c>
      <c r="K441" t="inlineStr">
        <is>
          <t>&lt; target</t>
        </is>
      </c>
      <c r="L441" s="22" t="n">
        <v>0.6875990683214473</v>
      </c>
      <c r="M441" t="inlineStr">
        <is>
          <t>&lt; target</t>
        </is>
      </c>
    </row>
    <row r="442">
      <c r="A442" s="45" t="n">
        <v>438</v>
      </c>
      <c r="B442" s="139" t="n">
        <v>622688776553.1759</v>
      </c>
      <c r="C442" s="139" t="n">
        <v>451295000000</v>
      </c>
      <c r="D442" s="47" t="n">
        <v>0.6898910652158521</v>
      </c>
      <c r="E442" s="48" t="inlineStr">
        <is>
          <t>&lt; target</t>
        </is>
      </c>
      <c r="F442" s="47" t="n">
        <v>0.6898910652158521</v>
      </c>
      <c r="G442" s="48" t="inlineStr">
        <is>
          <t>&lt; target</t>
        </is>
      </c>
      <c r="H442" s="47" t="n">
        <v>0.6898910652158521</v>
      </c>
      <c r="I442" s="48" t="inlineStr">
        <is>
          <t>&lt; target</t>
        </is>
      </c>
      <c r="J442" s="47" t="n">
        <v>0.6898910652158521</v>
      </c>
      <c r="K442" s="48" t="inlineStr">
        <is>
          <t>&lt; target</t>
        </is>
      </c>
      <c r="L442" s="47" t="n">
        <v>0.6898910652158521</v>
      </c>
      <c r="M442" s="48" t="inlineStr">
        <is>
          <t>&lt; target</t>
        </is>
      </c>
    </row>
    <row r="443">
      <c r="A443" s="7" t="n">
        <v>439</v>
      </c>
      <c r="B443" s="128" t="n">
        <v>624764405808.3531</v>
      </c>
      <c r="C443" s="128" t="n">
        <v>451295000000</v>
      </c>
      <c r="D443" s="22" t="n">
        <v>0.6921907020999049</v>
      </c>
      <c r="E443" t="inlineStr">
        <is>
          <t>&lt; target</t>
        </is>
      </c>
      <c r="F443" s="22" t="n">
        <v>0.6921907020999049</v>
      </c>
      <c r="G443" t="inlineStr">
        <is>
          <t>&lt; target</t>
        </is>
      </c>
      <c r="H443" s="22" t="n">
        <v>0.6921907020999049</v>
      </c>
      <c r="I443" t="inlineStr">
        <is>
          <t>&lt; target</t>
        </is>
      </c>
      <c r="J443" s="22" t="n">
        <v>0.6921907020999049</v>
      </c>
      <c r="K443" t="inlineStr">
        <is>
          <t>&lt; target</t>
        </is>
      </c>
      <c r="L443" s="22" t="n">
        <v>0.6921907020999049</v>
      </c>
      <c r="M443" t="inlineStr">
        <is>
          <t>&lt; target</t>
        </is>
      </c>
    </row>
    <row r="444">
      <c r="A444" s="45" t="n">
        <v>440</v>
      </c>
      <c r="B444" s="139" t="n">
        <v>626846953827.7145</v>
      </c>
      <c r="C444" s="139" t="n">
        <v>451295000000</v>
      </c>
      <c r="D444" s="47" t="n">
        <v>0.694498004440238</v>
      </c>
      <c r="E444" s="48" t="inlineStr">
        <is>
          <t>&lt; target</t>
        </is>
      </c>
      <c r="F444" s="47" t="n">
        <v>0.694498004440238</v>
      </c>
      <c r="G444" s="48" t="inlineStr">
        <is>
          <t>&lt; target</t>
        </is>
      </c>
      <c r="H444" s="47" t="n">
        <v>0.694498004440238</v>
      </c>
      <c r="I444" s="48" t="inlineStr">
        <is>
          <t>&lt; target</t>
        </is>
      </c>
      <c r="J444" s="47" t="n">
        <v>0.694498004440238</v>
      </c>
      <c r="K444" s="48" t="inlineStr">
        <is>
          <t>&lt; target</t>
        </is>
      </c>
      <c r="L444" s="47" t="n">
        <v>0.694498004440238</v>
      </c>
      <c r="M444" s="48" t="inlineStr">
        <is>
          <t>&lt; target</t>
        </is>
      </c>
    </row>
    <row r="445">
      <c r="A445" s="7" t="n">
        <v>441</v>
      </c>
      <c r="B445" s="128" t="n">
        <v>628936443673.8069</v>
      </c>
      <c r="C445" s="128" t="n">
        <v>451295000000</v>
      </c>
      <c r="D445" s="22" t="n">
        <v>0.6968129977883722</v>
      </c>
      <c r="E445" t="inlineStr">
        <is>
          <t>&lt; target</t>
        </is>
      </c>
      <c r="F445" s="22" t="n">
        <v>0.6968129977883722</v>
      </c>
      <c r="G445" t="inlineStr">
        <is>
          <t>&lt; target</t>
        </is>
      </c>
      <c r="H445" s="22" t="n">
        <v>0.6968129977883722</v>
      </c>
      <c r="I445" t="inlineStr">
        <is>
          <t>&lt; target</t>
        </is>
      </c>
      <c r="J445" s="22" t="n">
        <v>0.6968129977883722</v>
      </c>
      <c r="K445" t="inlineStr">
        <is>
          <t>&lt; target</t>
        </is>
      </c>
      <c r="L445" s="22" t="n">
        <v>0.6968129977883722</v>
      </c>
      <c r="M445" t="inlineStr">
        <is>
          <t>&lt; target</t>
        </is>
      </c>
    </row>
    <row r="446">
      <c r="A446" s="45" t="n">
        <v>442</v>
      </c>
      <c r="B446" s="139" t="n">
        <v>631032898486.053</v>
      </c>
      <c r="C446" s="139" t="n">
        <v>451295000000</v>
      </c>
      <c r="D446" s="47" t="n">
        <v>0.6991357077810002</v>
      </c>
      <c r="E446" s="48" t="inlineStr">
        <is>
          <t>&lt; target</t>
        </is>
      </c>
      <c r="F446" s="47" t="n">
        <v>0.6991357077810002</v>
      </c>
      <c r="G446" s="48" t="inlineStr">
        <is>
          <t>&lt; target</t>
        </is>
      </c>
      <c r="H446" s="47" t="n">
        <v>0.6991357077810002</v>
      </c>
      <c r="I446" s="48" t="inlineStr">
        <is>
          <t>&lt; target</t>
        </is>
      </c>
      <c r="J446" s="47" t="n">
        <v>0.6991357077810002</v>
      </c>
      <c r="K446" s="48" t="inlineStr">
        <is>
          <t>&lt; target</t>
        </is>
      </c>
      <c r="L446" s="47" t="n">
        <v>0.6991357077810002</v>
      </c>
      <c r="M446" s="48" t="inlineStr">
        <is>
          <t>&lt; target</t>
        </is>
      </c>
    </row>
    <row r="447">
      <c r="A447" s="7" t="n">
        <v>443</v>
      </c>
      <c r="B447" s="128" t="n">
        <v>633136341481.0065</v>
      </c>
      <c r="C447" s="128" t="n">
        <v>451295000000</v>
      </c>
      <c r="D447" s="22" t="n">
        <v>0.7014661601402702</v>
      </c>
      <c r="E447" t="inlineStr">
        <is>
          <t>&lt; target</t>
        </is>
      </c>
      <c r="F447" s="22" t="n">
        <v>0.7014661601402702</v>
      </c>
      <c r="G447" t="inlineStr">
        <is>
          <t>&lt; target</t>
        </is>
      </c>
      <c r="H447" s="22" t="n">
        <v>0.7014661601402702</v>
      </c>
      <c r="I447" t="inlineStr">
        <is>
          <t>&lt; target</t>
        </is>
      </c>
      <c r="J447" s="22" t="n">
        <v>0.7014661601402702</v>
      </c>
      <c r="K447" t="inlineStr">
        <is>
          <t>&lt; target</t>
        </is>
      </c>
      <c r="L447" s="22" t="n">
        <v>0.7014661601402702</v>
      </c>
      <c r="M447" t="inlineStr">
        <is>
          <t>&lt; target</t>
        </is>
      </c>
    </row>
    <row r="448">
      <c r="A448" s="45" t="n">
        <v>444</v>
      </c>
      <c r="B448" s="139" t="n">
        <v>635246795952.61</v>
      </c>
      <c r="C448" s="139" t="n">
        <v>451295000000</v>
      </c>
      <c r="D448" s="47" t="n">
        <v>0.7038043806740713</v>
      </c>
      <c r="E448" s="48" t="inlineStr">
        <is>
          <t>&lt; target</t>
        </is>
      </c>
      <c r="F448" s="47" t="n">
        <v>0.7038043806740713</v>
      </c>
      <c r="G448" s="48" t="inlineStr">
        <is>
          <t>&lt; target</t>
        </is>
      </c>
      <c r="H448" s="47" t="n">
        <v>0.7038043806740713</v>
      </c>
      <c r="I448" s="48" t="inlineStr">
        <is>
          <t>&lt; target</t>
        </is>
      </c>
      <c r="J448" s="47" t="n">
        <v>0.7038043806740713</v>
      </c>
      <c r="K448" s="48" t="inlineStr">
        <is>
          <t>&lt; target</t>
        </is>
      </c>
      <c r="L448" s="47" t="n">
        <v>0.7038043806740713</v>
      </c>
      <c r="M448" s="48" t="inlineStr">
        <is>
          <t>&lt; target</t>
        </is>
      </c>
    </row>
    <row r="449">
      <c r="A449" s="7" t="n">
        <v>445</v>
      </c>
      <c r="B449" s="128" t="n">
        <v>637364285272.452</v>
      </c>
      <c r="C449" s="128" t="n">
        <v>451295000000</v>
      </c>
      <c r="D449" s="22" t="n">
        <v>0.7061503952763182</v>
      </c>
      <c r="E449" t="inlineStr">
        <is>
          <t>&lt; target</t>
        </is>
      </c>
      <c r="F449" s="22" t="n">
        <v>0.7061503952763182</v>
      </c>
      <c r="G449" t="inlineStr">
        <is>
          <t>&lt; target</t>
        </is>
      </c>
      <c r="H449" s="22" t="n">
        <v>0.7061503952763182</v>
      </c>
      <c r="I449" t="inlineStr">
        <is>
          <t>&lt; target</t>
        </is>
      </c>
      <c r="J449" s="22" t="n">
        <v>0.7061503952763182</v>
      </c>
      <c r="K449" t="inlineStr">
        <is>
          <t>&lt; target</t>
        </is>
      </c>
      <c r="L449" s="22" t="n">
        <v>0.7061503952763182</v>
      </c>
      <c r="M449" t="inlineStr">
        <is>
          <t>&lt; target</t>
        </is>
      </c>
    </row>
    <row r="450">
      <c r="A450" s="45" t="n">
        <v>446</v>
      </c>
      <c r="B450" s="139" t="n">
        <v>639488832890.0269</v>
      </c>
      <c r="C450" s="139" t="n">
        <v>451295000000</v>
      </c>
      <c r="D450" s="47" t="n">
        <v>0.7085042299272393</v>
      </c>
      <c r="E450" s="48" t="inlineStr">
        <is>
          <t>&lt; target</t>
        </is>
      </c>
      <c r="F450" s="47" t="n">
        <v>0.7085042299272393</v>
      </c>
      <c r="G450" s="48" t="inlineStr">
        <is>
          <t>&lt; target</t>
        </is>
      </c>
      <c r="H450" s="47" t="n">
        <v>0.7085042299272393</v>
      </c>
      <c r="I450" s="48" t="inlineStr">
        <is>
          <t>&lt; target</t>
        </is>
      </c>
      <c r="J450" s="47" t="n">
        <v>0.7085042299272393</v>
      </c>
      <c r="K450" s="48" t="inlineStr">
        <is>
          <t>&lt; target</t>
        </is>
      </c>
      <c r="L450" s="47" t="n">
        <v>0.7085042299272393</v>
      </c>
      <c r="M450" s="48" t="inlineStr">
        <is>
          <t>&lt; target</t>
        </is>
      </c>
    </row>
    <row r="451">
      <c r="A451" s="7" t="n">
        <v>447</v>
      </c>
      <c r="B451" s="128" t="n">
        <v>641620462332.9937</v>
      </c>
      <c r="C451" s="128" t="n">
        <v>451295000000</v>
      </c>
      <c r="D451" s="22" t="n">
        <v>0.7108659106936634</v>
      </c>
      <c r="E451" t="inlineStr">
        <is>
          <t>&lt; target</t>
        </is>
      </c>
      <c r="F451" s="22" t="n">
        <v>0.7108659106936634</v>
      </c>
      <c r="G451" t="inlineStr">
        <is>
          <t>&lt; target</t>
        </is>
      </c>
      <c r="H451" s="22" t="n">
        <v>0.7108659106936634</v>
      </c>
      <c r="I451" t="inlineStr">
        <is>
          <t>&lt; target</t>
        </is>
      </c>
      <c r="J451" s="22" t="n">
        <v>0.7108659106936634</v>
      </c>
      <c r="K451" t="inlineStr">
        <is>
          <t>&lt; target</t>
        </is>
      </c>
      <c r="L451" s="22" t="n">
        <v>0.7108659106936634</v>
      </c>
      <c r="M451" t="inlineStr">
        <is>
          <t>&lt; target</t>
        </is>
      </c>
    </row>
    <row r="452">
      <c r="A452" s="45" t="n">
        <v>448</v>
      </c>
      <c r="B452" s="139" t="n">
        <v>643759197207.437</v>
      </c>
      <c r="C452" s="139" t="n">
        <v>451295000000</v>
      </c>
      <c r="D452" s="47" t="n">
        <v>0.713235463729309</v>
      </c>
      <c r="E452" s="48" t="inlineStr">
        <is>
          <t>&lt; target</t>
        </is>
      </c>
      <c r="F452" s="47" t="n">
        <v>0.713235463729309</v>
      </c>
      <c r="G452" s="48" t="inlineStr">
        <is>
          <t>&lt; target</t>
        </is>
      </c>
      <c r="H452" s="47" t="n">
        <v>0.713235463729309</v>
      </c>
      <c r="I452" s="48" t="inlineStr">
        <is>
          <t>&lt; target</t>
        </is>
      </c>
      <c r="J452" s="47" t="n">
        <v>0.713235463729309</v>
      </c>
      <c r="K452" s="48" t="inlineStr">
        <is>
          <t>&lt; target</t>
        </is>
      </c>
      <c r="L452" s="47" t="n">
        <v>0.713235463729309</v>
      </c>
      <c r="M452" s="48" t="inlineStr">
        <is>
          <t>&lt; target</t>
        </is>
      </c>
    </row>
    <row r="453">
      <c r="A453" s="7" t="n">
        <v>449</v>
      </c>
      <c r="B453" s="128" t="n">
        <v>645905061198.1287</v>
      </c>
      <c r="C453" s="128" t="n">
        <v>451295000000</v>
      </c>
      <c r="D453" s="22" t="n">
        <v>0.7156129152750735</v>
      </c>
      <c r="E453" t="inlineStr">
        <is>
          <t>&lt; target</t>
        </is>
      </c>
      <c r="F453" s="22" t="n">
        <v>0.7156129152750735</v>
      </c>
      <c r="G453" t="inlineStr">
        <is>
          <t>&lt; target</t>
        </is>
      </c>
      <c r="H453" s="22" t="n">
        <v>0.7156129152750735</v>
      </c>
      <c r="I453" t="inlineStr">
        <is>
          <t>&lt; target</t>
        </is>
      </c>
      <c r="J453" s="22" t="n">
        <v>0.7156129152750735</v>
      </c>
      <c r="K453" t="inlineStr">
        <is>
          <t>&lt; target</t>
        </is>
      </c>
      <c r="L453" s="22" t="n">
        <v>0.7156129152750735</v>
      </c>
      <c r="M453" t="inlineStr">
        <is>
          <t>&lt; target</t>
        </is>
      </c>
    </row>
    <row r="454">
      <c r="A454" s="45" t="n">
        <v>450</v>
      </c>
      <c r="B454" s="139" t="n">
        <v>648058078068.7889</v>
      </c>
      <c r="C454" s="139" t="n">
        <v>451295000000</v>
      </c>
      <c r="D454" s="47" t="n">
        <v>0.7179982916593236</v>
      </c>
      <c r="E454" s="48" t="inlineStr">
        <is>
          <t>&lt; target</t>
        </is>
      </c>
      <c r="F454" s="47" t="n">
        <v>0.7179982916593236</v>
      </c>
      <c r="G454" s="48" t="inlineStr">
        <is>
          <t>&lt; target</t>
        </is>
      </c>
      <c r="H454" s="47" t="n">
        <v>0.7179982916593236</v>
      </c>
      <c r="I454" s="48" t="inlineStr">
        <is>
          <t>&lt; target</t>
        </is>
      </c>
      <c r="J454" s="47" t="n">
        <v>0.7179982916593236</v>
      </c>
      <c r="K454" s="48" t="inlineStr">
        <is>
          <t>&lt; target</t>
        </is>
      </c>
      <c r="L454" s="47" t="n">
        <v>0.7179982916593236</v>
      </c>
      <c r="M454" s="48" t="inlineStr">
        <is>
          <t>&lt; target</t>
        </is>
      </c>
    </row>
    <row r="455">
      <c r="A455" s="7" t="n">
        <v>451</v>
      </c>
      <c r="B455" s="128" t="n">
        <v>650218271662.3517</v>
      </c>
      <c r="C455" s="128" t="n">
        <v>451295000000</v>
      </c>
      <c r="D455" s="22" t="n">
        <v>0.7203916192981882</v>
      </c>
      <c r="E455" t="inlineStr">
        <is>
          <t>&lt; target</t>
        </is>
      </c>
      <c r="F455" s="22" t="n">
        <v>0.7203916192981882</v>
      </c>
      <c r="G455" t="inlineStr">
        <is>
          <t>&lt; target</t>
        </is>
      </c>
      <c r="H455" s="22" t="n">
        <v>0.7203916192981882</v>
      </c>
      <c r="I455" t="inlineStr">
        <is>
          <t>&lt; target</t>
        </is>
      </c>
      <c r="J455" s="22" t="n">
        <v>0.7203916192981882</v>
      </c>
      <c r="K455" t="inlineStr">
        <is>
          <t>&lt; target</t>
        </is>
      </c>
      <c r="L455" s="22" t="n">
        <v>0.7203916192981882</v>
      </c>
      <c r="M455" t="inlineStr">
        <is>
          <t>&lt; target</t>
        </is>
      </c>
    </row>
    <row r="456">
      <c r="A456" s="45" t="n">
        <v>452</v>
      </c>
      <c r="B456" s="139" t="n">
        <v>652385665901.2263</v>
      </c>
      <c r="C456" s="139" t="n">
        <v>451295000000</v>
      </c>
      <c r="D456" s="47" t="n">
        <v>0.722792924695849</v>
      </c>
      <c r="E456" s="48" t="inlineStr">
        <is>
          <t>&lt; target</t>
        </is>
      </c>
      <c r="F456" s="47" t="n">
        <v>0.722792924695849</v>
      </c>
      <c r="G456" s="48" t="inlineStr">
        <is>
          <t>&lt; target</t>
        </is>
      </c>
      <c r="H456" s="47" t="n">
        <v>0.722792924695849</v>
      </c>
      <c r="I456" s="48" t="inlineStr">
        <is>
          <t>&lt; target</t>
        </is>
      </c>
      <c r="J456" s="47" t="n">
        <v>0.722792924695849</v>
      </c>
      <c r="K456" s="48" t="inlineStr">
        <is>
          <t>&lt; target</t>
        </is>
      </c>
      <c r="L456" s="47" t="n">
        <v>0.722792924695849</v>
      </c>
      <c r="M456" s="48" t="inlineStr">
        <is>
          <t>&lt; target</t>
        </is>
      </c>
    </row>
    <row r="457">
      <c r="A457" s="7" t="n">
        <v>453</v>
      </c>
      <c r="B457" s="128" t="n">
        <v>654560284787.5637</v>
      </c>
      <c r="C457" s="128" t="n">
        <v>451295000000</v>
      </c>
      <c r="D457" s="22" t="n">
        <v>0.7252022344448351</v>
      </c>
      <c r="E457" t="inlineStr">
        <is>
          <t>&lt; target</t>
        </is>
      </c>
      <c r="F457" s="22" t="n">
        <v>0.7252022344448351</v>
      </c>
      <c r="G457" t="inlineStr">
        <is>
          <t>&lt; target</t>
        </is>
      </c>
      <c r="H457" s="22" t="n">
        <v>0.7252022344448351</v>
      </c>
      <c r="I457" t="inlineStr">
        <is>
          <t>&lt; target</t>
        </is>
      </c>
      <c r="J457" s="22" t="n">
        <v>0.7252022344448351</v>
      </c>
      <c r="K457" t="inlineStr">
        <is>
          <t>&lt; target</t>
        </is>
      </c>
      <c r="L457" s="22" t="n">
        <v>0.7252022344448351</v>
      </c>
      <c r="M457" t="inlineStr">
        <is>
          <t>&lt; target</t>
        </is>
      </c>
    </row>
    <row r="458">
      <c r="A458" s="45" t="n">
        <v>454</v>
      </c>
      <c r="B458" s="139" t="n">
        <v>656742152403.5223</v>
      </c>
      <c r="C458" s="139" t="n">
        <v>451295000000</v>
      </c>
      <c r="D458" s="47" t="n">
        <v>0.7276195752263179</v>
      </c>
      <c r="E458" s="48" t="inlineStr">
        <is>
          <t>&lt; target</t>
        </is>
      </c>
      <c r="F458" s="47" t="n">
        <v>0.7276195752263179</v>
      </c>
      <c r="G458" s="48" t="inlineStr">
        <is>
          <t>&lt; target</t>
        </is>
      </c>
      <c r="H458" s="47" t="n">
        <v>0.7276195752263179</v>
      </c>
      <c r="I458" s="48" t="inlineStr">
        <is>
          <t>&lt; target</t>
        </is>
      </c>
      <c r="J458" s="47" t="n">
        <v>0.7276195752263179</v>
      </c>
      <c r="K458" s="48" t="inlineStr">
        <is>
          <t>&lt; target</t>
        </is>
      </c>
      <c r="L458" s="47" t="n">
        <v>0.7276195752263179</v>
      </c>
      <c r="M458" s="48" t="inlineStr">
        <is>
          <t>&lt; target</t>
        </is>
      </c>
    </row>
    <row r="459">
      <c r="A459" s="7" t="n">
        <v>455</v>
      </c>
      <c r="B459" s="128" t="n">
        <v>658931292911.5342</v>
      </c>
      <c r="C459" s="128" t="n">
        <v>451295000000</v>
      </c>
      <c r="D459" s="22" t="n">
        <v>0.7300449738104058</v>
      </c>
      <c r="E459" t="inlineStr">
        <is>
          <t>&lt; target</t>
        </is>
      </c>
      <c r="F459" s="22" t="n">
        <v>0.7300449738104058</v>
      </c>
      <c r="G459" t="inlineStr">
        <is>
          <t>&lt; target</t>
        </is>
      </c>
      <c r="H459" s="22" t="n">
        <v>0.7300449738104058</v>
      </c>
      <c r="I459" t="inlineStr">
        <is>
          <t>&lt; target</t>
        </is>
      </c>
      <c r="J459" s="22" t="n">
        <v>0.7300449738104058</v>
      </c>
      <c r="K459" t="inlineStr">
        <is>
          <t>&lt; target</t>
        </is>
      </c>
      <c r="L459" s="22" t="n">
        <v>0.7300449738104058</v>
      </c>
      <c r="M459" t="inlineStr">
        <is>
          <t>&lt; target</t>
        </is>
      </c>
    </row>
    <row r="460">
      <c r="A460" s="45" t="n">
        <v>456</v>
      </c>
      <c r="B460" s="139" t="n">
        <v>661127730554.5726</v>
      </c>
      <c r="C460" s="139" t="n">
        <v>451295000000</v>
      </c>
      <c r="D460" s="47" t="n">
        <v>0.7324784570564405</v>
      </c>
      <c r="E460" s="48" t="inlineStr">
        <is>
          <t>&lt; target</t>
        </is>
      </c>
      <c r="F460" s="47" t="n">
        <v>0.7324784570564405</v>
      </c>
      <c r="G460" s="48" t="inlineStr">
        <is>
          <t>&lt; target</t>
        </is>
      </c>
      <c r="H460" s="47" t="n">
        <v>0.7324784570564405</v>
      </c>
      <c r="I460" s="48" t="inlineStr">
        <is>
          <t>&lt; target</t>
        </is>
      </c>
      <c r="J460" s="47" t="n">
        <v>0.7324784570564405</v>
      </c>
      <c r="K460" s="48" t="inlineStr">
        <is>
          <t>&lt; target</t>
        </is>
      </c>
      <c r="L460" s="47" t="n">
        <v>0.7324784570564405</v>
      </c>
      <c r="M460" s="48" t="inlineStr">
        <is>
          <t>&lt; target</t>
        </is>
      </c>
    </row>
    <row r="461">
      <c r="A461" s="7" t="n">
        <v>457</v>
      </c>
      <c r="B461" s="128" t="n">
        <v>663331489656.4213</v>
      </c>
      <c r="C461" s="128" t="n">
        <v>451295000000</v>
      </c>
      <c r="D461" s="22" t="n">
        <v>0.7349200519132953</v>
      </c>
      <c r="E461" t="inlineStr">
        <is>
          <t>&lt; target</t>
        </is>
      </c>
      <c r="F461" s="22" t="n">
        <v>0.7349200519132953</v>
      </c>
      <c r="G461" t="inlineStr">
        <is>
          <t>&lt; target</t>
        </is>
      </c>
      <c r="H461" s="22" t="n">
        <v>0.7349200519132953</v>
      </c>
      <c r="I461" t="inlineStr">
        <is>
          <t>&lt; target</t>
        </is>
      </c>
      <c r="J461" s="22" t="n">
        <v>0.7349200519132953</v>
      </c>
      <c r="K461" t="inlineStr">
        <is>
          <t>&lt; target</t>
        </is>
      </c>
      <c r="L461" s="22" t="n">
        <v>0.7349200519132953</v>
      </c>
      <c r="M461" t="inlineStr">
        <is>
          <t>&lt; target</t>
        </is>
      </c>
    </row>
    <row r="462">
      <c r="A462" s="45" t="n">
        <v>458</v>
      </c>
      <c r="B462" s="139" t="n">
        <v>665542594621.9427</v>
      </c>
      <c r="C462" s="139" t="n">
        <v>451295000000</v>
      </c>
      <c r="D462" s="47" t="n">
        <v>0.7373697854196731</v>
      </c>
      <c r="E462" s="48" t="inlineStr">
        <is>
          <t>&lt; target</t>
        </is>
      </c>
      <c r="F462" s="47" t="n">
        <v>0.7373697854196731</v>
      </c>
      <c r="G462" s="48" t="inlineStr">
        <is>
          <t>&lt; target</t>
        </is>
      </c>
      <c r="H462" s="47" t="n">
        <v>0.7373697854196731</v>
      </c>
      <c r="I462" s="48" t="inlineStr">
        <is>
          <t>&lt; target</t>
        </is>
      </c>
      <c r="J462" s="47" t="n">
        <v>0.7373697854196731</v>
      </c>
      <c r="K462" s="48" t="inlineStr">
        <is>
          <t>&lt; target</t>
        </is>
      </c>
      <c r="L462" s="47" t="n">
        <v>0.7373697854196731</v>
      </c>
      <c r="M462" s="48" t="inlineStr">
        <is>
          <t>&lt; target</t>
        </is>
      </c>
    </row>
    <row r="463">
      <c r="A463" s="7" t="n">
        <v>459</v>
      </c>
      <c r="B463" s="128" t="n">
        <v>667761069937.3492</v>
      </c>
      <c r="C463" s="128" t="n">
        <v>451295000000</v>
      </c>
      <c r="D463" s="22" t="n">
        <v>0.7398276847044054</v>
      </c>
      <c r="E463" t="inlineStr">
        <is>
          <t>&lt; target</t>
        </is>
      </c>
      <c r="F463" s="22" t="n">
        <v>0.7398276847044054</v>
      </c>
      <c r="G463" t="inlineStr">
        <is>
          <t>&lt; target</t>
        </is>
      </c>
      <c r="H463" s="22" t="n">
        <v>0.7398276847044054</v>
      </c>
      <c r="I463" t="inlineStr">
        <is>
          <t>&lt; target</t>
        </is>
      </c>
      <c r="J463" s="22" t="n">
        <v>0.7398276847044054</v>
      </c>
      <c r="K463" t="inlineStr">
        <is>
          <t>&lt; target</t>
        </is>
      </c>
      <c r="L463" s="22" t="n">
        <v>0.7398276847044054</v>
      </c>
      <c r="M463" t="inlineStr">
        <is>
          <t>&lt; target</t>
        </is>
      </c>
    </row>
    <row r="464">
      <c r="A464" s="45" t="n">
        <v>460</v>
      </c>
      <c r="B464" s="139" t="n">
        <v>669986940170.4739</v>
      </c>
      <c r="C464" s="139" t="n">
        <v>451295000000</v>
      </c>
      <c r="D464" s="47" t="n">
        <v>0.7422937769867536</v>
      </c>
      <c r="E464" s="48" t="inlineStr">
        <is>
          <t>&lt; target</t>
        </is>
      </c>
      <c r="F464" s="47" t="n">
        <v>0.7422937769867536</v>
      </c>
      <c r="G464" s="48" t="inlineStr">
        <is>
          <t>&lt; target</t>
        </is>
      </c>
      <c r="H464" s="47" t="n">
        <v>0.7422937769867536</v>
      </c>
      <c r="I464" s="48" t="inlineStr">
        <is>
          <t>&lt; target</t>
        </is>
      </c>
      <c r="J464" s="47" t="n">
        <v>0.7422937769867536</v>
      </c>
      <c r="K464" s="48" t="inlineStr">
        <is>
          <t>&lt; target</t>
        </is>
      </c>
      <c r="L464" s="47" t="n">
        <v>0.7422937769867536</v>
      </c>
      <c r="M464" s="48" t="inlineStr">
        <is>
          <t>&lt; target</t>
        </is>
      </c>
    </row>
    <row r="465">
      <c r="A465" s="7" t="n">
        <v>461</v>
      </c>
      <c r="B465" s="128" t="n">
        <v>672220229971.0421</v>
      </c>
      <c r="C465" s="128" t="n">
        <v>451295000000</v>
      </c>
      <c r="D465" s="22" t="n">
        <v>0.7447680895767094</v>
      </c>
      <c r="E465" t="inlineStr">
        <is>
          <t>&lt; target</t>
        </is>
      </c>
      <c r="F465" s="22" t="n">
        <v>0.7447680895767094</v>
      </c>
      <c r="G465" t="inlineStr">
        <is>
          <t>&lt; target</t>
        </is>
      </c>
      <c r="H465" s="22" t="n">
        <v>0.7447680895767094</v>
      </c>
      <c r="I465" t="inlineStr">
        <is>
          <t>&lt; target</t>
        </is>
      </c>
      <c r="J465" s="22" t="n">
        <v>0.7447680895767094</v>
      </c>
      <c r="K465" t="inlineStr">
        <is>
          <t>&lt; target</t>
        </is>
      </c>
      <c r="L465" s="22" t="n">
        <v>0.7447680895767094</v>
      </c>
      <c r="M465" t="inlineStr">
        <is>
          <t>&lt; target</t>
        </is>
      </c>
    </row>
    <row r="466">
      <c r="A466" s="45" t="n">
        <v>462</v>
      </c>
      <c r="B466" s="139" t="n">
        <v>674460964070.9457</v>
      </c>
      <c r="C466" s="139" t="n">
        <v>451295000000</v>
      </c>
      <c r="D466" s="47" t="n">
        <v>0.7472506498752985</v>
      </c>
      <c r="E466" s="48" t="inlineStr">
        <is>
          <t>&lt; target</t>
        </is>
      </c>
      <c r="F466" s="47" t="n">
        <v>0.7472506498752985</v>
      </c>
      <c r="G466" s="48" t="inlineStr">
        <is>
          <t>&lt; target</t>
        </is>
      </c>
      <c r="H466" s="47" t="n">
        <v>0.7472506498752985</v>
      </c>
      <c r="I466" s="48" t="inlineStr">
        <is>
          <t>&lt; target</t>
        </is>
      </c>
      <c r="J466" s="47" t="n">
        <v>0.7472506498752985</v>
      </c>
      <c r="K466" s="48" t="inlineStr">
        <is>
          <t>&lt; target</t>
        </is>
      </c>
      <c r="L466" s="47" t="n">
        <v>0.7472506498752985</v>
      </c>
      <c r="M466" s="48" t="inlineStr">
        <is>
          <t>&lt; target</t>
        </is>
      </c>
    </row>
    <row r="467">
      <c r="A467" s="7" t="n">
        <v>463</v>
      </c>
      <c r="B467" s="128" t="n">
        <v>676709167284.5154</v>
      </c>
      <c r="C467" s="128" t="n">
        <v>451295000000</v>
      </c>
      <c r="D467" s="22" t="n">
        <v>0.7497414853748827</v>
      </c>
      <c r="E467" t="inlineStr">
        <is>
          <t>&lt; target</t>
        </is>
      </c>
      <c r="F467" s="22" t="n">
        <v>0.7497414853748827</v>
      </c>
      <c r="G467" t="inlineStr">
        <is>
          <t>&lt; target</t>
        </is>
      </c>
      <c r="H467" s="22" t="n">
        <v>0.7497414853748827</v>
      </c>
      <c r="I467" t="inlineStr">
        <is>
          <t>&lt; target</t>
        </is>
      </c>
      <c r="J467" s="22" t="n">
        <v>0.7497414853748827</v>
      </c>
      <c r="K467" t="inlineStr">
        <is>
          <t>&lt; target</t>
        </is>
      </c>
      <c r="L467" s="22" t="n">
        <v>0.7497414853748827</v>
      </c>
      <c r="M467" t="inlineStr">
        <is>
          <t>&lt; target</t>
        </is>
      </c>
    </row>
    <row r="468">
      <c r="A468" s="45" t="n">
        <v>464</v>
      </c>
      <c r="B468" s="139" t="n">
        <v>678964864508.7972</v>
      </c>
      <c r="C468" s="139" t="n">
        <v>451295000000</v>
      </c>
      <c r="D468" s="47" t="n">
        <v>0.7522406236594658</v>
      </c>
      <c r="E468" s="48" t="inlineStr">
        <is>
          <t>&lt; target</t>
        </is>
      </c>
      <c r="F468" s="47" t="n">
        <v>0.7522406236594658</v>
      </c>
      <c r="G468" s="48" t="inlineStr">
        <is>
          <t>&lt; target</t>
        </is>
      </c>
      <c r="H468" s="47" t="n">
        <v>0.7522406236594658</v>
      </c>
      <c r="I468" s="48" t="inlineStr">
        <is>
          <t>&lt; target</t>
        </is>
      </c>
      <c r="J468" s="47" t="n">
        <v>0.7522406236594658</v>
      </c>
      <c r="K468" s="48" t="inlineStr">
        <is>
          <t>&lt; target</t>
        </is>
      </c>
      <c r="L468" s="49" t="n">
        <v>0.7522406236594658</v>
      </c>
      <c r="M468" s="50" t="inlineStr">
        <is>
          <t>✓ REACHED</t>
        </is>
      </c>
    </row>
    <row r="469">
      <c r="A469" s="7" t="n">
        <v>465</v>
      </c>
      <c r="B469" s="128" t="n">
        <v>681228080723.8267</v>
      </c>
      <c r="C469" s="128" t="n">
        <v>451295000000</v>
      </c>
      <c r="D469" s="22" t="n">
        <v>0.7547480924049975</v>
      </c>
      <c r="E469" t="inlineStr">
        <is>
          <t>&lt; target</t>
        </is>
      </c>
      <c r="F469" s="22" t="n">
        <v>0.7547480924049975</v>
      </c>
      <c r="G469" t="inlineStr">
        <is>
          <t>&lt; target</t>
        </is>
      </c>
      <c r="H469" s="22" t="n">
        <v>0.7547480924049975</v>
      </c>
      <c r="I469" t="inlineStr">
        <is>
          <t>&lt; target</t>
        </is>
      </c>
      <c r="J469" s="22" t="n">
        <v>0.7547480924049975</v>
      </c>
      <c r="K469" t="inlineStr">
        <is>
          <t>&lt; target</t>
        </is>
      </c>
    </row>
    <row r="470">
      <c r="A470" s="45" t="n">
        <v>466</v>
      </c>
      <c r="B470" s="139" t="n">
        <v>683498840992.9061</v>
      </c>
      <c r="C470" s="139" t="n">
        <v>451295000000</v>
      </c>
      <c r="D470" s="47" t="n">
        <v>0.7572639193796808</v>
      </c>
      <c r="E470" s="48" t="inlineStr">
        <is>
          <t>&lt; target</t>
        </is>
      </c>
      <c r="F470" s="47" t="n">
        <v>0.7572639193796808</v>
      </c>
      <c r="G470" s="48" t="inlineStr">
        <is>
          <t>&lt; target</t>
        </is>
      </c>
      <c r="H470" s="47" t="n">
        <v>0.7572639193796808</v>
      </c>
      <c r="I470" s="48" t="inlineStr">
        <is>
          <t>&lt; target</t>
        </is>
      </c>
      <c r="J470" s="47" t="n">
        <v>0.7572639193796808</v>
      </c>
      <c r="K470" s="48" t="inlineStr">
        <is>
          <t>&lt; target</t>
        </is>
      </c>
    </row>
    <row r="471">
      <c r="A471" s="7" t="n">
        <v>467</v>
      </c>
      <c r="B471" s="128" t="n">
        <v>685777170462.8826</v>
      </c>
      <c r="C471" s="128" t="n">
        <v>451295000000</v>
      </c>
      <c r="D471" s="22" t="n">
        <v>0.7597881324442799</v>
      </c>
      <c r="E471" t="inlineStr">
        <is>
          <t>&lt; target</t>
        </is>
      </c>
      <c r="F471" s="22" t="n">
        <v>0.7597881324442799</v>
      </c>
      <c r="G471" t="inlineStr">
        <is>
          <t>&lt; target</t>
        </is>
      </c>
      <c r="H471" s="22" t="n">
        <v>0.7597881324442799</v>
      </c>
      <c r="I471" t="inlineStr">
        <is>
          <t>&lt; target</t>
        </is>
      </c>
      <c r="J471" s="22" t="n">
        <v>0.7597881324442799</v>
      </c>
      <c r="K471" t="inlineStr">
        <is>
          <t>&lt; target</t>
        </is>
      </c>
    </row>
    <row r="472">
      <c r="A472" s="45" t="n">
        <v>468</v>
      </c>
      <c r="B472" s="139" t="n">
        <v>688063094364.4255</v>
      </c>
      <c r="C472" s="139" t="n">
        <v>451295000000</v>
      </c>
      <c r="D472" s="47" t="n">
        <v>0.7623207595524275</v>
      </c>
      <c r="E472" s="48" t="inlineStr">
        <is>
          <t>&lt; target</t>
        </is>
      </c>
      <c r="F472" s="47" t="n">
        <v>0.7623207595524275</v>
      </c>
      <c r="G472" s="48" t="inlineStr">
        <is>
          <t>&lt; target</t>
        </is>
      </c>
      <c r="H472" s="47" t="n">
        <v>0.7623207595524275</v>
      </c>
      <c r="I472" s="48" t="inlineStr">
        <is>
          <t>&lt; target</t>
        </is>
      </c>
      <c r="J472" s="47" t="n">
        <v>0.7623207595524275</v>
      </c>
      <c r="K472" s="48" t="inlineStr">
        <is>
          <t>&lt; target</t>
        </is>
      </c>
    </row>
    <row r="473">
      <c r="A473" s="7" t="n">
        <v>469</v>
      </c>
      <c r="B473" s="128" t="n">
        <v>690356638012.307</v>
      </c>
      <c r="C473" s="128" t="n">
        <v>451295000000</v>
      </c>
      <c r="D473" s="22" t="n">
        <v>0.7648618287509357</v>
      </c>
      <c r="E473" t="inlineStr">
        <is>
          <t>&lt; target</t>
        </is>
      </c>
      <c r="F473" s="22" t="n">
        <v>0.7648618287509357</v>
      </c>
      <c r="G473" t="inlineStr">
        <is>
          <t>&lt; target</t>
        </is>
      </c>
      <c r="H473" s="22" t="n">
        <v>0.7648618287509357</v>
      </c>
      <c r="I473" t="inlineStr">
        <is>
          <t>&lt; target</t>
        </is>
      </c>
      <c r="J473" s="22" t="n">
        <v>0.7648618287509357</v>
      </c>
      <c r="K473" t="inlineStr">
        <is>
          <t>&lt; target</t>
        </is>
      </c>
    </row>
    <row r="474">
      <c r="A474" s="45" t="n">
        <v>470</v>
      </c>
      <c r="B474" s="139" t="n">
        <v>692657826805.6814</v>
      </c>
      <c r="C474" s="139" t="n">
        <v>451295000000</v>
      </c>
      <c r="D474" s="47" t="n">
        <v>0.7674113681801055</v>
      </c>
      <c r="E474" s="48" t="inlineStr">
        <is>
          <t>&lt; target</t>
        </is>
      </c>
      <c r="F474" s="47" t="n">
        <v>0.7674113681801055</v>
      </c>
      <c r="G474" s="48" t="inlineStr">
        <is>
          <t>&lt; target</t>
        </is>
      </c>
      <c r="H474" s="47" t="n">
        <v>0.7674113681801055</v>
      </c>
      <c r="I474" s="48" t="inlineStr">
        <is>
          <t>&lt; target</t>
        </is>
      </c>
      <c r="J474" s="47" t="n">
        <v>0.7674113681801055</v>
      </c>
      <c r="K474" s="48" t="inlineStr">
        <is>
          <t>&lt; target</t>
        </is>
      </c>
    </row>
    <row r="475">
      <c r="A475" s="7" t="n">
        <v>471</v>
      </c>
      <c r="B475" s="128" t="n">
        <v>694966686228.3671</v>
      </c>
      <c r="C475" s="128" t="n">
        <v>451295000000</v>
      </c>
      <c r="D475" s="22" t="n">
        <v>0.7699694060740392</v>
      </c>
      <c r="E475" t="inlineStr">
        <is>
          <t>&lt; target</t>
        </is>
      </c>
      <c r="F475" s="22" t="n">
        <v>0.7699694060740392</v>
      </c>
      <c r="G475" t="inlineStr">
        <is>
          <t>&lt; target</t>
        </is>
      </c>
      <c r="H475" s="22" t="n">
        <v>0.7699694060740392</v>
      </c>
      <c r="I475" t="inlineStr">
        <is>
          <t>&lt; target</t>
        </is>
      </c>
      <c r="J475" s="22" t="n">
        <v>0.7699694060740392</v>
      </c>
      <c r="K475" t="inlineStr">
        <is>
          <t>&lt; target</t>
        </is>
      </c>
    </row>
    <row r="476">
      <c r="A476" s="45" t="n">
        <v>472</v>
      </c>
      <c r="B476" s="139" t="n">
        <v>697283241849.1284</v>
      </c>
      <c r="C476" s="139" t="n">
        <v>451295000000</v>
      </c>
      <c r="D476" s="47" t="n">
        <v>0.7725359707609528</v>
      </c>
      <c r="E476" s="48" t="inlineStr">
        <is>
          <t>&lt; target</t>
        </is>
      </c>
      <c r="F476" s="47" t="n">
        <v>0.7725359707609528</v>
      </c>
      <c r="G476" s="48" t="inlineStr">
        <is>
          <t>&lt; target</t>
        </is>
      </c>
      <c r="H476" s="47" t="n">
        <v>0.7725359707609528</v>
      </c>
      <c r="I476" s="48" t="inlineStr">
        <is>
          <t>&lt; target</t>
        </is>
      </c>
      <c r="J476" s="47" t="n">
        <v>0.7725359707609528</v>
      </c>
      <c r="K476" s="48" t="inlineStr">
        <is>
          <t>&lt; target</t>
        </is>
      </c>
    </row>
    <row r="477">
      <c r="A477" s="7" t="n">
        <v>473</v>
      </c>
      <c r="B477" s="128" t="n">
        <v>699607519321.9587</v>
      </c>
      <c r="C477" s="128" t="n">
        <v>451295000000</v>
      </c>
      <c r="D477" s="22" t="n">
        <v>0.7751110906634893</v>
      </c>
      <c r="E477" t="inlineStr">
        <is>
          <t>&lt; target</t>
        </is>
      </c>
      <c r="F477" s="22" t="n">
        <v>0.7751110906634893</v>
      </c>
      <c r="G477" t="inlineStr">
        <is>
          <t>&lt; target</t>
        </is>
      </c>
      <c r="H477" s="22" t="n">
        <v>0.7751110906634893</v>
      </c>
      <c r="I477" t="inlineStr">
        <is>
          <t>&lt; target</t>
        </is>
      </c>
      <c r="J477" s="22" t="n">
        <v>0.7751110906634893</v>
      </c>
      <c r="K477" t="inlineStr">
        <is>
          <t>&lt; target</t>
        </is>
      </c>
    </row>
    <row r="478">
      <c r="A478" s="45" t="n">
        <v>474</v>
      </c>
      <c r="B478" s="139" t="n">
        <v>701939544386.3655</v>
      </c>
      <c r="C478" s="139" t="n">
        <v>451295000000</v>
      </c>
      <c r="D478" s="47" t="n">
        <v>0.7776947942990344</v>
      </c>
      <c r="E478" s="48" t="inlineStr">
        <is>
          <t>&lt; target</t>
        </is>
      </c>
      <c r="F478" s="47" t="n">
        <v>0.7776947942990344</v>
      </c>
      <c r="G478" s="48" t="inlineStr">
        <is>
          <t>&lt; target</t>
        </is>
      </c>
      <c r="H478" s="47" t="n">
        <v>0.7776947942990344</v>
      </c>
      <c r="I478" s="48" t="inlineStr">
        <is>
          <t>&lt; target</t>
        </is>
      </c>
      <c r="J478" s="47" t="n">
        <v>0.7776947942990344</v>
      </c>
      <c r="K478" s="48" t="inlineStr">
        <is>
          <t>&lt; target</t>
        </is>
      </c>
    </row>
    <row r="479">
      <c r="A479" s="7" t="n">
        <v>475</v>
      </c>
      <c r="B479" s="128" t="n">
        <v>704279342867.6533</v>
      </c>
      <c r="C479" s="128" t="n">
        <v>451295000000</v>
      </c>
      <c r="D479" s="22" t="n">
        <v>0.7802871102800312</v>
      </c>
      <c r="E479" t="inlineStr">
        <is>
          <t>&lt; target</t>
        </is>
      </c>
      <c r="F479" s="22" t="n">
        <v>0.7802871102800312</v>
      </c>
      <c r="G479" t="inlineStr">
        <is>
          <t>&lt; target</t>
        </is>
      </c>
      <c r="H479" s="22" t="n">
        <v>0.7802871102800312</v>
      </c>
      <c r="I479" t="inlineStr">
        <is>
          <t>&lt; target</t>
        </is>
      </c>
      <c r="J479" s="22" t="n">
        <v>0.7802871102800312</v>
      </c>
      <c r="K479" t="inlineStr">
        <is>
          <t>&lt; target</t>
        </is>
      </c>
    </row>
    <row r="480">
      <c r="A480" s="45" t="n">
        <v>476</v>
      </c>
      <c r="B480" s="139" t="n">
        <v>706626940677.2123</v>
      </c>
      <c r="C480" s="139" t="n">
        <v>451295000000</v>
      </c>
      <c r="D480" s="47" t="n">
        <v>0.7828880673142981</v>
      </c>
      <c r="E480" s="48" t="inlineStr">
        <is>
          <t>&lt; target</t>
        </is>
      </c>
      <c r="F480" s="47" t="n">
        <v>0.7828880673142981</v>
      </c>
      <c r="G480" s="48" t="inlineStr">
        <is>
          <t>&lt; target</t>
        </is>
      </c>
      <c r="H480" s="47" t="n">
        <v>0.7828880673142981</v>
      </c>
      <c r="I480" s="48" t="inlineStr">
        <is>
          <t>&lt; target</t>
        </is>
      </c>
      <c r="J480" s="47" t="n">
        <v>0.7828880673142981</v>
      </c>
      <c r="K480" s="48" t="inlineStr">
        <is>
          <t>&lt; target</t>
        </is>
      </c>
    </row>
    <row r="481">
      <c r="A481" s="7" t="n">
        <v>477</v>
      </c>
      <c r="B481" s="128" t="n">
        <v>708982363812.8031</v>
      </c>
      <c r="C481" s="128" t="n">
        <v>451295000000</v>
      </c>
      <c r="D481" s="22" t="n">
        <v>0.7854976942053459</v>
      </c>
      <c r="E481" t="inlineStr">
        <is>
          <t>&lt; target</t>
        </is>
      </c>
      <c r="F481" s="22" t="n">
        <v>0.7854976942053459</v>
      </c>
      <c r="G481" t="inlineStr">
        <is>
          <t>&lt; target</t>
        </is>
      </c>
      <c r="H481" s="22" t="n">
        <v>0.7854976942053459</v>
      </c>
      <c r="I481" t="inlineStr">
        <is>
          <t>&lt; target</t>
        </is>
      </c>
      <c r="J481" s="22" t="n">
        <v>0.7854976942053459</v>
      </c>
      <c r="K481" t="inlineStr">
        <is>
          <t>&lt; target</t>
        </is>
      </c>
    </row>
    <row r="482">
      <c r="A482" s="45" t="n">
        <v>478</v>
      </c>
      <c r="B482" s="139" t="n">
        <v>711345638358.8457</v>
      </c>
      <c r="C482" s="139" t="n">
        <v>451295000000</v>
      </c>
      <c r="D482" s="47" t="n">
        <v>0.7881160198526969</v>
      </c>
      <c r="E482" s="48" t="inlineStr">
        <is>
          <t>&lt; target</t>
        </is>
      </c>
      <c r="F482" s="47" t="n">
        <v>0.7881160198526969</v>
      </c>
      <c r="G482" s="48" t="inlineStr">
        <is>
          <t>&lt; target</t>
        </is>
      </c>
      <c r="H482" s="47" t="n">
        <v>0.7881160198526969</v>
      </c>
      <c r="I482" s="48" t="inlineStr">
        <is>
          <t>&lt; target</t>
        </is>
      </c>
      <c r="J482" s="47" t="n">
        <v>0.7881160198526969</v>
      </c>
      <c r="K482" s="48" t="inlineStr">
        <is>
          <t>&lt; target</t>
        </is>
      </c>
    </row>
    <row r="483">
      <c r="A483" s="7" t="n">
        <v>479</v>
      </c>
      <c r="B483" s="128" t="n">
        <v>713716790486.7086</v>
      </c>
      <c r="C483" s="128" t="n">
        <v>451295000000</v>
      </c>
      <c r="D483" s="22" t="n">
        <v>0.7907430732522061</v>
      </c>
      <c r="E483" t="inlineStr">
        <is>
          <t>&lt; target</t>
        </is>
      </c>
      <c r="F483" s="22" t="n">
        <v>0.7907430732522061</v>
      </c>
      <c r="G483" t="inlineStr">
        <is>
          <t>&lt; target</t>
        </is>
      </c>
      <c r="H483" s="22" t="n">
        <v>0.7907430732522061</v>
      </c>
      <c r="I483" t="inlineStr">
        <is>
          <t>&lt; target</t>
        </is>
      </c>
      <c r="J483" s="22" t="n">
        <v>0.7907430732522061</v>
      </c>
      <c r="K483" t="inlineStr">
        <is>
          <t>&lt; target</t>
        </is>
      </c>
    </row>
    <row r="484">
      <c r="A484" s="45" t="n">
        <v>480</v>
      </c>
      <c r="B484" s="139" t="n">
        <v>716095846454.9977</v>
      </c>
      <c r="C484" s="139" t="n">
        <v>451295000000</v>
      </c>
      <c r="D484" s="47" t="n">
        <v>0.7933788834963801</v>
      </c>
      <c r="E484" s="48" t="inlineStr">
        <is>
          <t>&lt; target</t>
        </is>
      </c>
      <c r="F484" s="47" t="n">
        <v>0.7933788834963801</v>
      </c>
      <c r="G484" s="48" t="inlineStr">
        <is>
          <t>&lt; target</t>
        </is>
      </c>
      <c r="H484" s="47" t="n">
        <v>0.7933788834963801</v>
      </c>
      <c r="I484" s="48" t="inlineStr">
        <is>
          <t>&lt; target</t>
        </is>
      </c>
      <c r="J484" s="49" t="n">
        <v>0.7933788834963801</v>
      </c>
      <c r="K484" s="50" t="inlineStr">
        <is>
          <t>✓ REACHED</t>
        </is>
      </c>
    </row>
    <row r="485">
      <c r="A485" s="7" t="n">
        <v>481</v>
      </c>
      <c r="B485" s="128" t="n">
        <v>718482832609.8477</v>
      </c>
      <c r="C485" s="128" t="n">
        <v>451295000000</v>
      </c>
      <c r="D485" s="22" t="n">
        <v>0.7960234797747013</v>
      </c>
      <c r="E485" t="inlineStr">
        <is>
          <t>&lt; target</t>
        </is>
      </c>
      <c r="F485" s="22" t="n">
        <v>0.7960234797747013</v>
      </c>
      <c r="G485" t="inlineStr">
        <is>
          <t>&lt; target</t>
        </is>
      </c>
      <c r="H485" s="22" t="n">
        <v>0.7960234797747013</v>
      </c>
      <c r="I485" t="inlineStr">
        <is>
          <t>&lt; target</t>
        </is>
      </c>
    </row>
    <row r="486">
      <c r="A486" s="45" t="n">
        <v>482</v>
      </c>
      <c r="B486" s="139" t="n">
        <v>720877775385.214</v>
      </c>
      <c r="C486" s="139" t="n">
        <v>451295000000</v>
      </c>
      <c r="D486" s="47" t="n">
        <v>0.7986768913739505</v>
      </c>
      <c r="E486" s="48" t="inlineStr">
        <is>
          <t>&lt; target</t>
        </is>
      </c>
      <c r="F486" s="47" t="n">
        <v>0.7986768913739505</v>
      </c>
      <c r="G486" s="48" t="inlineStr">
        <is>
          <t>&lt; target</t>
        </is>
      </c>
      <c r="H486" s="47" t="n">
        <v>0.7986768913739505</v>
      </c>
      <c r="I486" s="48" t="inlineStr">
        <is>
          <t>&lt; target</t>
        </is>
      </c>
    </row>
    <row r="487">
      <c r="A487" s="7" t="n">
        <v>483</v>
      </c>
      <c r="B487" s="128" t="n">
        <v>723280701303.1647</v>
      </c>
      <c r="C487" s="128" t="n">
        <v>451295000000</v>
      </c>
      <c r="D487" s="22" t="n">
        <v>0.8013391476785303</v>
      </c>
      <c r="E487" t="inlineStr">
        <is>
          <t>&lt; target</t>
        </is>
      </c>
      <c r="F487" s="22" t="n">
        <v>0.8013391476785303</v>
      </c>
      <c r="G487" t="inlineStr">
        <is>
          <t>&lt; target</t>
        </is>
      </c>
      <c r="H487" s="22" t="n">
        <v>0.8013391476785303</v>
      </c>
      <c r="I487" t="inlineStr">
        <is>
          <t>&lt; target</t>
        </is>
      </c>
    </row>
    <row r="488">
      <c r="A488" s="45" t="n">
        <v>484</v>
      </c>
      <c r="B488" s="139" t="n">
        <v>725691636974.1753</v>
      </c>
      <c r="C488" s="139" t="n">
        <v>451295000000</v>
      </c>
      <c r="D488" s="47" t="n">
        <v>0.8040102781707922</v>
      </c>
      <c r="E488" s="48" t="inlineStr">
        <is>
          <t>&lt; target</t>
        </is>
      </c>
      <c r="F488" s="47" t="n">
        <v>0.8040102781707922</v>
      </c>
      <c r="G488" s="48" t="inlineStr">
        <is>
          <t>&lt; target</t>
        </is>
      </c>
      <c r="H488" s="47" t="n">
        <v>0.8040102781707922</v>
      </c>
      <c r="I488" s="48" t="inlineStr">
        <is>
          <t>&lt; target</t>
        </is>
      </c>
    </row>
    <row r="489">
      <c r="A489" s="7" t="n">
        <v>485</v>
      </c>
      <c r="B489" s="128" t="n">
        <v>728110609097.4226</v>
      </c>
      <c r="C489" s="128" t="n">
        <v>451295000000</v>
      </c>
      <c r="D489" s="22" t="n">
        <v>0.8066903124313616</v>
      </c>
      <c r="E489" t="inlineStr">
        <is>
          <t>&lt; target</t>
        </is>
      </c>
      <c r="F489" s="22" t="n">
        <v>0.8066903124313616</v>
      </c>
      <c r="G489" t="inlineStr">
        <is>
          <t>&lt; target</t>
        </is>
      </c>
      <c r="H489" s="22" t="n">
        <v>0.8066903124313616</v>
      </c>
      <c r="I489" t="inlineStr">
        <is>
          <t>&lt; target</t>
        </is>
      </c>
    </row>
    <row r="490">
      <c r="A490" s="45" t="n">
        <v>486</v>
      </c>
      <c r="B490" s="139" t="n">
        <v>730537644461.0808</v>
      </c>
      <c r="C490" s="139" t="n">
        <v>451295000000</v>
      </c>
      <c r="D490" s="47" t="n">
        <v>0.8093792801394663</v>
      </c>
      <c r="E490" s="48" t="inlineStr">
        <is>
          <t>&lt; target</t>
        </is>
      </c>
      <c r="F490" s="47" t="n">
        <v>0.8093792801394663</v>
      </c>
      <c r="G490" s="48" t="inlineStr">
        <is>
          <t>&lt; target</t>
        </is>
      </c>
      <c r="H490" s="47" t="n">
        <v>0.8093792801394663</v>
      </c>
      <c r="I490" s="48" t="inlineStr">
        <is>
          <t>&lt; target</t>
        </is>
      </c>
    </row>
    <row r="491">
      <c r="A491" s="7" t="n">
        <v>487</v>
      </c>
      <c r="B491" s="128" t="n">
        <v>732972769942.6178</v>
      </c>
      <c r="C491" s="128" t="n">
        <v>451295000000</v>
      </c>
      <c r="D491" s="22" t="n">
        <v>0.8120772110732645</v>
      </c>
      <c r="E491" t="inlineStr">
        <is>
          <t>&lt; target</t>
        </is>
      </c>
      <c r="F491" s="22" t="n">
        <v>0.8120772110732645</v>
      </c>
      <c r="G491" t="inlineStr">
        <is>
          <t>&lt; target</t>
        </is>
      </c>
      <c r="H491" s="22" t="n">
        <v>0.8120772110732645</v>
      </c>
      <c r="I491" t="inlineStr">
        <is>
          <t>&lt; target</t>
        </is>
      </c>
    </row>
    <row r="492">
      <c r="A492" s="45" t="n">
        <v>488</v>
      </c>
      <c r="B492" s="139" t="n">
        <v>735416012509.0931</v>
      </c>
      <c r="C492" s="139" t="n">
        <v>451295000000</v>
      </c>
      <c r="D492" s="47" t="n">
        <v>0.8147841351101753</v>
      </c>
      <c r="E492" s="48" t="inlineStr">
        <is>
          <t>&lt; target</t>
        </is>
      </c>
      <c r="F492" s="47" t="n">
        <v>0.8147841351101753</v>
      </c>
      <c r="G492" s="48" t="inlineStr">
        <is>
          <t>&lt; target</t>
        </is>
      </c>
      <c r="H492" s="47" t="n">
        <v>0.8147841351101753</v>
      </c>
      <c r="I492" s="48" t="inlineStr">
        <is>
          <t>&lt; target</t>
        </is>
      </c>
    </row>
    <row r="493">
      <c r="A493" s="7" t="n">
        <v>489</v>
      </c>
      <c r="B493" s="128" t="n">
        <v>737867399217.4569</v>
      </c>
      <c r="C493" s="128" t="n">
        <v>451295000000</v>
      </c>
      <c r="D493" s="22" t="n">
        <v>0.8175000822272094</v>
      </c>
      <c r="E493" t="inlineStr">
        <is>
          <t>&lt; target</t>
        </is>
      </c>
      <c r="F493" s="22" t="n">
        <v>0.8175000822272094</v>
      </c>
      <c r="G493" t="inlineStr">
        <is>
          <t>&lt; target</t>
        </is>
      </c>
      <c r="H493" s="22" t="n">
        <v>0.8175000822272094</v>
      </c>
      <c r="I493" t="inlineStr">
        <is>
          <t>&lt; target</t>
        </is>
      </c>
    </row>
    <row r="494">
      <c r="A494" s="45" t="n">
        <v>490</v>
      </c>
      <c r="B494" s="139" t="n">
        <v>740326957214.8485</v>
      </c>
      <c r="C494" s="139" t="n">
        <v>451295000000</v>
      </c>
      <c r="D494" s="47" t="n">
        <v>0.8202250825013001</v>
      </c>
      <c r="E494" s="48" t="inlineStr">
        <is>
          <t>&lt; target</t>
        </is>
      </c>
      <c r="F494" s="47" t="n">
        <v>0.8202250825013001</v>
      </c>
      <c r="G494" s="48" t="inlineStr">
        <is>
          <t>&lt; target</t>
        </is>
      </c>
      <c r="H494" s="47" t="n">
        <v>0.8202250825013001</v>
      </c>
      <c r="I494" s="48" t="inlineStr">
        <is>
          <t>&lt; target</t>
        </is>
      </c>
    </row>
    <row r="495">
      <c r="A495" s="7" t="n">
        <v>491</v>
      </c>
      <c r="B495" s="128" t="n">
        <v>742794713738.8979</v>
      </c>
      <c r="C495" s="128" t="n">
        <v>451295000000</v>
      </c>
      <c r="D495" s="22" t="n">
        <v>0.8229591661096378</v>
      </c>
      <c r="E495" t="inlineStr">
        <is>
          <t>&lt; target</t>
        </is>
      </c>
      <c r="F495" s="22" t="n">
        <v>0.8229591661096378</v>
      </c>
      <c r="G495" t="inlineStr">
        <is>
          <t>&lt; target</t>
        </is>
      </c>
      <c r="H495" s="49" t="n">
        <v>0.8229591661096378</v>
      </c>
      <c r="I495" s="50" t="inlineStr">
        <is>
          <t>✓ REACHED</t>
        </is>
      </c>
    </row>
    <row r="496">
      <c r="A496" s="45" t="n">
        <v>492</v>
      </c>
      <c r="B496" s="139" t="n">
        <v>745270696118.0277</v>
      </c>
      <c r="C496" s="139" t="n">
        <v>451295000000</v>
      </c>
      <c r="D496" s="47" t="n">
        <v>0.8257023633300034</v>
      </c>
      <c r="E496" s="48" t="inlineStr">
        <is>
          <t>&lt; target</t>
        </is>
      </c>
      <c r="F496" s="47" t="n">
        <v>0.8257023633300034</v>
      </c>
      <c r="G496" s="48" t="inlineStr">
        <is>
          <t>&lt; target</t>
        </is>
      </c>
    </row>
    <row r="497">
      <c r="A497" s="7" t="n">
        <v>493</v>
      </c>
      <c r="B497" s="128" t="n">
        <v>747754931771.7545</v>
      </c>
      <c r="C497" s="128" t="n">
        <v>451295000000</v>
      </c>
      <c r="D497" s="22" t="n">
        <v>0.8284547045411034</v>
      </c>
      <c r="E497" t="inlineStr">
        <is>
          <t>&lt; target</t>
        </is>
      </c>
      <c r="F497" s="22" t="n">
        <v>0.8284547045411034</v>
      </c>
      <c r="G497" t="inlineStr">
        <is>
          <t>&lt; target</t>
        </is>
      </c>
    </row>
    <row r="498">
      <c r="A498" s="45" t="n">
        <v>494</v>
      </c>
      <c r="B498" s="139" t="n">
        <v>750247448210.9938</v>
      </c>
      <c r="C498" s="139" t="n">
        <v>451295000000</v>
      </c>
      <c r="D498" s="47" t="n">
        <v>0.8312162202229072</v>
      </c>
      <c r="E498" s="48" t="inlineStr">
        <is>
          <t>&lt; target</t>
        </is>
      </c>
      <c r="F498" s="47" t="n">
        <v>0.8312162202229072</v>
      </c>
      <c r="G498" s="48" t="inlineStr">
        <is>
          <t>&lt; target</t>
        </is>
      </c>
    </row>
    <row r="499">
      <c r="A499" s="7" t="n">
        <v>495</v>
      </c>
      <c r="B499" s="128" t="n">
        <v>752748273038.3639</v>
      </c>
      <c r="C499" s="128" t="n">
        <v>451295000000</v>
      </c>
      <c r="D499" s="22" t="n">
        <v>0.8339869409569837</v>
      </c>
      <c r="E499" t="inlineStr">
        <is>
          <t>&lt; target</t>
        </is>
      </c>
      <c r="F499" s="22" t="n">
        <v>0.8339869409569837</v>
      </c>
      <c r="G499" t="inlineStr">
        <is>
          <t>&lt; target</t>
        </is>
      </c>
    </row>
    <row r="500">
      <c r="A500" s="45" t="n">
        <v>496</v>
      </c>
      <c r="B500" s="139" t="n">
        <v>755257433948.4918</v>
      </c>
      <c r="C500" s="139" t="n">
        <v>451295000000</v>
      </c>
      <c r="D500" s="47" t="n">
        <v>0.8367668974268403</v>
      </c>
      <c r="E500" s="48" t="inlineStr">
        <is>
          <t>&lt; target</t>
        </is>
      </c>
      <c r="F500" s="47" t="n">
        <v>0.8367668974268403</v>
      </c>
      <c r="G500" s="48" t="inlineStr">
        <is>
          <t>&lt; target</t>
        </is>
      </c>
    </row>
    <row r="501">
      <c r="A501" s="7" t="n">
        <v>497</v>
      </c>
      <c r="B501" s="128" t="n">
        <v>757774958728.3202</v>
      </c>
      <c r="C501" s="128" t="n">
        <v>451295000000</v>
      </c>
      <c r="D501" s="22" t="n">
        <v>0.8395561204182632</v>
      </c>
      <c r="E501" t="inlineStr">
        <is>
          <t>&lt; target</t>
        </is>
      </c>
      <c r="F501" s="22" t="n">
        <v>0.8395561204182632</v>
      </c>
      <c r="G501" t="inlineStr">
        <is>
          <t>&lt; target</t>
        </is>
      </c>
    </row>
    <row r="502">
      <c r="A502" s="45" t="n">
        <v>498</v>
      </c>
      <c r="B502" s="139" t="n">
        <v>760300875257.4146</v>
      </c>
      <c r="C502" s="139" t="n">
        <v>451295000000</v>
      </c>
      <c r="D502" s="47" t="n">
        <v>0.8423546408196574</v>
      </c>
      <c r="E502" s="48" t="inlineStr">
        <is>
          <t>&lt; target</t>
        </is>
      </c>
      <c r="F502" s="47" t="n">
        <v>0.8423546408196574</v>
      </c>
      <c r="G502" s="48" t="inlineStr">
        <is>
          <t>&lt; target</t>
        </is>
      </c>
    </row>
    <row r="503">
      <c r="A503" s="7" t="n">
        <v>499</v>
      </c>
      <c r="B503" s="128" t="n">
        <v>762835211508.2727</v>
      </c>
      <c r="C503" s="128" t="n">
        <v>451295000000</v>
      </c>
      <c r="D503" s="22" t="n">
        <v>0.8451624896223897</v>
      </c>
      <c r="E503" t="inlineStr">
        <is>
          <t>&lt; target</t>
        </is>
      </c>
      <c r="F503" s="22" t="n">
        <v>0.8451624896223897</v>
      </c>
      <c r="G503" t="inlineStr">
        <is>
          <t>&lt; target</t>
        </is>
      </c>
    </row>
    <row r="504">
      <c r="A504" s="45" t="n">
        <v>500</v>
      </c>
      <c r="B504" s="139" t="n">
        <v>765377995546.6337</v>
      </c>
      <c r="C504" s="139" t="n">
        <v>451295000000</v>
      </c>
      <c r="D504" s="47" t="n">
        <v>0.847979697921131</v>
      </c>
      <c r="E504" s="48" t="inlineStr">
        <is>
          <t>&lt; target</t>
        </is>
      </c>
      <c r="F504" s="47" t="n">
        <v>0.847979697921131</v>
      </c>
      <c r="G504" s="48" t="inlineStr">
        <is>
          <t>&lt; target</t>
        </is>
      </c>
    </row>
    <row r="505">
      <c r="A505" s="7" t="n">
        <v>501</v>
      </c>
      <c r="B505" s="128" t="n">
        <v>767929255531.7892</v>
      </c>
      <c r="C505" s="128" t="n">
        <v>451295000000</v>
      </c>
      <c r="D505" s="22" t="n">
        <v>0.8508062969142015</v>
      </c>
      <c r="E505" t="inlineStr">
        <is>
          <t>&lt; target</t>
        </is>
      </c>
      <c r="F505" s="22" t="n">
        <v>0.8508062969142015</v>
      </c>
      <c r="G505" t="inlineStr">
        <is>
          <t>&lt; target</t>
        </is>
      </c>
    </row>
    <row r="506">
      <c r="A506" s="45" t="n">
        <v>502</v>
      </c>
      <c r="B506" s="139" t="n">
        <v>770489019716.8951</v>
      </c>
      <c r="C506" s="139" t="n">
        <v>451295000000</v>
      </c>
      <c r="D506" s="47" t="n">
        <v>0.8536423179039155</v>
      </c>
      <c r="E506" s="48" t="inlineStr">
        <is>
          <t>&lt; target</t>
        </is>
      </c>
      <c r="F506" s="47" t="n">
        <v>0.8536423179039155</v>
      </c>
      <c r="G506" s="48" t="inlineStr">
        <is>
          <t>&lt; target</t>
        </is>
      </c>
    </row>
    <row r="507">
      <c r="A507" s="7" t="n">
        <v>503</v>
      </c>
      <c r="B507" s="128" t="n">
        <v>773057316449.285</v>
      </c>
      <c r="C507" s="128" t="n">
        <v>451295000000</v>
      </c>
      <c r="D507" s="22" t="n">
        <v>0.8564877922969288</v>
      </c>
      <c r="E507" t="inlineStr">
        <is>
          <t>&lt; target</t>
        </is>
      </c>
      <c r="F507" s="22" t="n">
        <v>0.8564877922969288</v>
      </c>
      <c r="G507" t="inlineStr">
        <is>
          <t>&lt; target</t>
        </is>
      </c>
    </row>
    <row r="508">
      <c r="A508" s="45" t="n">
        <v>504</v>
      </c>
      <c r="B508" s="139" t="n">
        <v>775634174170.7826</v>
      </c>
      <c r="C508" s="139" t="n">
        <v>451295000000</v>
      </c>
      <c r="D508" s="47" t="n">
        <v>0.8593427516045853</v>
      </c>
      <c r="E508" s="48" t="inlineStr">
        <is>
          <t>&lt; target</t>
        </is>
      </c>
      <c r="F508" s="47" t="n">
        <v>0.8593427516045853</v>
      </c>
      <c r="G508" s="48" t="inlineStr">
        <is>
          <t>&lt; target</t>
        </is>
      </c>
    </row>
    <row r="509">
      <c r="A509" s="7" t="n">
        <v>505</v>
      </c>
      <c r="B509" s="128" t="n">
        <v>778219621418.0186</v>
      </c>
      <c r="C509" s="128" t="n">
        <v>451295000000</v>
      </c>
      <c r="D509" s="22" t="n">
        <v>0.8622072274432672</v>
      </c>
      <c r="E509" t="inlineStr">
        <is>
          <t>&lt; target</t>
        </is>
      </c>
      <c r="F509" s="22" t="n">
        <v>0.8622072274432672</v>
      </c>
      <c r="G509" t="inlineStr">
        <is>
          <t>&lt; target</t>
        </is>
      </c>
    </row>
    <row r="510">
      <c r="A510" s="45" t="n">
        <v>506</v>
      </c>
      <c r="B510" s="139" t="n">
        <v>780813686822.7455</v>
      </c>
      <c r="C510" s="139" t="n">
        <v>451295000000</v>
      </c>
      <c r="D510" s="47" t="n">
        <v>0.865081251534745</v>
      </c>
      <c r="E510" s="48" t="inlineStr">
        <is>
          <t>&lt; target</t>
        </is>
      </c>
      <c r="F510" s="47" t="n">
        <v>0.865081251534745</v>
      </c>
      <c r="G510" s="48" t="inlineStr">
        <is>
          <t>&lt; target</t>
        </is>
      </c>
    </row>
    <row r="511">
      <c r="A511" s="7" t="n">
        <v>507</v>
      </c>
      <c r="B511" s="128" t="n">
        <v>783416399112.1547</v>
      </c>
      <c r="C511" s="128" t="n">
        <v>451295000000</v>
      </c>
      <c r="D511" s="22" t="n">
        <v>0.8679648557065275</v>
      </c>
      <c r="E511" t="inlineStr">
        <is>
          <t>&lt; target</t>
        </is>
      </c>
      <c r="F511" s="22" t="n">
        <v>0.8679648557065275</v>
      </c>
      <c r="G511" t="inlineStr">
        <is>
          <t>&lt; target</t>
        </is>
      </c>
    </row>
    <row r="512">
      <c r="A512" s="45" t="n">
        <v>508</v>
      </c>
      <c r="B512" s="139" t="n">
        <v>786027787109.1952</v>
      </c>
      <c r="C512" s="139" t="n">
        <v>451295000000</v>
      </c>
      <c r="D512" s="47" t="n">
        <v>0.870858071892216</v>
      </c>
      <c r="E512" s="48" t="inlineStr">
        <is>
          <t>&lt; target</t>
        </is>
      </c>
      <c r="F512" s="49" t="n">
        <v>0.870858071892216</v>
      </c>
      <c r="G512" s="50" t="inlineStr">
        <is>
          <t>✓ REACHED</t>
        </is>
      </c>
    </row>
    <row r="513">
      <c r="A513" s="7" t="n">
        <v>509</v>
      </c>
      <c r="B513" s="128" t="n">
        <v>788647879732.8926</v>
      </c>
      <c r="C513" s="128" t="n">
        <v>451295000000</v>
      </c>
      <c r="D513" s="22" t="n">
        <v>0.8737609321318568</v>
      </c>
      <c r="E513" t="inlineStr">
        <is>
          <t>&lt; target</t>
        </is>
      </c>
    </row>
    <row r="514">
      <c r="A514" s="45" t="n">
        <v>510</v>
      </c>
      <c r="B514" s="139" t="n">
        <v>791276705998.6689</v>
      </c>
      <c r="C514" s="139" t="n">
        <v>451295000000</v>
      </c>
      <c r="D514" s="47" t="n">
        <v>0.8766734685722963</v>
      </c>
      <c r="E514" s="48" t="inlineStr">
        <is>
          <t>&lt; target</t>
        </is>
      </c>
    </row>
    <row r="515">
      <c r="A515" s="7" t="n">
        <v>511</v>
      </c>
      <c r="B515" s="128" t="n">
        <v>793914295018.6646</v>
      </c>
      <c r="C515" s="128" t="n">
        <v>451295000000</v>
      </c>
      <c r="D515" s="22" t="n">
        <v>0.8795957134675374</v>
      </c>
      <c r="E515" t="inlineStr">
        <is>
          <t>&lt; target</t>
        </is>
      </c>
    </row>
    <row r="516">
      <c r="A516" s="45" t="n">
        <v>512</v>
      </c>
      <c r="B516" s="139" t="n">
        <v>796560676002.0602</v>
      </c>
      <c r="C516" s="139" t="n">
        <v>451295000000</v>
      </c>
      <c r="D516" s="47" t="n">
        <v>0.8825276991790959</v>
      </c>
      <c r="E516" s="48" t="inlineStr">
        <is>
          <t>&lt; target</t>
        </is>
      </c>
    </row>
    <row r="517">
      <c r="A517" s="7" t="n">
        <v>513</v>
      </c>
      <c r="B517" s="128" t="n">
        <v>799215878255.4004</v>
      </c>
      <c r="C517" s="128" t="n">
        <v>451295000000</v>
      </c>
      <c r="D517" s="22" t="n">
        <v>0.8854694581763596</v>
      </c>
      <c r="E517" t="inlineStr">
        <is>
          <t>&lt; target</t>
        </is>
      </c>
    </row>
    <row r="518">
      <c r="A518" s="45" t="n">
        <v>514</v>
      </c>
      <c r="B518" s="139" t="n">
        <v>801879931182.9185</v>
      </c>
      <c r="C518" s="139" t="n">
        <v>451295000000</v>
      </c>
      <c r="D518" s="47" t="n">
        <v>0.8884210230369475</v>
      </c>
      <c r="E518" s="48" t="inlineStr">
        <is>
          <t>&lt; target</t>
        </is>
      </c>
    </row>
    <row r="519">
      <c r="A519" s="7" t="n">
        <v>515</v>
      </c>
      <c r="B519" s="128" t="n">
        <v>804552864286.8616</v>
      </c>
      <c r="C519" s="128" t="n">
        <v>451295000000</v>
      </c>
      <c r="D519" s="22" t="n">
        <v>0.8913824264470708</v>
      </c>
      <c r="E519" t="inlineStr">
        <is>
          <t>&lt; target</t>
        </is>
      </c>
    </row>
    <row r="520">
      <c r="A520" s="45" t="n">
        <v>516</v>
      </c>
      <c r="B520" s="139" t="n">
        <v>807234707167.8179</v>
      </c>
      <c r="C520" s="139" t="n">
        <v>451295000000</v>
      </c>
      <c r="D520" s="47" t="n">
        <v>0.8943537012018944</v>
      </c>
      <c r="E520" s="48" t="inlineStr">
        <is>
          <t>&lt; target</t>
        </is>
      </c>
    </row>
    <row r="521">
      <c r="A521" s="7" t="n">
        <v>517</v>
      </c>
      <c r="B521" s="128" t="n">
        <v>809925489525.0439</v>
      </c>
      <c r="C521" s="128" t="n">
        <v>451295000000</v>
      </c>
      <c r="D521" s="22" t="n">
        <v>0.8973348802059007</v>
      </c>
      <c r="E521" t="inlineStr">
        <is>
          <t>&lt; target</t>
        </is>
      </c>
    </row>
    <row r="522">
      <c r="A522" s="45" t="n">
        <v>518</v>
      </c>
      <c r="B522" s="139" t="n">
        <v>812625241156.7942</v>
      </c>
      <c r="C522" s="139" t="n">
        <v>451295000000</v>
      </c>
      <c r="D522" s="47" t="n">
        <v>0.9003259964732538</v>
      </c>
      <c r="E522" s="48" t="inlineStr">
        <is>
          <t>&lt; target</t>
        </is>
      </c>
    </row>
    <row r="523">
      <c r="A523" s="7" t="n">
        <v>519</v>
      </c>
      <c r="B523" s="128" t="n">
        <v>815333991960.6503</v>
      </c>
      <c r="C523" s="128" t="n">
        <v>451295000000</v>
      </c>
      <c r="D523" s="22" t="n">
        <v>0.9033270831281648</v>
      </c>
      <c r="E523" t="inlineStr">
        <is>
          <t>&lt; target</t>
        </is>
      </c>
    </row>
    <row r="524">
      <c r="A524" s="45" t="n">
        <v>520</v>
      </c>
      <c r="B524" s="139" t="n">
        <v>818051771933.8525</v>
      </c>
      <c r="C524" s="139" t="n">
        <v>451295000000</v>
      </c>
      <c r="D524" s="49" t="n">
        <v>0.9063381734052588</v>
      </c>
      <c r="E524" s="50" t="inlineStr">
        <is>
          <t>✓ REACHED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8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style="103" min="1" max="2"/>
    <col width="15" customWidth="1" style="103" min="3" max="27"/>
  </cols>
  <sheetData>
    <row r="1" ht="17.25" customHeight="1" s="103">
      <c r="A1" s="109" t="inlineStr">
        <is>
          <t>Phase 3 — Credit Burn Wind-Down ($2.00 per credit burned)</t>
        </is>
      </c>
    </row>
    <row r="2">
      <c r="A2" s="108" t="inlineStr">
        <is>
          <t>Each scenario burns G / T3 credits per month. J and G reach zero simultaneously.</t>
        </is>
      </c>
    </row>
    <row r="3" ht="26.25" customHeight="1" s="103">
      <c r="A3" s="19" t="inlineStr">
        <is>
          <t>Month
(Phase 3)</t>
        </is>
      </c>
      <c r="B3" s="19" t="inlineStr">
        <is>
          <t>Year</t>
        </is>
      </c>
      <c r="C3" s="110" t="inlineStr">
        <is>
          <t>5-Year Wind-Down
(Burns/mo: 7521.6M credits)</t>
        </is>
      </c>
      <c r="H3" s="110" t="inlineStr">
        <is>
          <t>7-Year Wind-Down
(Burns/mo: 5372.6M credits)</t>
        </is>
      </c>
      <c r="M3" s="110" t="inlineStr">
        <is>
          <t>10-Year Wind-Down
(Burns/mo: 3760.8M credits)</t>
        </is>
      </c>
      <c r="R3" s="110" t="inlineStr">
        <is>
          <t>12-Year Wind-Down
(Burns/mo: 3134.0M credits)</t>
        </is>
      </c>
      <c r="W3" s="110" t="inlineStr">
        <is>
          <t>15-Year Wind-Down
(Burns/mo: 2507.2M credits)</t>
        </is>
      </c>
    </row>
    <row r="4" ht="24.75" customHeight="1" s="103">
      <c r="A4" s="51" t="inlineStr">
        <is>
          <t>Month</t>
        </is>
      </c>
      <c r="B4" s="51" t="inlineStr">
        <is>
          <t>Year</t>
        </is>
      </c>
      <c r="C4" s="52" t="inlineStr">
        <is>
          <t>Credits
Remaining (G)</t>
        </is>
      </c>
      <c r="D4" s="52" t="inlineStr">
        <is>
          <t>Escrow (J)</t>
        </is>
      </c>
      <c r="E4" s="52" t="inlineStr">
        <is>
          <t>L = J/2G</t>
        </is>
      </c>
      <c r="F4" s="52" t="inlineStr">
        <is>
          <t>Monthly
Payout ($)</t>
        </is>
      </c>
      <c r="G4" s="52" t="inlineStr">
        <is>
          <t>Status</t>
        </is>
      </c>
      <c r="H4" s="52" t="inlineStr">
        <is>
          <t>Credits
Remaining (G)</t>
        </is>
      </c>
      <c r="I4" s="52" t="inlineStr">
        <is>
          <t>Escrow (J)</t>
        </is>
      </c>
      <c r="J4" s="52" t="inlineStr">
        <is>
          <t>L = J/2G</t>
        </is>
      </c>
      <c r="K4" s="52" t="inlineStr">
        <is>
          <t>Monthly
Payout ($)</t>
        </is>
      </c>
      <c r="L4" s="52" t="inlineStr">
        <is>
          <t>Status</t>
        </is>
      </c>
      <c r="M4" s="52" t="inlineStr">
        <is>
          <t>Credits
Remaining (G)</t>
        </is>
      </c>
      <c r="N4" s="52" t="inlineStr">
        <is>
          <t>Escrow (J)</t>
        </is>
      </c>
      <c r="O4" s="52" t="inlineStr">
        <is>
          <t>L = J/2G</t>
        </is>
      </c>
      <c r="P4" s="52" t="inlineStr">
        <is>
          <t>Monthly
Payout ($)</t>
        </is>
      </c>
      <c r="Q4" s="52" t="inlineStr">
        <is>
          <t>Status</t>
        </is>
      </c>
      <c r="R4" s="52" t="inlineStr">
        <is>
          <t>Credits
Remaining (G)</t>
        </is>
      </c>
      <c r="S4" s="52" t="inlineStr">
        <is>
          <t>Escrow (J)</t>
        </is>
      </c>
      <c r="T4" s="52" t="inlineStr">
        <is>
          <t>L = J/2G</t>
        </is>
      </c>
      <c r="U4" s="52" t="inlineStr">
        <is>
          <t>Monthly
Payout ($)</t>
        </is>
      </c>
      <c r="V4" s="52" t="inlineStr">
        <is>
          <t>Status</t>
        </is>
      </c>
      <c r="W4" s="52" t="inlineStr">
        <is>
          <t>Credits
Remaining (G)</t>
        </is>
      </c>
      <c r="X4" s="52" t="inlineStr">
        <is>
          <t>Escrow (J)</t>
        </is>
      </c>
      <c r="Y4" s="52" t="inlineStr">
        <is>
          <t>L = J/2G</t>
        </is>
      </c>
      <c r="Z4" s="52" t="inlineStr">
        <is>
          <t>Monthly
Payout ($)</t>
        </is>
      </c>
      <c r="AA4" s="52" t="inlineStr">
        <is>
          <t>Status</t>
        </is>
      </c>
    </row>
    <row r="5">
      <c r="A5" t="n">
        <v>0</v>
      </c>
      <c r="B5" t="inlineStr">
        <is>
          <t>Start</t>
        </is>
      </c>
      <c r="C5" s="140" t="n">
        <v>451295000000</v>
      </c>
      <c r="D5" s="140" t="n">
        <v>818051771933.8541</v>
      </c>
      <c r="E5" s="54" t="n">
        <v>0.9063381734052606</v>
      </c>
      <c r="F5" s="141" t="n">
        <v>0</v>
      </c>
      <c r="G5" s="56" t="inlineStr">
        <is>
          <t>Phase 3 Start</t>
        </is>
      </c>
      <c r="H5" s="140" t="n">
        <v>451295000000</v>
      </c>
      <c r="I5" s="140" t="n">
        <v>786027787109.1968</v>
      </c>
      <c r="J5" s="54" t="n">
        <v>0.8708580718922178</v>
      </c>
      <c r="K5" s="141" t="n">
        <v>0</v>
      </c>
      <c r="L5" s="56" t="inlineStr">
        <is>
          <t>Phase 3 Start</t>
        </is>
      </c>
      <c r="M5" s="140" t="n">
        <v>451295000000</v>
      </c>
      <c r="N5" s="140" t="n">
        <v>742794713738.8995</v>
      </c>
      <c r="O5" s="54" t="n">
        <v>0.8229591661096395</v>
      </c>
      <c r="P5" s="141" t="n">
        <v>0</v>
      </c>
      <c r="Q5" s="56" t="inlineStr">
        <is>
          <t>Phase 3 Start</t>
        </is>
      </c>
      <c r="R5" s="140" t="n">
        <v>451295000000</v>
      </c>
      <c r="S5" s="140" t="n">
        <v>716095846454.9991</v>
      </c>
      <c r="T5" s="54" t="n">
        <v>0.7933788834963816</v>
      </c>
      <c r="U5" s="141" t="n">
        <v>0</v>
      </c>
      <c r="V5" s="56" t="inlineStr">
        <is>
          <t>Phase 3 Start</t>
        </is>
      </c>
      <c r="W5" s="140" t="n">
        <v>451295000000</v>
      </c>
      <c r="X5" s="140" t="n">
        <v>678964864508.7986</v>
      </c>
      <c r="Y5" s="54" t="n">
        <v>0.7522406236594673</v>
      </c>
      <c r="Z5" s="141" t="n">
        <v>0</v>
      </c>
      <c r="AA5" s="56" t="inlineStr">
        <is>
          <t>Phase 3 Start</t>
        </is>
      </c>
    </row>
    <row r="6">
      <c r="A6" s="7" t="n">
        <v>1</v>
      </c>
      <c r="B6" s="7" t="inlineStr">
        <is>
          <t>Yr 0.1</t>
        </is>
      </c>
      <c r="C6" s="128" t="n">
        <v>443773416666.6667</v>
      </c>
      <c r="D6" s="128" t="n">
        <v>805735444506.967</v>
      </c>
      <c r="E6" s="22" t="n">
        <v>0.9078230176101133</v>
      </c>
      <c r="F6" s="142" t="n">
        <v>15043166666.66667</v>
      </c>
      <c r="G6" s="7" t="inlineStr">
        <is>
          <t>2% done</t>
        </is>
      </c>
      <c r="H6" s="128" t="n">
        <v>445922440476.1905</v>
      </c>
      <c r="I6" s="128" t="n">
        <v>777902760685.275</v>
      </c>
      <c r="J6" s="22" t="n">
        <v>0.872239979506941</v>
      </c>
      <c r="K6" s="142" t="n">
        <v>10745119047.61905</v>
      </c>
      <c r="L6" s="7" t="inlineStr">
        <is>
          <t>1% done</t>
        </is>
      </c>
      <c r="M6" s="128" t="n">
        <v>447534208333.3333</v>
      </c>
      <c r="N6" s="128" t="n">
        <v>737749112784.6958</v>
      </c>
      <c r="O6" s="22" t="n">
        <v>0.824237677307568</v>
      </c>
      <c r="P6" s="142" t="n">
        <v>7521583333.333333</v>
      </c>
      <c r="Q6" s="7" t="inlineStr">
        <is>
          <t>1% done</t>
        </is>
      </c>
      <c r="R6" s="128" t="n">
        <v>448161006944.4445</v>
      </c>
      <c r="S6" s="128" t="n">
        <v>712214846498.738</v>
      </c>
      <c r="T6" s="22" t="n">
        <v>0.7945970705423582</v>
      </c>
      <c r="U6" s="142" t="n">
        <v>6267986111.111111</v>
      </c>
      <c r="V6" s="7" t="inlineStr">
        <is>
          <t>1% done</t>
        </is>
      </c>
      <c r="W6" s="128" t="n">
        <v>448787805555.5555</v>
      </c>
      <c r="X6" s="128" t="n">
        <v>676213691834.939</v>
      </c>
      <c r="Y6" s="22" t="n">
        <v>0.7533779700161999</v>
      </c>
      <c r="Z6" s="142" t="n">
        <v>5014388888.888889</v>
      </c>
      <c r="AA6" s="7" t="inlineStr">
        <is>
          <t>1% done</t>
        </is>
      </c>
    </row>
    <row r="7">
      <c r="A7" s="45" t="n">
        <v>2</v>
      </c>
      <c r="B7" s="45" t="inlineStr">
        <is>
          <t>Yr 0.2</t>
        </is>
      </c>
      <c r="C7" s="139" t="n">
        <v>436251833333.3334</v>
      </c>
      <c r="D7" s="139" t="n">
        <v>793378062655.3236</v>
      </c>
      <c r="E7" s="47" t="n">
        <v>0.9093120097550577</v>
      </c>
      <c r="F7" s="143" t="n">
        <v>15043166666.66667</v>
      </c>
      <c r="G7" s="45" t="inlineStr">
        <is>
          <t>3% done</t>
        </is>
      </c>
      <c r="H7" s="139" t="n">
        <v>440549880952.381</v>
      </c>
      <c r="I7" s="139" t="n">
        <v>769750650839.9403</v>
      </c>
      <c r="J7" s="47" t="n">
        <v>0.8736248539846304</v>
      </c>
      <c r="K7" s="143" t="n">
        <v>10745119047.61905</v>
      </c>
      <c r="L7" s="45" t="inlineStr">
        <is>
          <t>2% done</t>
        </is>
      </c>
      <c r="M7" s="139" t="n">
        <v>443773416666.6666</v>
      </c>
      <c r="N7" s="139" t="n">
        <v>732686693160.6448</v>
      </c>
      <c r="O7" s="47" t="n">
        <v>0.8255189085728751</v>
      </c>
      <c r="P7" s="143" t="n">
        <v>7521583333.333333</v>
      </c>
      <c r="Q7" s="45" t="inlineStr">
        <is>
          <t>2% done</t>
        </is>
      </c>
      <c r="R7" s="139" t="n">
        <v>445027013888.8889</v>
      </c>
      <c r="S7" s="139" t="n">
        <v>708320909875.9561</v>
      </c>
      <c r="T7" s="47" t="n">
        <v>0.7958178804543362</v>
      </c>
      <c r="U7" s="143" t="n">
        <v>6267986111.111111</v>
      </c>
      <c r="V7" s="45" t="inlineStr">
        <is>
          <t>1% done</t>
        </is>
      </c>
      <c r="W7" s="139" t="n">
        <v>446280611111.1111</v>
      </c>
      <c r="X7" s="139" t="n">
        <v>673453348585.4999</v>
      </c>
      <c r="Y7" s="47" t="n">
        <v>0.7545178210955588</v>
      </c>
      <c r="Z7" s="143" t="n">
        <v>5014388888.888889</v>
      </c>
      <c r="AA7" s="45" t="inlineStr">
        <is>
          <t>1% done</t>
        </is>
      </c>
    </row>
    <row r="8">
      <c r="A8" s="7" t="n">
        <v>3</v>
      </c>
      <c r="B8" s="7" t="inlineStr">
        <is>
          <t>Yr 0.2</t>
        </is>
      </c>
      <c r="C8" s="128" t="n">
        <v>428730250000.0001</v>
      </c>
      <c r="D8" s="128" t="n">
        <v>780979489530.8414</v>
      </c>
      <c r="E8" s="22" t="n">
        <v>0.9108052085557776</v>
      </c>
      <c r="F8" s="142" t="n">
        <v>15043166666.66667</v>
      </c>
      <c r="G8" s="7" t="inlineStr">
        <is>
          <t>5% done</t>
        </is>
      </c>
      <c r="H8" s="128" t="n">
        <v>435177321428.5715</v>
      </c>
      <c r="I8" s="128" t="n">
        <v>761571367295.1211</v>
      </c>
      <c r="J8" s="22" t="n">
        <v>0.8750127014834834</v>
      </c>
      <c r="K8" s="142" t="n">
        <v>10745119047.61905</v>
      </c>
      <c r="L8" s="7" t="inlineStr">
        <is>
          <t>4% done</t>
        </is>
      </c>
      <c r="M8" s="128" t="n">
        <v>440012624999.9999</v>
      </c>
      <c r="N8" s="128" t="n">
        <v>727607398804.5135</v>
      </c>
      <c r="O8" s="22" t="n">
        <v>0.8268028659456234</v>
      </c>
      <c r="P8" s="142" t="n">
        <v>7521583333.333333</v>
      </c>
      <c r="Q8" s="7" t="inlineStr">
        <is>
          <t>2% done</t>
        </is>
      </c>
      <c r="R8" s="128" t="n">
        <v>441893020833.3334</v>
      </c>
      <c r="S8" s="128" t="n">
        <v>704413993464.4315</v>
      </c>
      <c r="T8" s="22" t="n">
        <v>0.7970413202453721</v>
      </c>
      <c r="U8" s="142" t="n">
        <v>6267986111.111111</v>
      </c>
      <c r="V8" s="7" t="inlineStr">
        <is>
          <t>2% done</t>
        </is>
      </c>
      <c r="W8" s="128" t="n">
        <v>443773416666.6666</v>
      </c>
      <c r="X8" s="128" t="n">
        <v>670683804191.896</v>
      </c>
      <c r="Y8" s="22" t="n">
        <v>0.7556601849088107</v>
      </c>
      <c r="Z8" s="142" t="n">
        <v>5014388888.888889</v>
      </c>
      <c r="AA8" s="7" t="inlineStr">
        <is>
          <t>2% done</t>
        </is>
      </c>
    </row>
    <row r="9">
      <c r="A9" s="45" t="n">
        <v>4</v>
      </c>
      <c r="B9" s="45" t="inlineStr">
        <is>
          <t>Yr 0.3</t>
        </is>
      </c>
      <c r="C9" s="139" t="n">
        <v>421208666666.6667</v>
      </c>
      <c r="D9" s="139" t="n">
        <v>768539587829.2776</v>
      </c>
      <c r="E9" s="47" t="n">
        <v>0.9123026763804449</v>
      </c>
      <c r="F9" s="143" t="n">
        <v>15043166666.66667</v>
      </c>
      <c r="G9" s="45" t="inlineStr">
        <is>
          <t>7% done</t>
        </is>
      </c>
      <c r="H9" s="139" t="n">
        <v>429804761904.762</v>
      </c>
      <c r="I9" s="139" t="n">
        <v>753364819471.8191</v>
      </c>
      <c r="J9" s="47" t="n">
        <v>0.8764035281195337</v>
      </c>
      <c r="K9" s="143" t="n">
        <v>10745119047.61905</v>
      </c>
      <c r="L9" s="45" t="inlineStr">
        <is>
          <t>5% done</t>
        </is>
      </c>
      <c r="M9" s="139" t="n">
        <v>436251833333.3333</v>
      </c>
      <c r="N9" s="139" t="n">
        <v>722511173467.1952</v>
      </c>
      <c r="O9" s="47" t="n">
        <v>0.8280895554599716</v>
      </c>
      <c r="P9" s="143" t="n">
        <v>7521583333.333333</v>
      </c>
      <c r="Q9" s="45" t="inlineStr">
        <is>
          <t>3% done</t>
        </is>
      </c>
      <c r="R9" s="139" t="n">
        <v>438759027777.7778</v>
      </c>
      <c r="S9" s="139" t="n">
        <v>700494053998.2019</v>
      </c>
      <c r="T9" s="47" t="n">
        <v>0.7982673969650914</v>
      </c>
      <c r="U9" s="143" t="n">
        <v>6267986111.111111</v>
      </c>
      <c r="V9" s="45" t="inlineStr">
        <is>
          <t>3% done</t>
        </is>
      </c>
      <c r="W9" s="139" t="n">
        <v>441266222222.2222</v>
      </c>
      <c r="X9" s="139" t="n">
        <v>667905027983.6467</v>
      </c>
      <c r="Y9" s="47" t="n">
        <v>0.7568050695338392</v>
      </c>
      <c r="Z9" s="143" t="n">
        <v>5014388888.888889</v>
      </c>
      <c r="AA9" s="45" t="inlineStr">
        <is>
          <t>2% done</t>
        </is>
      </c>
    </row>
    <row r="10">
      <c r="A10" s="7" t="n">
        <v>5</v>
      </c>
      <c r="B10" s="7" t="inlineStr">
        <is>
          <t>Yr 0.4</t>
        </is>
      </c>
      <c r="C10" s="128" t="n">
        <v>413687083333.3334</v>
      </c>
      <c r="D10" s="128" t="n">
        <v>756058219788.7085</v>
      </c>
      <c r="E10" s="22" t="n">
        <v>0.9138044795799261</v>
      </c>
      <c r="F10" s="142" t="n">
        <v>15043166666.66667</v>
      </c>
      <c r="G10" s="7" t="inlineStr">
        <is>
          <t>8% done</t>
        </is>
      </c>
      <c r="H10" s="128" t="n">
        <v>424432202380.9525</v>
      </c>
      <c r="I10" s="128" t="n">
        <v>745130916489.1061</v>
      </c>
      <c r="J10" s="22" t="n">
        <v>0.8777973399628004</v>
      </c>
      <c r="K10" s="142" t="n">
        <v>10745119047.61905</v>
      </c>
      <c r="L10" s="7" t="inlineStr">
        <is>
          <t>6% done</t>
        </is>
      </c>
      <c r="M10" s="128" t="n">
        <v>432491041666.6666</v>
      </c>
      <c r="N10" s="128" t="n">
        <v>717397960712.0858</v>
      </c>
      <c r="O10" s="22" t="n">
        <v>0.8293789831431992</v>
      </c>
      <c r="P10" s="142" t="n">
        <v>7521583333.333333</v>
      </c>
      <c r="Q10" s="7" t="inlineStr">
        <is>
          <t>4% done</t>
        </is>
      </c>
      <c r="R10" s="128" t="n">
        <v>435625034722.2223</v>
      </c>
      <c r="S10" s="128" t="n">
        <v>696561048067.0848</v>
      </c>
      <c r="T10" s="22" t="n">
        <v>0.7994961177004545</v>
      </c>
      <c r="U10" s="142" t="n">
        <v>6267986111.111111</v>
      </c>
      <c r="V10" s="7" t="inlineStr">
        <is>
          <t>3% done</t>
        </is>
      </c>
      <c r="W10" s="128" t="n">
        <v>438759027777.7777</v>
      </c>
      <c r="X10" s="128" t="n">
        <v>665116989188.0366</v>
      </c>
      <c r="Y10" s="22" t="n">
        <v>0.7579524831166602</v>
      </c>
      <c r="Z10" s="142" t="n">
        <v>5014388888.888889</v>
      </c>
      <c r="AA10" s="7" t="inlineStr">
        <is>
          <t>3% done</t>
        </is>
      </c>
    </row>
    <row r="11">
      <c r="A11" s="45" t="n">
        <v>6</v>
      </c>
      <c r="B11" s="45" t="inlineStr">
        <is>
          <t>Yr 0.5</t>
        </is>
      </c>
      <c r="C11" s="139" t="n">
        <v>406165500000.0001</v>
      </c>
      <c r="D11" s="139" t="n">
        <v>743535247188.0043</v>
      </c>
      <c r="E11" s="47" t="n">
        <v>0.9153106888546714</v>
      </c>
      <c r="F11" s="143" t="n">
        <v>15043166666.66667</v>
      </c>
      <c r="G11" s="45" t="inlineStr">
        <is>
          <t>10% done</t>
        </is>
      </c>
      <c r="H11" s="139" t="n">
        <v>419059642857.1429</v>
      </c>
      <c r="I11" s="139" t="n">
        <v>736869567163.1174</v>
      </c>
      <c r="J11" s="47" t="n">
        <v>0.8791941430331381</v>
      </c>
      <c r="K11" s="143" t="n">
        <v>10745119047.61905</v>
      </c>
      <c r="L11" s="45" t="inlineStr">
        <is>
          <t>7% done</t>
        </is>
      </c>
      <c r="M11" s="139" t="n">
        <v>428730249999.9999</v>
      </c>
      <c r="N11" s="139" t="n">
        <v>712267703914.4594</v>
      </c>
      <c r="O11" s="47" t="n">
        <v>0.8306711550146736</v>
      </c>
      <c r="P11" s="143" t="n">
        <v>7521583333.333333</v>
      </c>
      <c r="Q11" s="45" t="inlineStr">
        <is>
          <t>5% done</t>
        </is>
      </c>
      <c r="R11" s="139" t="n">
        <v>432491041666.6667</v>
      </c>
      <c r="S11" s="139" t="n">
        <v>692614932116.1974</v>
      </c>
      <c r="T11" s="47" t="n">
        <v>0.8007274895765536</v>
      </c>
      <c r="U11" s="143" t="n">
        <v>6267986111.111111</v>
      </c>
      <c r="V11" s="45" t="inlineStr">
        <is>
          <t>4% done</t>
        </is>
      </c>
      <c r="W11" s="139" t="n">
        <v>436251833333.3333</v>
      </c>
      <c r="X11" s="139" t="n">
        <v>662319656929.7745</v>
      </c>
      <c r="Y11" s="47" t="n">
        <v>0.75910243387299</v>
      </c>
      <c r="Z11" s="143" t="n">
        <v>5014388888.888889</v>
      </c>
      <c r="AA11" s="45" t="inlineStr">
        <is>
          <t>3% done</t>
        </is>
      </c>
    </row>
    <row r="12">
      <c r="A12" s="7" t="n">
        <v>7</v>
      </c>
      <c r="B12" s="7" t="inlineStr">
        <is>
          <t>Yr 0.6</t>
        </is>
      </c>
      <c r="C12" s="128" t="n">
        <v>398643916666.6668</v>
      </c>
      <c r="D12" s="128" t="n">
        <v>730970531345.2976</v>
      </c>
      <c r="E12" s="22" t="n">
        <v>0.9168213796631338</v>
      </c>
      <c r="F12" s="142" t="n">
        <v>15043166666.66667</v>
      </c>
      <c r="G12" s="7" t="inlineStr">
        <is>
          <t>12% done</t>
        </is>
      </c>
      <c r="H12" s="128" t="n">
        <v>413687083333.3334</v>
      </c>
      <c r="I12" s="128" t="n">
        <v>728580680006.0421</v>
      </c>
      <c r="J12" s="22" t="n">
        <v>0.8805939432957582</v>
      </c>
      <c r="K12" s="142" t="n">
        <v>10745119047.61905</v>
      </c>
      <c r="L12" s="7" t="inlineStr">
        <is>
          <t>8% done</t>
        </is>
      </c>
      <c r="M12" s="128" t="n">
        <v>424969458333.3332</v>
      </c>
      <c r="N12" s="128" t="n">
        <v>707120346260.8408</v>
      </c>
      <c r="O12" s="22" t="n">
        <v>0.8319660770847643</v>
      </c>
      <c r="P12" s="142" t="n">
        <v>7521583333.333333</v>
      </c>
      <c r="Q12" s="7" t="inlineStr">
        <is>
          <t>6% done</t>
        </is>
      </c>
      <c r="R12" s="128" t="n">
        <v>429357048611.1112</v>
      </c>
      <c r="S12" s="128" t="n">
        <v>688655662445.4736</v>
      </c>
      <c r="T12" s="22" t="n">
        <v>0.8019615197574425</v>
      </c>
      <c r="U12" s="142" t="n">
        <v>6267986111.111111</v>
      </c>
      <c r="V12" s="7" t="inlineStr">
        <is>
          <t>5% done</t>
        </is>
      </c>
      <c r="W12" s="128" t="n">
        <v>433744638888.8888</v>
      </c>
      <c r="X12" s="128" t="n">
        <v>659513000230.6515</v>
      </c>
      <c r="Y12" s="22" t="n">
        <v>0.7602549300898647</v>
      </c>
      <c r="Z12" s="142" t="n">
        <v>5014388888.888889</v>
      </c>
      <c r="AA12" s="7" t="inlineStr">
        <is>
          <t>4% done</t>
        </is>
      </c>
    </row>
    <row r="13">
      <c r="A13" s="45" t="n">
        <v>8</v>
      </c>
      <c r="B13" s="45" t="inlineStr">
        <is>
          <t>Yr 0.7</t>
        </is>
      </c>
      <c r="C13" s="139" t="n">
        <v>391122333333.3335</v>
      </c>
      <c r="D13" s="139" t="n">
        <v>718363933116.4486</v>
      </c>
      <c r="E13" s="47" t="n">
        <v>0.9183366326773059</v>
      </c>
      <c r="F13" s="143" t="n">
        <v>15043166666.66667</v>
      </c>
      <c r="G13" s="45" t="inlineStr">
        <is>
          <t>13% done</t>
        </is>
      </c>
      <c r="H13" s="139" t="n">
        <v>408314523809.5239</v>
      </c>
      <c r="I13" s="139" t="n">
        <v>720264163225.1099</v>
      </c>
      <c r="J13" s="47" t="n">
        <v>0.8819967466563943</v>
      </c>
      <c r="K13" s="143" t="n">
        <v>10745119047.61905</v>
      </c>
      <c r="L13" s="45" t="inlineStr">
        <is>
          <t>10% done</t>
        </is>
      </c>
      <c r="M13" s="139" t="n">
        <v>421208666666.6665</v>
      </c>
      <c r="N13" s="139" t="n">
        <v>701955830748.377</v>
      </c>
      <c r="O13" s="47" t="n">
        <v>0.8332637553536931</v>
      </c>
      <c r="P13" s="143" t="n">
        <v>7521583333.333333</v>
      </c>
      <c r="Q13" s="45" t="inlineStr">
        <is>
          <t>7% done</t>
        </is>
      </c>
      <c r="R13" s="139" t="n">
        <v>426223055555.5557</v>
      </c>
      <c r="S13" s="139" t="n">
        <v>684683195209.1808</v>
      </c>
      <c r="T13" s="47" t="n">
        <v>0.8031982154470013</v>
      </c>
      <c r="U13" s="143" t="n">
        <v>6267986111.111111</v>
      </c>
      <c r="V13" s="45" t="inlineStr">
        <is>
          <t>6% done</t>
        </is>
      </c>
      <c r="W13" s="139" t="n">
        <v>431237444444.4443</v>
      </c>
      <c r="X13" s="139" t="n">
        <v>656696988009.1981</v>
      </c>
      <c r="Y13" s="47" t="n">
        <v>0.7614099801273164</v>
      </c>
      <c r="Z13" s="143" t="n">
        <v>5014388888.888889</v>
      </c>
      <c r="AA13" s="45" t="inlineStr">
        <is>
          <t>4% done</t>
        </is>
      </c>
    </row>
    <row r="14">
      <c r="A14" s="7" t="n">
        <v>9</v>
      </c>
      <c r="B14" s="7" t="inlineStr">
        <is>
          <t>Yr 0.8</t>
        </is>
      </c>
      <c r="C14" s="128" t="n">
        <v>383600750000.0002</v>
      </c>
      <c r="D14" s="128" t="n">
        <v>705715312893.5034</v>
      </c>
      <c r="E14" s="22" t="n">
        <v>0.9198565342918426</v>
      </c>
      <c r="F14" s="142" t="n">
        <v>15043166666.66667</v>
      </c>
      <c r="G14" s="7" t="inlineStr">
        <is>
          <t>15% done</t>
        </is>
      </c>
      <c r="H14" s="128" t="n">
        <v>402941964285.7144</v>
      </c>
      <c r="I14" s="128" t="n">
        <v>711919924721.5746</v>
      </c>
      <c r="J14" s="22" t="n">
        <v>0.8834025589560744</v>
      </c>
      <c r="K14" s="142" t="n">
        <v>10745119047.61905</v>
      </c>
      <c r="L14" s="7" t="inlineStr">
        <is>
          <t>11% done</t>
        </is>
      </c>
      <c r="M14" s="128" t="n">
        <v>417447874999.9998</v>
      </c>
      <c r="N14" s="128" t="n">
        <v>696774100184.2048</v>
      </c>
      <c r="O14" s="22" t="n">
        <v>0.8345641958103214</v>
      </c>
      <c r="P14" s="142" t="n">
        <v>7521583333.333333</v>
      </c>
      <c r="Q14" s="7" t="inlineStr">
        <is>
          <t>8% done</t>
        </is>
      </c>
      <c r="R14" s="128" t="n">
        <v>423089062500.0001</v>
      </c>
      <c r="S14" s="128" t="n">
        <v>680697486415.4336</v>
      </c>
      <c r="T14" s="22" t="n">
        <v>0.8044375838898381</v>
      </c>
      <c r="U14" s="142" t="n">
        <v>6267986111.111111</v>
      </c>
      <c r="V14" s="7" t="inlineStr">
        <is>
          <t>6% done</t>
        </is>
      </c>
      <c r="W14" s="128" t="n">
        <v>428730249999.9999</v>
      </c>
      <c r="X14" s="128" t="n">
        <v>653871589080.3398</v>
      </c>
      <c r="Y14" s="22" t="n">
        <v>0.7625675924201056</v>
      </c>
      <c r="Z14" s="142" t="n">
        <v>5014388888.888889</v>
      </c>
      <c r="AA14" s="7" t="inlineStr">
        <is>
          <t>5% done</t>
        </is>
      </c>
    </row>
    <row r="15">
      <c r="A15" s="45" t="n">
        <v>10</v>
      </c>
      <c r="B15" s="45" t="inlineStr">
        <is>
          <t>Yr 0.8</t>
        </is>
      </c>
      <c r="C15" s="139" t="n">
        <v>376079166666.6669</v>
      </c>
      <c r="D15" s="139" t="n">
        <v>693024530603.1484</v>
      </c>
      <c r="E15" s="47" t="n">
        <v>0.9213811771942717</v>
      </c>
      <c r="F15" s="143" t="n">
        <v>15043166666.66667</v>
      </c>
      <c r="G15" s="45" t="inlineStr">
        <is>
          <t>17% done</t>
        </is>
      </c>
      <c r="H15" s="139" t="n">
        <v>397569404761.9049</v>
      </c>
      <c r="I15" s="139" t="n">
        <v>703547872089.6941</v>
      </c>
      <c r="J15" s="47" t="n">
        <v>0.8848113859654676</v>
      </c>
      <c r="K15" s="143" t="n">
        <v>10745119047.61905</v>
      </c>
      <c r="L15" s="45" t="inlineStr">
        <is>
          <t>12% done</t>
        </is>
      </c>
      <c r="M15" s="139" t="n">
        <v>413687083333.3331</v>
      </c>
      <c r="N15" s="139" t="n">
        <v>691575097184.8188</v>
      </c>
      <c r="O15" s="47" t="n">
        <v>0.8358674044308682</v>
      </c>
      <c r="P15" s="143" t="n">
        <v>7521583333.333333</v>
      </c>
      <c r="Q15" s="45" t="inlineStr">
        <is>
          <t>8% done</t>
        </is>
      </c>
      <c r="R15" s="139" t="n">
        <v>419955069444.4446</v>
      </c>
      <c r="S15" s="139" t="n">
        <v>676698491925.7073</v>
      </c>
      <c r="T15" s="47" t="n">
        <v>0.8056796323722281</v>
      </c>
      <c r="U15" s="143" t="n">
        <v>6267986111.111111</v>
      </c>
      <c r="V15" s="45" t="inlineStr">
        <is>
          <t>7% done</t>
        </is>
      </c>
      <c r="W15" s="139" t="n">
        <v>426223055555.5554</v>
      </c>
      <c r="X15" s="139" t="n">
        <v>651036772155.052</v>
      </c>
      <c r="Y15" s="47" t="n">
        <v>0.7637277754795149</v>
      </c>
      <c r="Z15" s="143" t="n">
        <v>5014388888.888889</v>
      </c>
      <c r="AA15" s="45" t="inlineStr">
        <is>
          <t>6% done</t>
        </is>
      </c>
    </row>
    <row r="16">
      <c r="A16" s="7" t="n">
        <v>11</v>
      </c>
      <c r="B16" s="7" t="inlineStr">
        <is>
          <t>Yr 0.9</t>
        </is>
      </c>
      <c r="C16" s="128" t="n">
        <v>368557583333.3336</v>
      </c>
      <c r="D16" s="128" t="n">
        <v>680291445705.1589</v>
      </c>
      <c r="E16" s="22" t="n">
        <v>0.9229106610050196</v>
      </c>
      <c r="F16" s="142" t="n">
        <v>15043166666.66667</v>
      </c>
      <c r="G16" s="7" t="inlineStr">
        <is>
          <t>18% done</t>
        </is>
      </c>
      <c r="H16" s="128" t="n">
        <v>392196845238.0954</v>
      </c>
      <c r="I16" s="128" t="n">
        <v>695147912615.7074</v>
      </c>
      <c r="J16" s="22" t="n">
        <v>0.8862232333787592</v>
      </c>
      <c r="K16" s="142" t="n">
        <v>10745119047.61905</v>
      </c>
      <c r="L16" s="7" t="inlineStr">
        <is>
          <t>13% done</t>
        </is>
      </c>
      <c r="M16" s="128" t="n">
        <v>409926291666.6664</v>
      </c>
      <c r="N16" s="128" t="n">
        <v>686358764175.4348</v>
      </c>
      <c r="O16" s="22" t="n">
        <v>0.8371733871775549</v>
      </c>
      <c r="P16" s="142" t="n">
        <v>7521583333.333333</v>
      </c>
      <c r="Q16" s="7" t="inlineStr">
        <is>
          <t>9% done</t>
        </is>
      </c>
      <c r="R16" s="128" t="n">
        <v>416821076388.889</v>
      </c>
      <c r="S16" s="128" t="n">
        <v>672686167454.3485</v>
      </c>
      <c r="T16" s="22" t="n">
        <v>0.8069243682230939</v>
      </c>
      <c r="U16" s="142" t="n">
        <v>6267986111.111111</v>
      </c>
      <c r="V16" s="7" t="inlineStr">
        <is>
          <t>8% done</t>
        </is>
      </c>
      <c r="W16" s="128" t="n">
        <v>423715861111.111</v>
      </c>
      <c r="X16" s="128" t="n">
        <v>648192505840.0133</v>
      </c>
      <c r="Y16" s="22" t="n">
        <v>0.7648905378952027</v>
      </c>
      <c r="Z16" s="142" t="n">
        <v>5014388888.888889</v>
      </c>
      <c r="AA16" s="7" t="inlineStr">
        <is>
          <t>6% done</t>
        </is>
      </c>
    </row>
    <row r="17">
      <c r="A17" s="45" t="n">
        <v>12</v>
      </c>
      <c r="B17" s="45" t="inlineStr">
        <is>
          <t>Yr 1.0</t>
        </is>
      </c>
      <c r="C17" s="139" t="n">
        <v>361036000000.0002</v>
      </c>
      <c r="D17" s="139" t="n">
        <v>667515917190.8429</v>
      </c>
      <c r="E17" s="47" t="n">
        <v>0.924445092997433</v>
      </c>
      <c r="F17" s="143" t="n">
        <v>15043166666.66667</v>
      </c>
      <c r="G17" s="45" t="inlineStr">
        <is>
          <t>20% done</t>
        </is>
      </c>
      <c r="H17" s="139" t="n">
        <v>386824285714.2859</v>
      </c>
      <c r="I17" s="139" t="n">
        <v>686719953276.8074</v>
      </c>
      <c r="J17" s="47" t="n">
        <v>0.8876381068070127</v>
      </c>
      <c r="K17" s="143" t="n">
        <v>10745119047.61905</v>
      </c>
      <c r="L17" s="45" t="inlineStr">
        <is>
          <t>14% done</t>
        </is>
      </c>
      <c r="M17" s="139" t="n">
        <v>406165499999.9998</v>
      </c>
      <c r="N17" s="139" t="n">
        <v>681125043389.3529</v>
      </c>
      <c r="O17" s="47" t="n">
        <v>0.8384821499971727</v>
      </c>
      <c r="P17" s="143" t="n">
        <v>7521583333.333333</v>
      </c>
      <c r="Q17" s="45" t="inlineStr">
        <is>
          <t>10% done</t>
        </is>
      </c>
      <c r="R17" s="139" t="n">
        <v>413687083333.3335</v>
      </c>
      <c r="S17" s="139" t="n">
        <v>668660468568.0852</v>
      </c>
      <c r="T17" s="47" t="n">
        <v>0.8081717988150282</v>
      </c>
      <c r="U17" s="143" t="n">
        <v>6267986111.111111</v>
      </c>
      <c r="V17" s="45" t="inlineStr">
        <is>
          <t>8% done</t>
        </is>
      </c>
      <c r="W17" s="139" t="n">
        <v>421208666666.6665</v>
      </c>
      <c r="X17" s="139" t="n">
        <v>645338758637.2578</v>
      </c>
      <c r="Y17" s="47" t="n">
        <v>0.7660558883371243</v>
      </c>
      <c r="Z17" s="143" t="n">
        <v>5014388888.888889</v>
      </c>
      <c r="AA17" s="45" t="inlineStr">
        <is>
          <t>7% done</t>
        </is>
      </c>
    </row>
    <row r="18">
      <c r="A18" s="7" t="n">
        <v>13</v>
      </c>
      <c r="B18" s="7" t="inlineStr">
        <is>
          <t>Yr 1.1</t>
        </is>
      </c>
      <c r="C18" s="128" t="n">
        <v>353514416666.6669</v>
      </c>
      <c r="D18" s="128" t="n">
        <v>654697803581.4791</v>
      </c>
      <c r="E18" s="22" t="n">
        <v>0.9259845889097101</v>
      </c>
      <c r="F18" s="142" t="n">
        <v>15043166666.66667</v>
      </c>
      <c r="G18" s="7" t="inlineStr">
        <is>
          <t>22% done</t>
        </is>
      </c>
      <c r="H18" s="128" t="n">
        <v>381451726190.4764</v>
      </c>
      <c r="I18" s="128" t="n">
        <v>678263900740.1111</v>
      </c>
      <c r="J18" s="22" t="n">
        <v>0.8890560117709662</v>
      </c>
      <c r="K18" s="142" t="n">
        <v>10745119047.61905</v>
      </c>
      <c r="L18" s="7" t="inlineStr">
        <is>
          <t>15% done</t>
        </is>
      </c>
      <c r="M18" s="128" t="n">
        <v>402404708333.3331</v>
      </c>
      <c r="N18" s="128" t="n">
        <v>675873876867.3174</v>
      </c>
      <c r="O18" s="22" t="n">
        <v>0.8397936988195667</v>
      </c>
      <c r="P18" s="142" t="n">
        <v>7521583333.333333</v>
      </c>
      <c r="Q18" s="7" t="inlineStr">
        <is>
          <t>11% done</t>
        </is>
      </c>
      <c r="R18" s="128" t="n">
        <v>410553090277.778</v>
      </c>
      <c r="S18" s="128" t="n">
        <v>664621350685.5344</v>
      </c>
      <c r="T18" s="22" t="n">
        <v>0.8094219315653614</v>
      </c>
      <c r="U18" s="142" t="n">
        <v>6267986111.111111</v>
      </c>
      <c r="V18" s="7" t="inlineStr">
        <is>
          <t>9% done</t>
        </is>
      </c>
      <c r="W18" s="128" t="n">
        <v>418701472222.222</v>
      </c>
      <c r="X18" s="128" t="n">
        <v>642475498943.8264</v>
      </c>
      <c r="Y18" s="22" t="n">
        <v>0.7672238355575191</v>
      </c>
      <c r="Z18" s="142" t="n">
        <v>5014388888.888889</v>
      </c>
      <c r="AA18" s="7" t="inlineStr">
        <is>
          <t>7% done</t>
        </is>
      </c>
    </row>
    <row r="19">
      <c r="A19" s="45" t="n">
        <v>14</v>
      </c>
      <c r="B19" s="45" t="inlineStr">
        <is>
          <t>Yr 1.2</t>
        </is>
      </c>
      <c r="C19" s="139" t="n">
        <v>345992833333.3336</v>
      </c>
      <c r="D19" s="139" t="n">
        <v>641836962926.7507</v>
      </c>
      <c r="E19" s="47" t="n">
        <v>0.9275292738627297</v>
      </c>
      <c r="F19" s="143" t="n">
        <v>15043166666.66667</v>
      </c>
      <c r="G19" s="45" t="inlineStr">
        <is>
          <t>23% done</t>
        </is>
      </c>
      <c r="H19" s="139" t="n">
        <v>376079166666.6669</v>
      </c>
      <c r="I19" s="139" t="n">
        <v>669779661361.6257</v>
      </c>
      <c r="J19" s="47" t="n">
        <v>0.8904769536932056</v>
      </c>
      <c r="K19" s="143" t="n">
        <v>10745119047.61905</v>
      </c>
      <c r="L19" s="45" t="inlineStr">
        <is>
          <t>17% done</t>
        </is>
      </c>
      <c r="M19" s="139" t="n">
        <v>398643916666.6664</v>
      </c>
      <c r="N19" s="139" t="n">
        <v>670605206456.8751</v>
      </c>
      <c r="O19" s="47" t="n">
        <v>0.841108039556031</v>
      </c>
      <c r="P19" s="143" t="n">
        <v>7521583333.333333</v>
      </c>
      <c r="Q19" s="45" t="inlineStr">
        <is>
          <t>12% done</t>
        </is>
      </c>
      <c r="R19" s="139" t="n">
        <v>407419097222.2224</v>
      </c>
      <c r="S19" s="139" t="n">
        <v>660568769076.7085</v>
      </c>
      <c r="T19" s="47" t="n">
        <v>0.810674773937276</v>
      </c>
      <c r="U19" s="143" t="n">
        <v>6267986111.111111</v>
      </c>
      <c r="V19" s="45" t="inlineStr">
        <is>
          <t>10% done</t>
        </is>
      </c>
      <c r="W19" s="139" t="n">
        <v>416194277777.7776</v>
      </c>
      <c r="X19" s="139" t="n">
        <v>639602695051.4169</v>
      </c>
      <c r="Y19" s="47" t="n">
        <v>0.768394388392968</v>
      </c>
      <c r="Z19" s="143" t="n">
        <v>5014388888.888889</v>
      </c>
      <c r="AA19" s="45" t="inlineStr">
        <is>
          <t>8% done</t>
        </is>
      </c>
    </row>
    <row r="20">
      <c r="A20" s="7" t="n">
        <v>15</v>
      </c>
      <c r="B20" s="7" t="inlineStr">
        <is>
          <t>Yr 1.2</t>
        </is>
      </c>
      <c r="C20" s="128" t="n">
        <v>338471250000.0003</v>
      </c>
      <c r="D20" s="128" t="n">
        <v>628933252803.1732</v>
      </c>
      <c r="E20" s="22" t="n">
        <v>0.9290792834002484</v>
      </c>
      <c r="F20" s="142" t="n">
        <v>15043166666.66667</v>
      </c>
      <c r="G20" s="7" t="inlineStr">
        <is>
          <t>25% done</t>
        </is>
      </c>
      <c r="H20" s="128" t="n">
        <v>370706607142.8574</v>
      </c>
      <c r="I20" s="128" t="n">
        <v>661267141185.2122</v>
      </c>
      <c r="J20" s="22" t="n">
        <v>0.8919009378896542</v>
      </c>
      <c r="K20" s="142" t="n">
        <v>10745119047.61905</v>
      </c>
      <c r="L20" s="7" t="inlineStr">
        <is>
          <t>18% done</t>
        </is>
      </c>
      <c r="M20" s="128" t="n">
        <v>394883124999.9997</v>
      </c>
      <c r="N20" s="128" t="n">
        <v>665318973811.7313</v>
      </c>
      <c r="O20" s="22" t="n">
        <v>0.8424251780976103</v>
      </c>
      <c r="P20" s="142" t="n">
        <v>7521583333.333333</v>
      </c>
      <c r="Q20" s="7" t="inlineStr">
        <is>
          <t>12% done</t>
        </is>
      </c>
      <c r="R20" s="128" t="n">
        <v>404285104166.6669</v>
      </c>
      <c r="S20" s="128" t="n">
        <v>656502678862.5198</v>
      </c>
      <c r="T20" s="22" t="n">
        <v>0.8119303334409719</v>
      </c>
      <c r="U20" s="142" t="n">
        <v>6267986111.111111</v>
      </c>
      <c r="V20" s="7" t="inlineStr">
        <is>
          <t>10% done</t>
        </is>
      </c>
      <c r="W20" s="128" t="n">
        <v>413687083333.3331</v>
      </c>
      <c r="X20" s="128" t="n">
        <v>636720315146.0327</v>
      </c>
      <c r="Y20" s="22" t="n">
        <v>0.769567555766526</v>
      </c>
      <c r="Z20" s="142" t="n">
        <v>5014388888.888889</v>
      </c>
      <c r="AA20" s="7" t="inlineStr">
        <is>
          <t>8% done</t>
        </is>
      </c>
    </row>
    <row r="21">
      <c r="A21" s="45" t="n">
        <v>16</v>
      </c>
      <c r="B21" s="45" t="inlineStr">
        <is>
          <t>Yr 1.3</t>
        </is>
      </c>
      <c r="C21" s="139" t="n">
        <v>330949666666.667</v>
      </c>
      <c r="D21" s="139" t="n">
        <v>615986530312.5172</v>
      </c>
      <c r="E21" s="47" t="n">
        <v>0.9306347646709368</v>
      </c>
      <c r="F21" s="143" t="n">
        <v>15043166666.66667</v>
      </c>
      <c r="G21" s="45" t="inlineStr">
        <is>
          <t>27% done</t>
        </is>
      </c>
      <c r="H21" s="139" t="n">
        <v>365334047619.0479</v>
      </c>
      <c r="I21" s="139" t="n">
        <v>652726245941.5438</v>
      </c>
      <c r="J21" s="47" t="n">
        <v>0.8933279695603054</v>
      </c>
      <c r="K21" s="143" t="n">
        <v>10745119047.61905</v>
      </c>
      <c r="L21" s="45" t="inlineStr">
        <is>
          <t>19% done</t>
        </is>
      </c>
      <c r="M21" s="139" t="n">
        <v>391122333333.333</v>
      </c>
      <c r="N21" s="139" t="n">
        <v>660015120391.1038</v>
      </c>
      <c r="O21" s="47" t="n">
        <v>0.8437451203133005</v>
      </c>
      <c r="P21" s="143" t="n">
        <v>7521583333.333333</v>
      </c>
      <c r="Q21" s="45" t="inlineStr">
        <is>
          <t>13% done</t>
        </is>
      </c>
      <c r="R21" s="139" t="n">
        <v>401151111111.1113</v>
      </c>
      <c r="S21" s="139" t="n">
        <v>652423035014.2838</v>
      </c>
      <c r="T21" s="47" t="n">
        <v>0.8131886176348828</v>
      </c>
      <c r="U21" s="143" t="n">
        <v>6267986111.111111</v>
      </c>
      <c r="V21" s="45" t="inlineStr">
        <is>
          <t>11% done</t>
        </is>
      </c>
      <c r="W21" s="139" t="n">
        <v>411179888888.8887</v>
      </c>
      <c r="X21" s="139" t="n">
        <v>633828327307.6306</v>
      </c>
      <c r="Y21" s="47" t="n">
        <v>0.7707433466899293</v>
      </c>
      <c r="Z21" s="143" t="n">
        <v>5014388888.888889</v>
      </c>
      <c r="AA21" s="45" t="inlineStr">
        <is>
          <t>9% done</t>
        </is>
      </c>
    </row>
    <row r="22">
      <c r="A22" s="7" t="n">
        <v>17</v>
      </c>
      <c r="B22" s="7" t="inlineStr">
        <is>
          <t>Yr 1.4</t>
        </is>
      </c>
      <c r="C22" s="128" t="n">
        <v>323428083333.3337</v>
      </c>
      <c r="D22" s="128" t="n">
        <v>602996652080.2256</v>
      </c>
      <c r="E22" s="22" t="n">
        <v>0.93219587777534</v>
      </c>
      <c r="F22" s="142" t="n">
        <v>15043166666.66667</v>
      </c>
      <c r="G22" s="7" t="inlineStr">
        <is>
          <t>28% done</t>
        </is>
      </c>
      <c r="H22" s="128" t="n">
        <v>359961488095.2383</v>
      </c>
      <c r="I22" s="128" t="n">
        <v>644156881047.0632</v>
      </c>
      <c r="J22" s="22" t="n">
        <v>0.8947580537791208</v>
      </c>
      <c r="K22" s="142" t="n">
        <v>10745119047.61905</v>
      </c>
      <c r="L22" s="7" t="inlineStr">
        <is>
          <t>20% done</t>
        </is>
      </c>
      <c r="M22" s="128" t="n">
        <v>387361541666.6663</v>
      </c>
      <c r="N22" s="128" t="n">
        <v>654693587459.0741</v>
      </c>
      <c r="O22" s="22" t="n">
        <v>0.845067872048141</v>
      </c>
      <c r="P22" s="142" t="n">
        <v>7521583333.333333</v>
      </c>
      <c r="Q22" s="7" t="inlineStr">
        <is>
          <t>14% done</t>
        </is>
      </c>
      <c r="R22" s="128" t="n">
        <v>398017118055.5558</v>
      </c>
      <c r="S22" s="128" t="n">
        <v>648329792353.2203</v>
      </c>
      <c r="T22" s="22" t="n">
        <v>0.8144496341269493</v>
      </c>
      <c r="U22" s="142" t="n">
        <v>6267986111.111111</v>
      </c>
      <c r="V22" s="7" t="inlineStr">
        <is>
          <t>12% done</t>
        </is>
      </c>
      <c r="W22" s="128" t="n">
        <v>408672694444.4442</v>
      </c>
      <c r="X22" s="128" t="n">
        <v>630926699509.7671</v>
      </c>
      <c r="Y22" s="22" t="n">
        <v>0.7719217702658827</v>
      </c>
      <c r="Z22" s="142" t="n">
        <v>5014388888.888889</v>
      </c>
      <c r="AA22" s="7" t="inlineStr">
        <is>
          <t>9% done</t>
        </is>
      </c>
    </row>
    <row r="23">
      <c r="A23" s="45" t="n">
        <v>18</v>
      </c>
      <c r="B23" s="45" t="inlineStr">
        <is>
          <t>Yr 1.5</t>
        </is>
      </c>
      <c r="C23" s="139" t="n">
        <v>315906500000.0004</v>
      </c>
      <c r="D23" s="139" t="n">
        <v>589963474253.8264</v>
      </c>
      <c r="E23" s="47" t="n">
        <v>0.933762797305256</v>
      </c>
      <c r="F23" s="143" t="n">
        <v>15043166666.66667</v>
      </c>
      <c r="G23" s="45" t="inlineStr">
        <is>
          <t>30% done</t>
        </is>
      </c>
      <c r="H23" s="139" t="n">
        <v>354588928571.4288</v>
      </c>
      <c r="I23" s="139" t="n">
        <v>635558951602.9344</v>
      </c>
      <c r="J23" s="47" t="n">
        <v>0.8961911954830065</v>
      </c>
      <c r="K23" s="143" t="n">
        <v>10745119047.61905</v>
      </c>
      <c r="L23" s="45" t="inlineStr">
        <is>
          <t>21% done</t>
        </is>
      </c>
      <c r="M23" s="139" t="n">
        <v>383600749999.9996</v>
      </c>
      <c r="N23" s="139" t="n">
        <v>649354316083.9376</v>
      </c>
      <c r="O23" s="47" t="n">
        <v>0.8463934391211934</v>
      </c>
      <c r="P23" s="143" t="n">
        <v>7521583333.333333</v>
      </c>
      <c r="Q23" s="45" t="inlineStr">
        <is>
          <t>15% done</t>
        </is>
      </c>
      <c r="R23" s="139" t="n">
        <v>394883125000.0002</v>
      </c>
      <c r="S23" s="139" t="n">
        <v>644222905549.9534</v>
      </c>
      <c r="T23" s="47" t="n">
        <v>0.8157133905759495</v>
      </c>
      <c r="U23" s="143" t="n">
        <v>6267986111.111111</v>
      </c>
      <c r="V23" s="45" t="inlineStr">
        <is>
          <t>12% done</t>
        </is>
      </c>
      <c r="W23" s="139" t="n">
        <v>406165499999.9998</v>
      </c>
      <c r="X23" s="139" t="n">
        <v>628015399619.244</v>
      </c>
      <c r="Y23" s="47" t="n">
        <v>0.7731028356904321</v>
      </c>
      <c r="Z23" s="143" t="n">
        <v>5014388888.888889</v>
      </c>
      <c r="AA23" s="45" t="inlineStr">
        <is>
          <t>10% done</t>
        </is>
      </c>
    </row>
    <row r="24">
      <c r="A24" s="7" t="n">
        <v>19</v>
      </c>
      <c r="B24" s="7" t="inlineStr">
        <is>
          <t>Yr 1.6</t>
        </is>
      </c>
      <c r="C24" s="128" t="n">
        <v>308384916666.6671</v>
      </c>
      <c r="D24" s="128" t="n">
        <v>576886852501.3392</v>
      </c>
      <c r="E24" s="22" t="n">
        <v>0.9353357141083778</v>
      </c>
      <c r="F24" s="142" t="n">
        <v>15043166666.66667</v>
      </c>
      <c r="G24" s="7" t="inlineStr">
        <is>
          <t>32% done</t>
        </is>
      </c>
      <c r="H24" s="128" t="n">
        <v>349216369047.6193</v>
      </c>
      <c r="I24" s="128" t="n">
        <v>626932362393.9918</v>
      </c>
      <c r="J24" s="22" t="n">
        <v>0.8976273994597644</v>
      </c>
      <c r="K24" s="142" t="n">
        <v>10745119047.61905</v>
      </c>
      <c r="L24" s="7" t="inlineStr">
        <is>
          <t>23% done</t>
        </is>
      </c>
      <c r="M24" s="128" t="n">
        <v>379839958333.3329</v>
      </c>
      <c r="N24" s="128" t="n">
        <v>643997247137.5507</v>
      </c>
      <c r="O24" s="22" t="n">
        <v>0.8477218273233953</v>
      </c>
      <c r="P24" s="142" t="n">
        <v>7521583333.333333</v>
      </c>
      <c r="Q24" s="7" t="inlineStr">
        <is>
          <t>16% done</t>
        </is>
      </c>
      <c r="R24" s="128" t="n">
        <v>391749131944.4447</v>
      </c>
      <c r="S24" s="128" t="n">
        <v>640102329124.0088</v>
      </c>
      <c r="T24" s="22" t="n">
        <v>0.8169798946928922</v>
      </c>
      <c r="U24" s="142" t="n">
        <v>6267986111.111111</v>
      </c>
      <c r="V24" s="7" t="inlineStr">
        <is>
          <t>13% done</t>
        </is>
      </c>
      <c r="W24" s="128" t="n">
        <v>403658305555.5553</v>
      </c>
      <c r="X24" s="128" t="n">
        <v>625094395395.7526</v>
      </c>
      <c r="Y24" s="22" t="n">
        <v>0.7742865522554213</v>
      </c>
      <c r="Z24" s="142" t="n">
        <v>5014388888.888889</v>
      </c>
      <c r="AA24" s="7" t="inlineStr">
        <is>
          <t>11% done</t>
        </is>
      </c>
    </row>
    <row r="25">
      <c r="A25" s="45" t="n">
        <v>20</v>
      </c>
      <c r="B25" s="45" t="inlineStr">
        <is>
          <t>Yr 1.7</t>
        </is>
      </c>
      <c r="C25" s="139" t="n">
        <v>300863333333.3337</v>
      </c>
      <c r="D25" s="139" t="n">
        <v>563766642009.6771</v>
      </c>
      <c r="E25" s="47" t="n">
        <v>0.9369148373176244</v>
      </c>
      <c r="F25" s="143" t="n">
        <v>15043166666.66667</v>
      </c>
      <c r="G25" s="45" t="inlineStr">
        <is>
          <t>33% done</t>
        </is>
      </c>
      <c r="H25" s="139" t="n">
        <v>343843809523.8098</v>
      </c>
      <c r="I25" s="139" t="n">
        <v>618277017887.6862</v>
      </c>
      <c r="J25" s="47" t="n">
        <v>0.8990666703349111</v>
      </c>
      <c r="K25" s="143" t="n">
        <v>10745119047.61905</v>
      </c>
      <c r="L25" s="45" t="inlineStr">
        <is>
          <t>24% done</t>
        </is>
      </c>
      <c r="M25" s="139" t="n">
        <v>376079166666.6663</v>
      </c>
      <c r="N25" s="139" t="n">
        <v>638622321294.6758</v>
      </c>
      <c r="O25" s="47" t="n">
        <v>0.8490530424152847</v>
      </c>
      <c r="P25" s="143" t="n">
        <v>7521583333.333333</v>
      </c>
      <c r="Q25" s="45" t="inlineStr">
        <is>
          <t>17% done</t>
        </is>
      </c>
      <c r="R25" s="139" t="n">
        <v>388615138888.8892</v>
      </c>
      <c r="S25" s="139" t="n">
        <v>635968017443.311</v>
      </c>
      <c r="T25" s="47" t="n">
        <v>0.818249154242475</v>
      </c>
      <c r="U25" s="143" t="n">
        <v>6267986111.111111</v>
      </c>
      <c r="V25" s="45" t="inlineStr">
        <is>
          <t>14% done</t>
        </is>
      </c>
      <c r="W25" s="139" t="n">
        <v>401151111111.1108</v>
      </c>
      <c r="X25" s="139" t="n">
        <v>622163654491.5161</v>
      </c>
      <c r="Y25" s="47" t="n">
        <v>0.775472929351041</v>
      </c>
      <c r="Z25" s="143" t="n">
        <v>5014388888.888889</v>
      </c>
      <c r="AA25" s="45" t="inlineStr">
        <is>
          <t>11% done</t>
        </is>
      </c>
    </row>
    <row r="26">
      <c r="A26" s="7" t="n">
        <v>21</v>
      </c>
      <c r="B26" s="7" t="inlineStr">
        <is>
          <t>Yr 1.8</t>
        </is>
      </c>
      <c r="C26" s="128" t="n">
        <v>293341750000.0004</v>
      </c>
      <c r="D26" s="128" t="n">
        <v>550602697483.0427</v>
      </c>
      <c r="E26" s="22" t="n">
        <v>0.9385003966926664</v>
      </c>
      <c r="F26" s="142" t="n">
        <v>15043166666.66667</v>
      </c>
      <c r="G26" s="7" t="inlineStr">
        <is>
          <t>35% done</t>
        </is>
      </c>
      <c r="H26" s="128" t="n">
        <v>338471250000.0003</v>
      </c>
      <c r="I26" s="128" t="n">
        <v>609592822233.0261</v>
      </c>
      <c r="J26" s="22" t="n">
        <v>0.9005090125572343</v>
      </c>
      <c r="K26" s="142" t="n">
        <v>10745119047.61905</v>
      </c>
      <c r="L26" s="7" t="inlineStr">
        <is>
          <t>25% done</t>
        </is>
      </c>
      <c r="M26" s="128" t="n">
        <v>372318374999.9996</v>
      </c>
      <c r="N26" s="128" t="n">
        <v>633229479032.3247</v>
      </c>
      <c r="O26" s="22" t="n">
        <v>0.8503870901245815</v>
      </c>
      <c r="P26" s="142" t="n">
        <v>7521583333.333333</v>
      </c>
      <c r="Q26" s="7" t="inlineStr">
        <is>
          <t>18% done</t>
        </is>
      </c>
      <c r="R26" s="128" t="n">
        <v>385481145833.3336</v>
      </c>
      <c r="S26" s="128" t="n">
        <v>631819924723.6776</v>
      </c>
      <c r="T26" s="22" t="n">
        <v>0.8195211770446107</v>
      </c>
      <c r="U26" s="142" t="n">
        <v>6267986111.111111</v>
      </c>
      <c r="V26" s="7" t="inlineStr">
        <is>
          <t>15% done</t>
        </is>
      </c>
      <c r="W26" s="128" t="n">
        <v>398643916666.6664</v>
      </c>
      <c r="X26" s="128" t="n">
        <v>619223144450.9323</v>
      </c>
      <c r="Y26" s="22" t="n">
        <v>0.7766619764684725</v>
      </c>
      <c r="Z26" s="142" t="n">
        <v>5014388888.888889</v>
      </c>
      <c r="AA26" s="7" t="inlineStr">
        <is>
          <t>12% done</t>
        </is>
      </c>
    </row>
    <row r="27">
      <c r="A27" s="45" t="n">
        <v>22</v>
      </c>
      <c r="B27" s="45" t="inlineStr">
        <is>
          <t>Yr 1.8</t>
        </is>
      </c>
      <c r="C27" s="139" t="n">
        <v>285820166666.6671</v>
      </c>
      <c r="D27" s="139" t="n">
        <v>537394873141.3195</v>
      </c>
      <c r="E27" s="47" t="n">
        <v>0.9400926453311587</v>
      </c>
      <c r="F27" s="143" t="n">
        <v>15043166666.66667</v>
      </c>
      <c r="G27" s="45" t="inlineStr">
        <is>
          <t>37% done</t>
        </is>
      </c>
      <c r="H27" s="139" t="n">
        <v>333098690476.1908</v>
      </c>
      <c r="I27" s="139" t="n">
        <v>600879679259.5172</v>
      </c>
      <c r="J27" s="47" t="n">
        <v>0.9019544303829481</v>
      </c>
      <c r="K27" s="143" t="n">
        <v>10745119047.61905</v>
      </c>
      <c r="L27" s="45" t="inlineStr">
        <is>
          <t>26% done</t>
        </is>
      </c>
      <c r="M27" s="139" t="n">
        <v>368557583333.3329</v>
      </c>
      <c r="N27" s="139" t="n">
        <v>627818660629.0991</v>
      </c>
      <c r="O27" s="47" t="n">
        <v>0.8517239761436192</v>
      </c>
      <c r="P27" s="143" t="n">
        <v>7521583333.333333</v>
      </c>
      <c r="Q27" s="45" t="inlineStr">
        <is>
          <t>18% done</t>
        </is>
      </c>
      <c r="R27" s="139" t="n">
        <v>382347152777.7781</v>
      </c>
      <c r="S27" s="139" t="n">
        <v>627658005028.3121</v>
      </c>
      <c r="T27" s="47" t="n">
        <v>0.820795970976028</v>
      </c>
      <c r="U27" s="143" t="n">
        <v>6267986111.111111</v>
      </c>
      <c r="V27" s="45" t="inlineStr">
        <is>
          <t>15% done</t>
        </is>
      </c>
      <c r="W27" s="139" t="n">
        <v>396136722222.2219</v>
      </c>
      <c r="X27" s="139" t="n">
        <v>616272832710.2131</v>
      </c>
      <c r="Y27" s="47" t="n">
        <v>0.7778537032026291</v>
      </c>
      <c r="Z27" s="143" t="n">
        <v>5014388888.888889</v>
      </c>
      <c r="AA27" s="45" t="inlineStr">
        <is>
          <t>12% done</t>
        </is>
      </c>
    </row>
    <row r="28">
      <c r="A28" s="7" t="n">
        <v>23</v>
      </c>
      <c r="B28" s="7" t="inlineStr">
        <is>
          <t>Yr 1.9</t>
        </is>
      </c>
      <c r="C28" s="128" t="n">
        <v>278298583333.3338</v>
      </c>
      <c r="D28" s="128" t="n">
        <v>524143022718.4572</v>
      </c>
      <c r="E28" s="22" t="n">
        <v>0.9416918628196209</v>
      </c>
      <c r="F28" s="142" t="n">
        <v>15043166666.66667</v>
      </c>
      <c r="G28" s="7" t="inlineStr">
        <is>
          <t>38% done</t>
        </is>
      </c>
      <c r="H28" s="128" t="n">
        <v>327726130952.3813</v>
      </c>
      <c r="I28" s="128" t="n">
        <v>592137492476.0966</v>
      </c>
      <c r="J28" s="22" t="n">
        <v>0.9034029278582829</v>
      </c>
      <c r="K28" s="142" t="n">
        <v>10745119047.61905</v>
      </c>
      <c r="L28" s="7" t="inlineStr">
        <is>
          <t>27% done</t>
        </is>
      </c>
      <c r="M28" s="128" t="n">
        <v>364796791666.6662</v>
      </c>
      <c r="N28" s="128" t="n">
        <v>622389806164.5294</v>
      </c>
      <c r="O28" s="22" t="n">
        <v>0.8530637061266144</v>
      </c>
      <c r="P28" s="142" t="n">
        <v>7521583333.333333</v>
      </c>
      <c r="Q28" s="7" t="inlineStr">
        <is>
          <t>19% done</t>
        </is>
      </c>
      <c r="R28" s="128" t="n">
        <v>379213159722.2225</v>
      </c>
      <c r="S28" s="128" t="n">
        <v>623482212267.2954</v>
      </c>
      <c r="T28" s="22" t="n">
        <v>0.8220735439719477</v>
      </c>
      <c r="U28" s="142" t="n">
        <v>6267986111.111111</v>
      </c>
      <c r="V28" s="7" t="inlineStr">
        <is>
          <t>16% done</t>
        </is>
      </c>
      <c r="W28" s="128" t="n">
        <v>393629527777.7775</v>
      </c>
      <c r="X28" s="128" t="n">
        <v>613312686597.0249</v>
      </c>
      <c r="Y28" s="22" t="n">
        <v>0.7790481192550028</v>
      </c>
      <c r="Z28" s="142" t="n">
        <v>5014388888.888889</v>
      </c>
      <c r="AA28" s="7" t="inlineStr">
        <is>
          <t>13% done</t>
        </is>
      </c>
    </row>
    <row r="29">
      <c r="A29" s="45" t="n">
        <v>24</v>
      </c>
      <c r="B29" s="45" t="inlineStr">
        <is>
          <t>Yr 2.0</t>
        </is>
      </c>
      <c r="C29" s="139" t="n">
        <v>270777000000.0005</v>
      </c>
      <c r="D29" s="139" t="n">
        <v>510846999460.8521</v>
      </c>
      <c r="E29" s="47" t="n">
        <v>0.9432983589094553</v>
      </c>
      <c r="F29" s="143" t="n">
        <v>15043166666.66667</v>
      </c>
      <c r="G29" s="45" t="inlineStr">
        <is>
          <t>40% done</t>
        </is>
      </c>
      <c r="H29" s="139" t="n">
        <v>322353571428.5718</v>
      </c>
      <c r="I29" s="139" t="n">
        <v>583366165070.0646</v>
      </c>
      <c r="J29" s="47" t="n">
        <v>0.9048545088003296</v>
      </c>
      <c r="K29" s="143" t="n">
        <v>10745119047.61905</v>
      </c>
      <c r="L29" s="45" t="inlineStr">
        <is>
          <t>29% done</t>
        </is>
      </c>
      <c r="M29" s="139" t="n">
        <v>361035999999.9995</v>
      </c>
      <c r="N29" s="139" t="n">
        <v>616942855518.4111</v>
      </c>
      <c r="O29" s="47" t="n">
        <v>0.8544062856867625</v>
      </c>
      <c r="P29" s="143" t="n">
        <v>7521583333.333333</v>
      </c>
      <c r="Q29" s="45" t="inlineStr">
        <is>
          <t>20% done</t>
        </is>
      </c>
      <c r="R29" s="139" t="n">
        <v>376079166666.667</v>
      </c>
      <c r="S29" s="139" t="n">
        <v>619292500197.0753</v>
      </c>
      <c r="T29" s="47" t="n">
        <v>0.8233539040278418</v>
      </c>
      <c r="U29" s="143" t="n">
        <v>6267986111.111111</v>
      </c>
      <c r="V29" s="45" t="inlineStr">
        <is>
          <t>17% done</t>
        </is>
      </c>
      <c r="W29" s="139" t="n">
        <v>391122333333.333</v>
      </c>
      <c r="X29" s="139" t="n">
        <v>610342673330.1261</v>
      </c>
      <c r="Y29" s="47" t="n">
        <v>0.780245234436617</v>
      </c>
      <c r="Z29" s="143" t="n">
        <v>5014388888.888889</v>
      </c>
      <c r="AA29" s="45" t="inlineStr">
        <is>
          <t>13% done</t>
        </is>
      </c>
    </row>
    <row r="30">
      <c r="A30" s="7" t="n">
        <v>25</v>
      </c>
      <c r="B30" s="7" t="inlineStr">
        <is>
          <t>Yr 2.1</t>
        </is>
      </c>
      <c r="C30" s="128" t="n">
        <v>263255416666.6671</v>
      </c>
      <c r="D30" s="128" t="n">
        <v>497506656125.7216</v>
      </c>
      <c r="E30" s="22" t="n">
        <v>0.9449124778231294</v>
      </c>
      <c r="F30" s="142" t="n">
        <v>15043166666.66667</v>
      </c>
      <c r="G30" s="7" t="inlineStr">
        <is>
          <t>42% done</t>
        </is>
      </c>
      <c r="H30" s="128" t="n">
        <v>316981011904.7623</v>
      </c>
      <c r="I30" s="128" t="n">
        <v>574565599906.0125</v>
      </c>
      <c r="J30" s="22" t="n">
        <v>0.9063091767759296</v>
      </c>
      <c r="K30" s="142" t="n">
        <v>10745119047.61905</v>
      </c>
      <c r="L30" s="7" t="inlineStr">
        <is>
          <t>30% done</t>
        </is>
      </c>
      <c r="M30" s="128" t="n">
        <v>357275208333.3328</v>
      </c>
      <c r="N30" s="128" t="n">
        <v>611477748370.1392</v>
      </c>
      <c r="O30" s="22" t="n">
        <v>0.8557517203931471</v>
      </c>
      <c r="P30" s="142" t="n">
        <v>7521583333.333333</v>
      </c>
      <c r="Q30" s="7" t="inlineStr">
        <is>
          <t>21% done</t>
        </is>
      </c>
      <c r="R30" s="128" t="n">
        <v>372945173611.1115</v>
      </c>
      <c r="S30" s="128" t="n">
        <v>615088822419.9545</v>
      </c>
      <c r="T30" s="22" t="n">
        <v>0.8246370592012786</v>
      </c>
      <c r="U30" s="142" t="n">
        <v>6267986111.111111</v>
      </c>
      <c r="V30" s="7" t="inlineStr">
        <is>
          <t>17% done</t>
        </is>
      </c>
      <c r="W30" s="128" t="n">
        <v>388615138888.8885</v>
      </c>
      <c r="X30" s="128" t="n">
        <v>607362760019.0043</v>
      </c>
      <c r="Y30" s="22" t="n">
        <v>0.7814450586710922</v>
      </c>
      <c r="Z30" s="142" t="n">
        <v>5014388888.888889</v>
      </c>
      <c r="AA30" s="7" t="inlineStr">
        <is>
          <t>14% done</t>
        </is>
      </c>
    </row>
    <row r="31">
      <c r="A31" s="45" t="n">
        <v>26</v>
      </c>
      <c r="B31" s="45" t="inlineStr">
        <is>
          <t>Yr 2.2</t>
        </is>
      </c>
      <c r="C31" s="139" t="n">
        <v>255733833333.3338</v>
      </c>
      <c r="D31" s="139" t="n">
        <v>484121844979.4739</v>
      </c>
      <c r="E31" s="47" t="n">
        <v>0.9465346033202616</v>
      </c>
      <c r="F31" s="143" t="n">
        <v>15043166666.66667</v>
      </c>
      <c r="G31" s="45" t="inlineStr">
        <is>
          <t>43% done</t>
        </is>
      </c>
      <c r="H31" s="139" t="n">
        <v>311608452380.9528</v>
      </c>
      <c r="I31" s="139" t="n">
        <v>565735699524.7468</v>
      </c>
      <c r="J31" s="47" t="n">
        <v>0.9077669350783755</v>
      </c>
      <c r="K31" s="143" t="n">
        <v>10745119047.61905</v>
      </c>
      <c r="L31" s="45" t="inlineStr">
        <is>
          <t>31% done</t>
        </is>
      </c>
      <c r="M31" s="139" t="n">
        <v>353514416666.6661</v>
      </c>
      <c r="N31" s="139" t="n">
        <v>605994424198.0396</v>
      </c>
      <c r="O31" s="47" t="n">
        <v>0.8571000157674481</v>
      </c>
      <c r="P31" s="143" t="n">
        <v>7521583333.333333</v>
      </c>
      <c r="Q31" s="45" t="inlineStr">
        <is>
          <t>22% done</t>
        </is>
      </c>
      <c r="R31" s="139" t="n">
        <v>369811180555.5559</v>
      </c>
      <c r="S31" s="139" t="n">
        <v>610871132383.5765</v>
      </c>
      <c r="T31" s="47" t="n">
        <v>0.8259230176138587</v>
      </c>
      <c r="U31" s="143" t="n">
        <v>6267986111.111111</v>
      </c>
      <c r="V31" s="45" t="inlineStr">
        <is>
          <t>18% done</t>
        </is>
      </c>
      <c r="W31" s="139" t="n">
        <v>386107944444.4441</v>
      </c>
      <c r="X31" s="139" t="n">
        <v>604372913663.5121</v>
      </c>
      <c r="Y31" s="47" t="n">
        <v>0.7826476019978313</v>
      </c>
      <c r="Z31" s="143" t="n">
        <v>5014388888.888889</v>
      </c>
      <c r="AA31" s="45" t="inlineStr">
        <is>
          <t>14% done</t>
        </is>
      </c>
    </row>
    <row r="32">
      <c r="A32" s="7" t="n">
        <v>27</v>
      </c>
      <c r="B32" s="7" t="inlineStr">
        <is>
          <t>Yr 2.2</t>
        </is>
      </c>
      <c r="C32" s="128" t="n">
        <v>248212250000.0004</v>
      </c>
      <c r="D32" s="128" t="n">
        <v>470692417796.0721</v>
      </c>
      <c r="E32" s="22" t="n">
        <v>0.9481651646848037</v>
      </c>
      <c r="F32" s="142" t="n">
        <v>15043166666.66667</v>
      </c>
      <c r="G32" s="7" t="inlineStr">
        <is>
          <t>45% done</t>
        </is>
      </c>
      <c r="H32" s="128" t="n">
        <v>306235892857.1432</v>
      </c>
      <c r="I32" s="128" t="n">
        <v>556876366142.2103</v>
      </c>
      <c r="J32" s="22" t="n">
        <v>0.9092277867016538</v>
      </c>
      <c r="K32" s="142" t="n">
        <v>10745119047.61905</v>
      </c>
      <c r="L32" s="7" t="inlineStr">
        <is>
          <t>32% done</t>
        </is>
      </c>
      <c r="M32" s="128" t="n">
        <v>349753624999.9995</v>
      </c>
      <c r="N32" s="128" t="n">
        <v>600492822278.6996</v>
      </c>
      <c r="O32" s="22" t="n">
        <v>0.8584511772804364</v>
      </c>
      <c r="P32" s="142" t="n">
        <v>7521583333.333333</v>
      </c>
      <c r="Q32" s="7" t="inlineStr">
        <is>
          <t>22% done</t>
        </is>
      </c>
      <c r="R32" s="128" t="n">
        <v>366677187500.0004</v>
      </c>
      <c r="S32" s="128" t="n">
        <v>606639383380.4108</v>
      </c>
      <c r="T32" s="22" t="n">
        <v>0.8272117874532489</v>
      </c>
      <c r="U32" s="142" t="n">
        <v>6267986111.111111</v>
      </c>
      <c r="V32" s="7" t="inlineStr">
        <is>
          <t>19% done</t>
        </is>
      </c>
      <c r="W32" s="128" t="n">
        <v>383600749999.9996</v>
      </c>
      <c r="X32" s="128" t="n">
        <v>601373101153.5016</v>
      </c>
      <c r="Y32" s="22" t="n">
        <v>0.7838528745753263</v>
      </c>
      <c r="Z32" s="142" t="n">
        <v>5014388888.888889</v>
      </c>
      <c r="AA32" s="7" t="inlineStr">
        <is>
          <t>15% done</t>
        </is>
      </c>
    </row>
    <row r="33">
      <c r="A33" s="45" t="n">
        <v>28</v>
      </c>
      <c r="B33" s="45" t="inlineStr">
        <is>
          <t>Yr 2.3</t>
        </is>
      </c>
      <c r="C33" s="139" t="n">
        <v>240690666666.6671</v>
      </c>
      <c r="D33" s="139" t="n">
        <v>457218225855.3923</v>
      </c>
      <c r="E33" s="47" t="n">
        <v>0.9498046438348078</v>
      </c>
      <c r="F33" s="143" t="n">
        <v>15043166666.66667</v>
      </c>
      <c r="G33" s="45" t="inlineStr">
        <is>
          <t>47% done</t>
        </is>
      </c>
      <c r="H33" s="139" t="n">
        <v>300863333333.3337</v>
      </c>
      <c r="I33" s="139" t="n">
        <v>547987501648.3987</v>
      </c>
      <c r="J33" s="47" t="n">
        <v>0.9106917343119212</v>
      </c>
      <c r="K33" s="143" t="n">
        <v>10745119047.61905</v>
      </c>
      <c r="L33" s="45" t="inlineStr">
        <is>
          <t>33% done</t>
        </is>
      </c>
      <c r="M33" s="139" t="n">
        <v>345992833333.3328</v>
      </c>
      <c r="N33" s="139" t="n">
        <v>594972881686.2952</v>
      </c>
      <c r="O33" s="47" t="n">
        <v>0.8598052103482339</v>
      </c>
      <c r="P33" s="143" t="n">
        <v>7521583333.333333</v>
      </c>
      <c r="Q33" s="45" t="inlineStr">
        <is>
          <t>23% done</t>
        </is>
      </c>
      <c r="R33" s="139" t="n">
        <v>363543194444.4448</v>
      </c>
      <c r="S33" s="139" t="n">
        <v>602393528547.2344</v>
      </c>
      <c r="T33" s="47" t="n">
        <v>0.828503376975318</v>
      </c>
      <c r="U33" s="143" t="n">
        <v>6267986111.111111</v>
      </c>
      <c r="V33" s="45" t="inlineStr">
        <is>
          <t>19% done</t>
        </is>
      </c>
      <c r="W33" s="139" t="n">
        <v>381093555555.5552</v>
      </c>
      <c r="X33" s="139" t="n">
        <v>598363289268.4576</v>
      </c>
      <c r="Y33" s="47" t="n">
        <v>0.7850608866845943</v>
      </c>
      <c r="Z33" s="143" t="n">
        <v>5014388888.888889</v>
      </c>
      <c r="AA33" s="45" t="inlineStr">
        <is>
          <t>16% done</t>
        </is>
      </c>
    </row>
    <row r="34">
      <c r="A34" s="7" t="n">
        <v>29</v>
      </c>
      <c r="B34" s="7" t="inlineStr">
        <is>
          <t>Yr 2.4</t>
        </is>
      </c>
      <c r="C34" s="128" t="n">
        <v>233169083333.3337</v>
      </c>
      <c r="D34" s="128" t="n">
        <v>443699119941.577</v>
      </c>
      <c r="E34" s="22" t="n">
        <v>0.9514535838082654</v>
      </c>
      <c r="F34" s="142" t="n">
        <v>15043166666.66667</v>
      </c>
      <c r="G34" s="7" t="inlineStr">
        <is>
          <t>48% done</t>
        </is>
      </c>
      <c r="H34" s="128" t="n">
        <v>295490773809.5242</v>
      </c>
      <c r="I34" s="128" t="n">
        <v>539069007606.2743</v>
      </c>
      <c r="J34" s="22" t="n">
        <v>0.9121587802158632</v>
      </c>
      <c r="K34" s="142" t="n">
        <v>10745119047.61905</v>
      </c>
      <c r="L34" s="7" t="inlineStr">
        <is>
          <t>35% done</t>
        </is>
      </c>
      <c r="M34" s="128" t="n">
        <v>342232041666.6661</v>
      </c>
      <c r="N34" s="128" t="n">
        <v>589434541291.9161</v>
      </c>
      <c r="O34" s="22" t="n">
        <v>0.8611621203283257</v>
      </c>
      <c r="P34" s="142" t="n">
        <v>7521583333.333333</v>
      </c>
      <c r="Q34" s="7" t="inlineStr">
        <is>
          <t>24% done</t>
        </is>
      </c>
      <c r="R34" s="128" t="n">
        <v>360409201388.8893</v>
      </c>
      <c r="S34" s="128" t="n">
        <v>598133520864.614</v>
      </c>
      <c r="T34" s="22" t="n">
        <v>0.8297977945063826</v>
      </c>
      <c r="U34" s="142" t="n">
        <v>6267986111.111111</v>
      </c>
      <c r="V34" s="7" t="inlineStr">
        <is>
          <t>20% done</t>
        </is>
      </c>
      <c r="W34" s="128" t="n">
        <v>378586361111.1107</v>
      </c>
      <c r="X34" s="128" t="n">
        <v>595343444677.1302</v>
      </c>
      <c r="Y34" s="22" t="n">
        <v>0.7862716487327496</v>
      </c>
      <c r="Z34" s="142" t="n">
        <v>5014388888.888889</v>
      </c>
      <c r="AA34" s="7" t="inlineStr">
        <is>
          <t>16% done</t>
        </is>
      </c>
    </row>
    <row r="35">
      <c r="A35" s="45" t="n">
        <v>30</v>
      </c>
      <c r="B35" s="45" t="inlineStr">
        <is>
          <t>Yr 2.5</t>
        </is>
      </c>
      <c r="C35" s="139" t="n">
        <v>225647500000.0004</v>
      </c>
      <c r="D35" s="139" t="n">
        <v>430134950341.3822</v>
      </c>
      <c r="E35" s="47" t="n">
        <v>0.9531125989461028</v>
      </c>
      <c r="F35" s="143" t="n">
        <v>15043166666.66667</v>
      </c>
      <c r="G35" s="45" t="inlineStr">
        <is>
          <t>50% done</t>
        </is>
      </c>
      <c r="H35" s="139" t="n">
        <v>290118214285.7147</v>
      </c>
      <c r="I35" s="139" t="n">
        <v>530120785250.6762</v>
      </c>
      <c r="J35" s="47" t="n">
        <v>0.9136289263255318</v>
      </c>
      <c r="K35" s="143" t="n">
        <v>10745119047.61905</v>
      </c>
      <c r="L35" s="45" t="inlineStr">
        <is>
          <t>36% done</t>
        </is>
      </c>
      <c r="M35" s="139" t="n">
        <v>338471249999.9994</v>
      </c>
      <c r="N35" s="139" t="n">
        <v>583877739762.8892</v>
      </c>
      <c r="O35" s="47" t="n">
        <v>0.8625219125153025</v>
      </c>
      <c r="P35" s="143" t="n">
        <v>7521583333.333333</v>
      </c>
      <c r="Q35" s="45" t="inlineStr">
        <is>
          <t>25% done</t>
        </is>
      </c>
      <c r="R35" s="139" t="n">
        <v>357275208333.3337</v>
      </c>
      <c r="S35" s="139" t="n">
        <v>593859313156.385</v>
      </c>
      <c r="T35" s="47" t="n">
        <v>0.8310950484455683</v>
      </c>
      <c r="U35" s="143" t="n">
        <v>6267986111.111111</v>
      </c>
      <c r="V35" s="45" t="inlineStr">
        <is>
          <t>21% done</t>
        </is>
      </c>
      <c r="W35" s="139" t="n">
        <v>376079166666.6663</v>
      </c>
      <c r="X35" s="139" t="n">
        <v>592313533937.1652</v>
      </c>
      <c r="Y35" s="47" t="n">
        <v>0.7874851712567156</v>
      </c>
      <c r="Z35" s="143" t="n">
        <v>5014388888.888889</v>
      </c>
      <c r="AA35" s="45" t="inlineStr">
        <is>
          <t>17% done</t>
        </is>
      </c>
    </row>
    <row r="36">
      <c r="A36" s="7" t="n">
        <v>31</v>
      </c>
      <c r="B36" s="7" t="inlineStr">
        <is>
          <t>Yr 2.6</t>
        </is>
      </c>
      <c r="C36" s="128" t="n">
        <v>218125916666.6671</v>
      </c>
      <c r="D36" s="128" t="n">
        <v>416525566842.5201</v>
      </c>
      <c r="E36" s="22" t="n">
        <v>0.9547823871819895</v>
      </c>
      <c r="F36" s="142" t="n">
        <v>15043166666.66667</v>
      </c>
      <c r="G36" s="7" t="inlineStr">
        <is>
          <t>52% done</t>
        </is>
      </c>
      <c r="H36" s="128" t="n">
        <v>284745654761.9052</v>
      </c>
      <c r="I36" s="128" t="n">
        <v>521142735487.2261</v>
      </c>
      <c r="J36" s="22" t="n">
        <v>0.9151021741191946</v>
      </c>
      <c r="K36" s="142" t="n">
        <v>10745119047.61905</v>
      </c>
      <c r="L36" s="7" t="inlineStr">
        <is>
          <t>37% done</t>
        </is>
      </c>
      <c r="M36" s="128" t="n">
        <v>334710458333.3327</v>
      </c>
      <c r="N36" s="128" t="n">
        <v>578302415562.0988</v>
      </c>
      <c r="O36" s="22" t="n">
        <v>0.8638845921363126</v>
      </c>
      <c r="P36" s="142" t="n">
        <v>7521583333.333333</v>
      </c>
      <c r="Q36" s="7" t="inlineStr">
        <is>
          <t>26% done</t>
        </is>
      </c>
      <c r="R36" s="128" t="n">
        <v>354141215277.7782</v>
      </c>
      <c r="S36" s="128" t="n">
        <v>589570858089.1285</v>
      </c>
      <c r="T36" s="22" t="n">
        <v>0.8323951472672929</v>
      </c>
      <c r="U36" s="142" t="n">
        <v>6267986111.111111</v>
      </c>
      <c r="V36" s="7" t="inlineStr">
        <is>
          <t>22% done</t>
        </is>
      </c>
      <c r="W36" s="128" t="n">
        <v>373571972222.2218</v>
      </c>
      <c r="X36" s="128" t="n">
        <v>589273523494.7335</v>
      </c>
      <c r="Y36" s="22" t="n">
        <v>0.7887014649270854</v>
      </c>
      <c r="Z36" s="142" t="n">
        <v>5014388888.888889</v>
      </c>
      <c r="AA36" s="7" t="inlineStr">
        <is>
          <t>17% done</t>
        </is>
      </c>
    </row>
    <row r="37">
      <c r="A37" s="45" t="n">
        <v>32</v>
      </c>
      <c r="B37" s="45" t="inlineStr">
        <is>
          <t>Yr 2.7</t>
        </is>
      </c>
      <c r="C37" s="139" t="n">
        <v>210604333333.3337</v>
      </c>
      <c r="D37" s="139" t="n">
        <v>402870818731.9952</v>
      </c>
      <c r="E37" s="47" t="n">
        <v>0.956463744965665</v>
      </c>
      <c r="F37" s="143" t="n">
        <v>15043166666.66667</v>
      </c>
      <c r="G37" s="45" t="inlineStr">
        <is>
          <t>53% done</t>
        </is>
      </c>
      <c r="H37" s="139" t="n">
        <v>279373095238.0957</v>
      </c>
      <c r="I37" s="139" t="n">
        <v>512134758891.2312</v>
      </c>
      <c r="J37" s="47" t="n">
        <v>0.916578524597661</v>
      </c>
      <c r="K37" s="143" t="n">
        <v>10745119047.61905</v>
      </c>
      <c r="L37" s="45" t="inlineStr">
        <is>
          <t>38% done</t>
        </is>
      </c>
      <c r="M37" s="139" t="n">
        <v>330949666666.666</v>
      </c>
      <c r="N37" s="139" t="n">
        <v>572708506947.3057</v>
      </c>
      <c r="O37" s="47" t="n">
        <v>0.8652501643461998</v>
      </c>
      <c r="P37" s="143" t="n">
        <v>7521583333.333333</v>
      </c>
      <c r="Q37" s="45" t="inlineStr">
        <is>
          <t>27% done</t>
        </is>
      </c>
      <c r="R37" s="139" t="n">
        <v>351007222222.2227</v>
      </c>
      <c r="S37" s="139" t="n">
        <v>585268108171.6478</v>
      </c>
      <c r="T37" s="47" t="n">
        <v>0.8336980995238819</v>
      </c>
      <c r="U37" s="143" t="n">
        <v>6267986111.111111</v>
      </c>
      <c r="V37" s="45" t="inlineStr">
        <is>
          <t>22% done</t>
        </is>
      </c>
      <c r="W37" s="139" t="n">
        <v>371064777777.7773</v>
      </c>
      <c r="X37" s="139" t="n">
        <v>586223379684.1604</v>
      </c>
      <c r="Y37" s="47" t="n">
        <v>0.7899205405521362</v>
      </c>
      <c r="Z37" s="143" t="n">
        <v>5014388888.888889</v>
      </c>
      <c r="AA37" s="45" t="inlineStr">
        <is>
          <t>18% done</t>
        </is>
      </c>
    </row>
    <row r="38">
      <c r="A38" s="7" t="n">
        <v>33</v>
      </c>
      <c r="B38" s="7" t="inlineStr">
        <is>
          <t>Yr 2.8</t>
        </is>
      </c>
      <c r="C38" s="128" t="n">
        <v>203082750000.0004</v>
      </c>
      <c r="D38" s="128" t="n">
        <v>389170554794.4351</v>
      </c>
      <c r="E38" s="22" t="n">
        <v>0.9581575855025461</v>
      </c>
      <c r="F38" s="142" t="n">
        <v>15043166666.66667</v>
      </c>
      <c r="G38" s="7" t="inlineStr">
        <is>
          <t>55% done</t>
        </is>
      </c>
      <c r="H38" s="128" t="n">
        <v>274000535714.2862</v>
      </c>
      <c r="I38" s="128" t="n">
        <v>503096755706.5829</v>
      </c>
      <c r="J38" s="22" t="n">
        <v>0.9180579782354634</v>
      </c>
      <c r="K38" s="142" t="n">
        <v>10745119047.61905</v>
      </c>
      <c r="L38" s="7" t="inlineStr">
        <is>
          <t>39% done</t>
        </is>
      </c>
      <c r="M38" s="128" t="n">
        <v>327188874999.9993</v>
      </c>
      <c r="N38" s="128" t="n">
        <v>567095951970.4633</v>
      </c>
      <c r="O38" s="22" t="n">
        <v>0.8666186342223042</v>
      </c>
      <c r="P38" s="142" t="n">
        <v>7521583333.333333</v>
      </c>
      <c r="Q38" s="7" t="inlineStr">
        <is>
          <t>28% done</t>
        </is>
      </c>
      <c r="R38" s="128" t="n">
        <v>347873229166.6671</v>
      </c>
      <c r="S38" s="128" t="n">
        <v>580951015754.4423</v>
      </c>
      <c r="T38" s="22" t="n">
        <v>0.8350039138483215</v>
      </c>
      <c r="U38" s="142" t="n">
        <v>6267986111.111111</v>
      </c>
      <c r="V38" s="7" t="inlineStr">
        <is>
          <t>23% done</t>
        </is>
      </c>
      <c r="W38" s="128" t="n">
        <v>368557583333.3329</v>
      </c>
      <c r="X38" s="128" t="n">
        <v>583163068727.552</v>
      </c>
      <c r="Y38" s="22" t="n">
        <v>0.7911424090820083</v>
      </c>
      <c r="Z38" s="142" t="n">
        <v>5014388888.888889</v>
      </c>
      <c r="AA38" s="7" t="inlineStr">
        <is>
          <t>18% done</t>
        </is>
      </c>
    </row>
    <row r="39">
      <c r="A39" s="45" t="n">
        <v>34</v>
      </c>
      <c r="B39" s="45" t="inlineStr">
        <is>
          <t>Yr 2.8</t>
        </is>
      </c>
      <c r="C39" s="139" t="n">
        <v>195561166666.667</v>
      </c>
      <c r="D39" s="139" t="n">
        <v>375424623310.4166</v>
      </c>
      <c r="E39" s="47" t="n">
        <v>0.9598649612024607</v>
      </c>
      <c r="F39" s="143" t="n">
        <v>15043166666.66667</v>
      </c>
      <c r="G39" s="45" t="inlineStr">
        <is>
          <t>57% done</t>
        </is>
      </c>
      <c r="H39" s="139" t="n">
        <v>268627976190.4767</v>
      </c>
      <c r="I39" s="139" t="n">
        <v>494028625844.6525</v>
      </c>
      <c r="J39" s="47" t="n">
        <v>0.9195405349261733</v>
      </c>
      <c r="K39" s="143" t="n">
        <v>10745119047.61905</v>
      </c>
      <c r="L39" s="45" t="inlineStr">
        <is>
          <t>40% done</t>
        </is>
      </c>
      <c r="M39" s="139" t="n">
        <v>323428083333.3326</v>
      </c>
      <c r="N39" s="139" t="n">
        <v>561464688477.0314</v>
      </c>
      <c r="O39" s="47" t="n">
        <v>0.8679900067588945</v>
      </c>
      <c r="P39" s="143" t="n">
        <v>7521583333.333333</v>
      </c>
      <c r="Q39" s="45" t="inlineStr">
        <is>
          <t>28% done</t>
        </is>
      </c>
      <c r="R39" s="139" t="n">
        <v>344739236111.1116</v>
      </c>
      <c r="S39" s="139" t="n">
        <v>576619533029.1793</v>
      </c>
      <c r="T39" s="47" t="n">
        <v>0.8363125989571598</v>
      </c>
      <c r="U39" s="143" t="n">
        <v>6267986111.111111</v>
      </c>
      <c r="V39" s="45" t="inlineStr">
        <is>
          <t>24% done</t>
        </is>
      </c>
      <c r="W39" s="139" t="n">
        <v>366050388888.8884</v>
      </c>
      <c r="X39" s="139" t="n">
        <v>580092556734.4216</v>
      </c>
      <c r="Y39" s="47" t="n">
        <v>0.7923670816130507</v>
      </c>
      <c r="Z39" s="143" t="n">
        <v>5014388888.888889</v>
      </c>
      <c r="AA39" s="45" t="inlineStr">
        <is>
          <t>19% done</t>
        </is>
      </c>
    </row>
    <row r="40">
      <c r="A40" s="7" t="n">
        <v>35</v>
      </c>
      <c r="B40" s="7" t="inlineStr">
        <is>
          <t>Yr 2.9</t>
        </is>
      </c>
      <c r="C40" s="128" t="n">
        <v>188039583333.3337</v>
      </c>
      <c r="D40" s="128" t="n">
        <v>361632872054.7846</v>
      </c>
      <c r="E40" s="22" t="n">
        <v>0.9615870915160609</v>
      </c>
      <c r="F40" s="142" t="n">
        <v>15043166666.66667</v>
      </c>
      <c r="G40" s="7" t="inlineStr">
        <is>
          <t>58% done</t>
        </is>
      </c>
      <c r="H40" s="128" t="n">
        <v>263255416666.6672</v>
      </c>
      <c r="I40" s="128" t="n">
        <v>484930268883.1824</v>
      </c>
      <c r="J40" s="22" t="n">
        <v>0.9210261939210141</v>
      </c>
      <c r="K40" s="142" t="n">
        <v>10745119047.61905</v>
      </c>
      <c r="L40" s="7" t="inlineStr">
        <is>
          <t>42% done</t>
        </is>
      </c>
      <c r="M40" s="128" t="n">
        <v>319667291666.666</v>
      </c>
      <c r="N40" s="128" t="n">
        <v>555814654105.2881</v>
      </c>
      <c r="O40" s="22" t="n">
        <v>0.8693642868612056</v>
      </c>
      <c r="P40" s="142" t="n">
        <v>7521583333.333333</v>
      </c>
      <c r="Q40" s="7" t="inlineStr">
        <is>
          <t>29% done</t>
        </is>
      </c>
      <c r="R40" s="128" t="n">
        <v>341605243055.556</v>
      </c>
      <c r="S40" s="128" t="n">
        <v>572273612028.1655</v>
      </c>
      <c r="T40" s="22" t="n">
        <v>0.8376241636535645</v>
      </c>
      <c r="U40" s="142" t="n">
        <v>6267986111.111111</v>
      </c>
      <c r="V40" s="7" t="inlineStr">
        <is>
          <t>24% done</t>
        </is>
      </c>
      <c r="W40" s="128" t="n">
        <v>363543194444.444</v>
      </c>
      <c r="X40" s="128" t="n">
        <v>577011809701.3141</v>
      </c>
      <c r="Y40" s="22" t="n">
        <v>0.7935945693923477</v>
      </c>
      <c r="Z40" s="142" t="n">
        <v>5014388888.888889</v>
      </c>
      <c r="AA40" s="7" t="inlineStr">
        <is>
          <t>19% done</t>
        </is>
      </c>
    </row>
    <row r="41">
      <c r="A41" s="45" t="n">
        <v>36</v>
      </c>
      <c r="B41" s="45" t="inlineStr">
        <is>
          <t>Yr 3.0</t>
        </is>
      </c>
      <c r="C41" s="139" t="n">
        <v>180518000000.0003</v>
      </c>
      <c r="D41" s="139" t="n">
        <v>347795148294.9672</v>
      </c>
      <c r="E41" s="47" t="n">
        <v>0.9633253977303277</v>
      </c>
      <c r="F41" s="143" t="n">
        <v>15043166666.66667</v>
      </c>
      <c r="G41" s="45" t="inlineStr">
        <is>
          <t>60% done</t>
        </is>
      </c>
      <c r="H41" s="139" t="n">
        <v>257882857142.8577</v>
      </c>
      <c r="I41" s="139" t="n">
        <v>475801584065.174</v>
      </c>
      <c r="J41" s="47" t="n">
        <v>0.9225149537597943</v>
      </c>
      <c r="K41" s="143" t="n">
        <v>10745119047.61905</v>
      </c>
      <c r="L41" s="45" t="inlineStr">
        <is>
          <t>43% done</t>
        </is>
      </c>
      <c r="M41" s="139" t="n">
        <v>315906499999.9993</v>
      </c>
      <c r="N41" s="139" t="n">
        <v>550145786285.639</v>
      </c>
      <c r="O41" s="47" t="n">
        <v>0.8707414793390454</v>
      </c>
      <c r="P41" s="143" t="n">
        <v>7521583333.333333</v>
      </c>
      <c r="Q41" s="45" t="inlineStr">
        <is>
          <t>30% done</t>
        </is>
      </c>
      <c r="R41" s="139" t="n">
        <v>338471250000.0005</v>
      </c>
      <c r="S41" s="139" t="n">
        <v>567913204623.8149</v>
      </c>
      <c r="T41" s="47" t="n">
        <v>0.8389386168305493</v>
      </c>
      <c r="U41" s="143" t="n">
        <v>6267986111.111111</v>
      </c>
      <c r="V41" s="45" t="inlineStr">
        <is>
          <t>25% done</t>
        </is>
      </c>
      <c r="W41" s="139" t="n">
        <v>361035999999.9995</v>
      </c>
      <c r="X41" s="139" t="n">
        <v>573920793511.4296</v>
      </c>
      <c r="Y41" s="47" t="n">
        <v>0.7948248838224309</v>
      </c>
      <c r="Z41" s="143" t="n">
        <v>5014388888.888889</v>
      </c>
      <c r="AA41" s="45" t="inlineStr">
        <is>
          <t>20% done</t>
        </is>
      </c>
    </row>
    <row r="42">
      <c r="A42" s="7" t="n">
        <v>37</v>
      </c>
      <c r="B42" s="7" t="inlineStr">
        <is>
          <t>Yr 3.1</t>
        </is>
      </c>
      <c r="C42" s="128" t="n">
        <v>172996416666.667</v>
      </c>
      <c r="D42" s="128" t="n">
        <v>333911298789.2838</v>
      </c>
      <c r="E42" s="22" t="n">
        <v>0.965081546841143</v>
      </c>
      <c r="F42" s="142" t="n">
        <v>15043166666.66667</v>
      </c>
      <c r="G42" s="7" t="inlineStr">
        <is>
          <t>62% done</t>
        </is>
      </c>
      <c r="H42" s="128" t="n">
        <v>252510297619.0482</v>
      </c>
      <c r="I42" s="128" t="n">
        <v>466642470297.7722</v>
      </c>
      <c r="J42" s="22" t="n">
        <v>0.9240068121930147</v>
      </c>
      <c r="K42" s="142" t="n">
        <v>10745119047.61905</v>
      </c>
      <c r="L42" s="7" t="inlineStr">
        <is>
          <t>44% done</t>
        </is>
      </c>
      <c r="M42" s="128" t="n">
        <v>312145708333.3326</v>
      </c>
      <c r="N42" s="128" t="n">
        <v>544458022239.9245</v>
      </c>
      <c r="O42" s="22" t="n">
        <v>0.8721215888999367</v>
      </c>
      <c r="P42" s="142" t="n">
        <v>7521583333.333333</v>
      </c>
      <c r="Q42" s="7" t="inlineStr">
        <is>
          <t>31% done</t>
        </is>
      </c>
      <c r="R42" s="128" t="n">
        <v>335337256944.4449</v>
      </c>
      <c r="S42" s="128" t="n">
        <v>563538262528.1166</v>
      </c>
      <c r="T42" s="22" t="n">
        <v>0.8402559674743768</v>
      </c>
      <c r="U42" s="142" t="n">
        <v>6267986111.111111</v>
      </c>
      <c r="V42" s="7" t="inlineStr">
        <is>
          <t>26% done</t>
        </is>
      </c>
      <c r="W42" s="128" t="n">
        <v>358528805555.5551</v>
      </c>
      <c r="X42" s="128" t="n">
        <v>570819473934.2454</v>
      </c>
      <c r="Y42" s="22" t="n">
        <v>0.7960580364661874</v>
      </c>
      <c r="Z42" s="142" t="n">
        <v>5014388888.888889</v>
      </c>
      <c r="AA42" s="7" t="inlineStr">
        <is>
          <t>21% done</t>
        </is>
      </c>
    </row>
    <row r="43">
      <c r="A43" s="45" t="n">
        <v>38</v>
      </c>
      <c r="B43" s="45" t="inlineStr">
        <is>
          <t>Yr 3.2</t>
        </is>
      </c>
      <c r="C43" s="139" t="n">
        <v>165474833333.3336</v>
      </c>
      <c r="D43" s="139" t="n">
        <v>319981169785.248</v>
      </c>
      <c r="E43" s="47" t="n">
        <v>0.9668575073910959</v>
      </c>
      <c r="F43" s="143" t="n">
        <v>15043166666.66667</v>
      </c>
      <c r="G43" s="45" t="inlineStr">
        <is>
          <t>63% done</t>
        </is>
      </c>
      <c r="H43" s="139" t="n">
        <v>247137738095.2386</v>
      </c>
      <c r="I43" s="139" t="n">
        <v>457452826151.1457</v>
      </c>
      <c r="J43" s="47" t="n">
        <v>0.9255017660938101</v>
      </c>
      <c r="K43" s="143" t="n">
        <v>10745119047.61905</v>
      </c>
      <c r="L43" s="45" t="inlineStr">
        <is>
          <t>45% done</t>
        </is>
      </c>
      <c r="M43" s="139" t="n">
        <v>308384916666.6659</v>
      </c>
      <c r="N43" s="139" t="n">
        <v>538751298980.7242</v>
      </c>
      <c r="O43" s="47" t="n">
        <v>0.8735046201417529</v>
      </c>
      <c r="P43" s="143" t="n">
        <v>7521583333.333333</v>
      </c>
      <c r="Q43" s="45" t="inlineStr">
        <is>
          <t>32% done</t>
        </is>
      </c>
      <c r="R43" s="139" t="n">
        <v>332203263888.8894</v>
      </c>
      <c r="S43" s="139" t="n">
        <v>559148737292.0992</v>
      </c>
      <c r="T43" s="47" t="n">
        <v>0.8415762246681527</v>
      </c>
      <c r="U43" s="143" t="n">
        <v>6267986111.111111</v>
      </c>
      <c r="V43" s="45" t="inlineStr">
        <is>
          <t>26% done</t>
        </is>
      </c>
      <c r="W43" s="139" t="n">
        <v>356021611111.1106</v>
      </c>
      <c r="X43" s="139" t="n">
        <v>567707816625.1372</v>
      </c>
      <c r="Y43" s="47" t="n">
        <v>0.7972940390519743</v>
      </c>
      <c r="Z43" s="143" t="n">
        <v>5014388888.888889</v>
      </c>
      <c r="AA43" s="45" t="inlineStr">
        <is>
          <t>21% done</t>
        </is>
      </c>
    </row>
    <row r="44">
      <c r="A44" s="7" t="n">
        <v>39</v>
      </c>
      <c r="B44" s="7" t="inlineStr">
        <is>
          <t>Yr 3.2</t>
        </is>
      </c>
      <c r="C44" s="128" t="n">
        <v>157953250000.0003</v>
      </c>
      <c r="D44" s="128" t="n">
        <v>306004607017.8655</v>
      </c>
      <c r="E44" s="22" t="n">
        <v>0.9686556212609265</v>
      </c>
      <c r="F44" s="142" t="n">
        <v>15043166666.66667</v>
      </c>
      <c r="G44" s="7" t="inlineStr">
        <is>
          <t>65% done</t>
        </is>
      </c>
      <c r="H44" s="128" t="n">
        <v>241765178571.4291</v>
      </c>
      <c r="I44" s="128" t="n">
        <v>448232549857.3638</v>
      </c>
      <c r="J44" s="22" t="n">
        <v>0.9269998113581404</v>
      </c>
      <c r="K44" s="142" t="n">
        <v>10745119047.61905</v>
      </c>
      <c r="L44" s="7" t="inlineStr">
        <is>
          <t>46% done</t>
        </is>
      </c>
      <c r="M44" s="128" t="n">
        <v>304624124999.9992</v>
      </c>
      <c r="N44" s="128" t="n">
        <v>533025553310.66</v>
      </c>
      <c r="O44" s="22" t="n">
        <v>0.8748905775448045</v>
      </c>
      <c r="P44" s="142" t="n">
        <v>7521583333.333333</v>
      </c>
      <c r="Q44" s="7" t="inlineStr">
        <is>
          <t>32% done</t>
        </is>
      </c>
      <c r="R44" s="128" t="n">
        <v>329069270833.3339</v>
      </c>
      <c r="S44" s="128" t="n">
        <v>554744580305.2952</v>
      </c>
      <c r="T44" s="22" t="n">
        <v>0.8428993975956216</v>
      </c>
      <c r="U44" s="142" t="n">
        <v>6267986111.111111</v>
      </c>
      <c r="V44" s="7" t="inlineStr">
        <is>
          <t>27% done</t>
        </is>
      </c>
      <c r="W44" s="128" t="n">
        <v>353514416666.6661</v>
      </c>
      <c r="X44" s="128" t="n">
        <v>564585787124.9988</v>
      </c>
      <c r="Y44" s="22" t="n">
        <v>0.7985329034789477</v>
      </c>
      <c r="Z44" s="142" t="n">
        <v>5014388888.888889</v>
      </c>
      <c r="AA44" s="7" t="inlineStr">
        <is>
          <t>22% done</t>
        </is>
      </c>
    </row>
    <row r="45">
      <c r="A45" s="45" t="n">
        <v>40</v>
      </c>
      <c r="B45" s="45" t="inlineStr">
        <is>
          <t>Yr 3.3</t>
        </is>
      </c>
      <c r="C45" s="139" t="n">
        <v>150431666666.667</v>
      </c>
      <c r="D45" s="139" t="n">
        <v>291981455707.925</v>
      </c>
      <c r="E45" s="47" t="n">
        <v>0.9704786969983861</v>
      </c>
      <c r="F45" s="143" t="n">
        <v>15043166666.66667</v>
      </c>
      <c r="G45" s="45" t="inlineStr">
        <is>
          <t>67% done</t>
        </is>
      </c>
      <c r="H45" s="139" t="n">
        <v>236392619047.6196</v>
      </c>
      <c r="I45" s="139" t="n">
        <v>438981539309.2693</v>
      </c>
      <c r="J45" s="47" t="n">
        <v>0.9285009427913644</v>
      </c>
      <c r="K45" s="143" t="n">
        <v>10745119047.61905</v>
      </c>
      <c r="L45" s="45" t="inlineStr">
        <is>
          <t>48% done</t>
        </is>
      </c>
      <c r="M45" s="139" t="n">
        <v>300863333333.3325</v>
      </c>
      <c r="N45" s="139" t="n">
        <v>527280721821.6956</v>
      </c>
      <c r="O45" s="47" t="n">
        <v>0.8762794654633284</v>
      </c>
      <c r="P45" s="143" t="n">
        <v>7521583333.333333</v>
      </c>
      <c r="Q45" s="45" t="inlineStr">
        <is>
          <t>33% done</t>
        </is>
      </c>
      <c r="R45" s="139" t="n">
        <v>325935277777.7783</v>
      </c>
      <c r="S45" s="139" t="n">
        <v>550325742795.2018</v>
      </c>
      <c r="T45" s="47" t="n">
        <v>0.8442254955451803</v>
      </c>
      <c r="U45" s="143" t="n">
        <v>6267986111.111111</v>
      </c>
      <c r="V45" s="45" t="inlineStr">
        <is>
          <t>28% done</t>
        </is>
      </c>
      <c r="W45" s="139" t="n">
        <v>351007222222.2217</v>
      </c>
      <c r="X45" s="139" t="n">
        <v>561453350859.8599</v>
      </c>
      <c r="Y45" s="47" t="n">
        <v>0.7997746418226195</v>
      </c>
      <c r="Z45" s="143" t="n">
        <v>5014388888.888889</v>
      </c>
      <c r="AA45" s="45" t="inlineStr">
        <is>
          <t>22% done</t>
        </is>
      </c>
    </row>
    <row r="46">
      <c r="A46" s="7" t="n">
        <v>41</v>
      </c>
      <c r="B46" s="7" t="inlineStr">
        <is>
          <t>Yr 3.4</t>
        </is>
      </c>
      <c r="C46" s="128" t="n">
        <v>142910083333.3336</v>
      </c>
      <c r="D46" s="128" t="n">
        <v>277911560560.2847</v>
      </c>
      <c r="E46" s="22" t="n">
        <v>0.9723301326193481</v>
      </c>
      <c r="F46" s="142" t="n">
        <v>15043166666.66667</v>
      </c>
      <c r="G46" s="7" t="inlineStr">
        <is>
          <t>68% done</t>
        </is>
      </c>
      <c r="H46" s="128" t="n">
        <v>231020059523.8101</v>
      </c>
      <c r="I46" s="128" t="n">
        <v>429699692059.3479</v>
      </c>
      <c r="J46" s="22" t="n">
        <v>0.9300051539789791</v>
      </c>
      <c r="K46" s="142" t="n">
        <v>10745119047.61905</v>
      </c>
      <c r="L46" s="7" t="inlineStr">
        <is>
          <t>49% done</t>
        </is>
      </c>
      <c r="M46" s="128" t="n">
        <v>297102541666.6658</v>
      </c>
      <c r="N46" s="128" t="n">
        <v>521516740894.4346</v>
      </c>
      <c r="O46" s="22" t="n">
        <v>0.877671288116327</v>
      </c>
      <c r="P46" s="142" t="n">
        <v>7521583333.333333</v>
      </c>
      <c r="Q46" s="7" t="inlineStr">
        <is>
          <t>34% done</t>
        </is>
      </c>
      <c r="R46" s="128" t="n">
        <v>322801284722.2228</v>
      </c>
      <c r="S46" s="128" t="n">
        <v>545892175826.7413</v>
      </c>
      <c r="T46" s="22" t="n">
        <v>0.8455545279141204</v>
      </c>
      <c r="U46" s="142" t="n">
        <v>6267986111.111111</v>
      </c>
      <c r="V46" s="7" t="inlineStr">
        <is>
          <t>28% done</t>
        </is>
      </c>
      <c r="W46" s="128" t="n">
        <v>348500027777.7772</v>
      </c>
      <c r="X46" s="128" t="n">
        <v>558310473140.5038</v>
      </c>
      <c r="Y46" s="22" t="n">
        <v>0.8010192663406518</v>
      </c>
      <c r="Z46" s="142" t="n">
        <v>5014388888.888889</v>
      </c>
      <c r="AA46" s="7" t="inlineStr">
        <is>
          <t>23% done</t>
        </is>
      </c>
    </row>
    <row r="47">
      <c r="A47" s="45" t="n">
        <v>42</v>
      </c>
      <c r="B47" s="45" t="inlineStr">
        <is>
          <t>Yr 3.5</t>
        </is>
      </c>
      <c r="C47" s="139" t="n">
        <v>135388500000.0003</v>
      </c>
      <c r="D47" s="139" t="n">
        <v>263794765762.1524</v>
      </c>
      <c r="E47" s="47" t="n">
        <v>0.9742140793426023</v>
      </c>
      <c r="F47" s="143" t="n">
        <v>15043166666.66667</v>
      </c>
      <c r="G47" s="45" t="inlineStr">
        <is>
          <t>70% done</t>
        </is>
      </c>
      <c r="H47" s="139" t="n">
        <v>225647500000.0006</v>
      </c>
      <c r="I47" s="139" t="n">
        <v>420386905318.5934</v>
      </c>
      <c r="J47" s="47" t="n">
        <v>0.9315124371388831</v>
      </c>
      <c r="K47" s="143" t="n">
        <v>10745119047.61905</v>
      </c>
      <c r="L47" s="45" t="inlineStr">
        <is>
          <t>50% done</t>
        </is>
      </c>
      <c r="M47" s="139" t="n">
        <v>293341749999.9991</v>
      </c>
      <c r="N47" s="139" t="n">
        <v>515733546697.4161</v>
      </c>
      <c r="O47" s="47" t="n">
        <v>0.8790660495776983</v>
      </c>
      <c r="P47" s="143" t="n">
        <v>7521583333.333333</v>
      </c>
      <c r="Q47" s="45" t="inlineStr">
        <is>
          <t>35% done</t>
        </is>
      </c>
      <c r="R47" s="139" t="n">
        <v>319667291666.6672</v>
      </c>
      <c r="S47" s="139" t="n">
        <v>541443830301.7194</v>
      </c>
      <c r="T47" s="47" t="n">
        <v>0.8468865042131202</v>
      </c>
      <c r="U47" s="143" t="n">
        <v>6267986111.111111</v>
      </c>
      <c r="V47" s="45" t="inlineStr">
        <is>
          <t>29% done</t>
        </is>
      </c>
      <c r="W47" s="139" t="n">
        <v>345992833333.3328</v>
      </c>
      <c r="X47" s="139" t="n">
        <v>555157119162.0833</v>
      </c>
      <c r="Y47" s="47" t="n">
        <v>0.8022667894789017</v>
      </c>
      <c r="Z47" s="143" t="n">
        <v>5014388888.888889</v>
      </c>
      <c r="AA47" s="45" t="inlineStr">
        <is>
          <t>23% done</t>
        </is>
      </c>
    </row>
    <row r="48">
      <c r="A48" s="7" t="n">
        <v>43</v>
      </c>
      <c r="B48" s="7" t="inlineStr">
        <is>
          <t>Yr 3.6</t>
        </is>
      </c>
      <c r="C48" s="128" t="n">
        <v>127866916666.667</v>
      </c>
      <c r="D48" s="128" t="n">
        <v>249630914981.3596</v>
      </c>
      <c r="E48" s="22" t="n">
        <v>0.9761356631133763</v>
      </c>
      <c r="F48" s="142" t="n">
        <v>15043166666.66667</v>
      </c>
      <c r="G48" s="7" t="inlineStr">
        <is>
          <t>72% done</t>
        </is>
      </c>
      <c r="H48" s="128" t="n">
        <v>220274940476.1911</v>
      </c>
      <c r="I48" s="128" t="n">
        <v>411043075955.3697</v>
      </c>
      <c r="J48" s="22" t="n">
        <v>0.933022782952013</v>
      </c>
      <c r="K48" s="142" t="n">
        <v>10745119047.61905</v>
      </c>
      <c r="L48" s="7" t="inlineStr">
        <is>
          <t>51% done</t>
        </is>
      </c>
      <c r="M48" s="128" t="n">
        <v>289580958333.3325</v>
      </c>
      <c r="N48" s="128" t="n">
        <v>509931075186.4075</v>
      </c>
      <c r="O48" s="22" t="n">
        <v>0.8804637537655932</v>
      </c>
      <c r="P48" s="142" t="n">
        <v>7521583333.333333</v>
      </c>
      <c r="Q48" s="7" t="inlineStr">
        <is>
          <t>36% done</t>
        </is>
      </c>
      <c r="R48" s="128" t="n">
        <v>316533298611.1117</v>
      </c>
      <c r="S48" s="128" t="n">
        <v>536980656958.2807</v>
      </c>
      <c r="T48" s="22" t="n">
        <v>0.8482214340709973</v>
      </c>
      <c r="U48" s="142" t="n">
        <v>6267986111.111111</v>
      </c>
      <c r="V48" s="7" t="inlineStr">
        <is>
          <t>30% done</t>
        </is>
      </c>
      <c r="W48" s="128" t="n">
        <v>343485638888.8883</v>
      </c>
      <c r="X48" s="128" t="n">
        <v>551993254003.7346</v>
      </c>
      <c r="Y48" s="22" t="n">
        <v>0.8035172238777281</v>
      </c>
      <c r="Z48" s="142" t="n">
        <v>5014388888.888889</v>
      </c>
      <c r="AA48" s="7" t="inlineStr">
        <is>
          <t>24% done</t>
        </is>
      </c>
    </row>
    <row r="49">
      <c r="A49" s="45" t="n">
        <v>44</v>
      </c>
      <c r="B49" s="45" t="inlineStr">
        <is>
          <t>Yr 3.7</t>
        </is>
      </c>
      <c r="C49" s="139" t="n">
        <v>120345333333.3336</v>
      </c>
      <c r="D49" s="139" t="n">
        <v>235419851364.6308</v>
      </c>
      <c r="E49" s="47" t="n">
        <v>0.9781012891981555</v>
      </c>
      <c r="F49" s="143" t="n">
        <v>15043166666.66667</v>
      </c>
      <c r="G49" s="45" t="inlineStr">
        <is>
          <t>73% done</t>
        </is>
      </c>
      <c r="H49" s="139" t="n">
        <v>214902380952.3816</v>
      </c>
      <c r="I49" s="139" t="n">
        <v>401668100494.2686</v>
      </c>
      <c r="J49" s="47" t="n">
        <v>0.934536180367566</v>
      </c>
      <c r="K49" s="143" t="n">
        <v>10745119047.61905</v>
      </c>
      <c r="L49" s="45" t="inlineStr">
        <is>
          <t>52% done</t>
        </is>
      </c>
      <c r="M49" s="139" t="n">
        <v>285820166666.6658</v>
      </c>
      <c r="N49" s="139" t="n">
        <v>504109262103.6955</v>
      </c>
      <c r="O49" s="47" t="n">
        <v>0.8818644044309278</v>
      </c>
      <c r="P49" s="143" t="n">
        <v>7521583333.333333</v>
      </c>
      <c r="Q49" s="45" t="inlineStr">
        <is>
          <t>37% done</t>
        </is>
      </c>
      <c r="R49" s="139" t="n">
        <v>313399305555.5562</v>
      </c>
      <c r="S49" s="139" t="n">
        <v>532502606370.3639</v>
      </c>
      <c r="T49" s="47" t="n">
        <v>0.8495593272397463</v>
      </c>
      <c r="U49" s="143" t="n">
        <v>6267986111.111111</v>
      </c>
      <c r="V49" s="45" t="inlineStr">
        <is>
          <t>31% done</t>
        </is>
      </c>
      <c r="W49" s="139" t="n">
        <v>340978444444.4438</v>
      </c>
      <c r="X49" s="139" t="n">
        <v>548818842628.1915</v>
      </c>
      <c r="Y49" s="47" t="n">
        <v>0.8047705823785753</v>
      </c>
      <c r="Z49" s="143" t="n">
        <v>5014388888.888889</v>
      </c>
      <c r="AA49" s="45" t="inlineStr">
        <is>
          <t>24% done</t>
        </is>
      </c>
    </row>
    <row r="50">
      <c r="A50" s="7" t="n">
        <v>45</v>
      </c>
      <c r="B50" s="7" t="inlineStr">
        <is>
          <t>Yr 3.8</t>
        </is>
      </c>
      <c r="C50" s="128" t="n">
        <v>112823750000.0003</v>
      </c>
      <c r="D50" s="128" t="n">
        <v>221161417535.8462</v>
      </c>
      <c r="E50" s="22" t="n">
        <v>0.9801190686174038</v>
      </c>
      <c r="F50" s="142" t="n">
        <v>15043166666.66667</v>
      </c>
      <c r="G50" s="7" t="inlineStr">
        <is>
          <t>75% done</t>
        </is>
      </c>
      <c r="H50" s="128" t="n">
        <v>209529821428.5721</v>
      </c>
      <c r="I50" s="128" t="n">
        <v>392261875114.9637</v>
      </c>
      <c r="J50" s="22" t="n">
        <v>0.9360526163782474</v>
      </c>
      <c r="K50" s="142" t="n">
        <v>10745119047.61905</v>
      </c>
      <c r="L50" s="7" t="inlineStr">
        <is>
          <t>54% done</t>
        </is>
      </c>
      <c r="M50" s="128" t="n">
        <v>282059374999.9991</v>
      </c>
      <c r="N50" s="128" t="n">
        <v>498268042977.3745</v>
      </c>
      <c r="O50" s="22" t="n">
        <v>0.8832680051449737</v>
      </c>
      <c r="P50" s="142" t="n">
        <v>7521583333.333333</v>
      </c>
      <c r="Q50" s="7" t="inlineStr">
        <is>
          <t>38% done</t>
        </is>
      </c>
      <c r="R50" s="128" t="n">
        <v>310265312500.0006</v>
      </c>
      <c r="S50" s="128" t="n">
        <v>528009628947.154</v>
      </c>
      <c r="T50" s="22" t="n">
        <v>0.8509001935998775</v>
      </c>
      <c r="U50" s="142" t="n">
        <v>6267986111.111111</v>
      </c>
      <c r="V50" s="7" t="inlineStr">
        <is>
          <t>31% done</t>
        </is>
      </c>
      <c r="W50" s="128" t="n">
        <v>338471249999.9994</v>
      </c>
      <c r="X50" s="128" t="n">
        <v>545633849881.3966</v>
      </c>
      <c r="Y50" s="22" t="n">
        <v>0.8060268780308484</v>
      </c>
      <c r="Z50" s="142" t="n">
        <v>5014388888.888889</v>
      </c>
      <c r="AA50" s="7" t="inlineStr">
        <is>
          <t>25% done</t>
        </is>
      </c>
    </row>
    <row r="51">
      <c r="A51" s="45" t="n">
        <v>46</v>
      </c>
      <c r="B51" s="45" t="inlineStr">
        <is>
          <t>Yr 3.8</t>
        </is>
      </c>
      <c r="C51" s="139" t="n">
        <v>105302166666.667</v>
      </c>
      <c r="D51" s="139" t="n">
        <v>206855455594.299</v>
      </c>
      <c r="E51" s="47" t="n">
        <v>0.9821994273351377</v>
      </c>
      <c r="F51" s="143" t="n">
        <v>15043166666.66667</v>
      </c>
      <c r="G51" s="45" t="inlineStr">
        <is>
          <t>77% done</t>
        </is>
      </c>
      <c r="H51" s="139" t="n">
        <v>204157261904.7626</v>
      </c>
      <c r="I51" s="139" t="n">
        <v>382824295651.0613</v>
      </c>
      <c r="J51" s="47" t="n">
        <v>0.9375720757600217</v>
      </c>
      <c r="K51" s="143" t="n">
        <v>10745119047.61905</v>
      </c>
      <c r="L51" s="45" t="inlineStr">
        <is>
          <t>55% done</t>
        </is>
      </c>
      <c r="M51" s="139" t="n">
        <v>278298583333.3324</v>
      </c>
      <c r="N51" s="139" t="n">
        <v>492407353120.6324</v>
      </c>
      <c r="O51" s="47" t="n">
        <v>0.8846745592859362</v>
      </c>
      <c r="P51" s="143" t="n">
        <v>7521583333.333333</v>
      </c>
      <c r="Q51" s="45" t="inlineStr">
        <is>
          <t>38% done</t>
        </is>
      </c>
      <c r="R51" s="139" t="n">
        <v>307131319444.4451</v>
      </c>
      <c r="S51" s="139" t="n">
        <v>523501674932.5334</v>
      </c>
      <c r="T51" s="47" t="n">
        <v>0.8522440431660799</v>
      </c>
      <c r="U51" s="143" t="n">
        <v>6267986111.111111</v>
      </c>
      <c r="V51" s="45" t="inlineStr">
        <is>
          <t>32% done</t>
        </is>
      </c>
      <c r="W51" s="139" t="n">
        <v>335964055555.5549</v>
      </c>
      <c r="X51" s="139" t="n">
        <v>542438240492.1124</v>
      </c>
      <c r="Y51" s="47" t="n">
        <v>0.8072861240990926</v>
      </c>
      <c r="Z51" s="143" t="n">
        <v>5014388888.888889</v>
      </c>
      <c r="AA51" s="45" t="inlineStr">
        <is>
          <t>26% done</t>
        </is>
      </c>
    </row>
    <row r="52">
      <c r="A52" s="7" t="n">
        <v>47</v>
      </c>
      <c r="B52" s="7" t="inlineStr">
        <is>
          <t>Yr 3.9</t>
        </is>
      </c>
      <c r="C52" s="128" t="n">
        <v>97780583333.33365</v>
      </c>
      <c r="D52" s="128" t="n">
        <v>192501807112.9467</v>
      </c>
      <c r="E52" s="22" t="n">
        <v>0.9843559966128897</v>
      </c>
      <c r="F52" s="142" t="n">
        <v>15043166666.66667</v>
      </c>
      <c r="G52" s="7" t="inlineStr">
        <is>
          <t>78% done</t>
        </is>
      </c>
      <c r="H52" s="128" t="n">
        <v>198784702380.9531</v>
      </c>
      <c r="I52" s="128" t="n">
        <v>373355257588.9458</v>
      </c>
      <c r="J52" s="22" t="n">
        <v>0.9390945407696512</v>
      </c>
      <c r="K52" s="142" t="n">
        <v>10745119047.61905</v>
      </c>
      <c r="L52" s="7" t="inlineStr">
        <is>
          <t>56% done</t>
        </is>
      </c>
      <c r="M52" s="128" t="n">
        <v>274537791666.6657</v>
      </c>
      <c r="N52" s="128" t="n">
        <v>486527127631.0345</v>
      </c>
      <c r="O52" s="22" t="n">
        <v>0.8860840700244266</v>
      </c>
      <c r="P52" s="142" t="n">
        <v>7521583333.333333</v>
      </c>
      <c r="Q52" s="7" t="inlineStr">
        <is>
          <t>39% done</t>
        </is>
      </c>
      <c r="R52" s="128" t="n">
        <v>303997326388.8895</v>
      </c>
      <c r="S52" s="128" t="n">
        <v>518978694404.5308</v>
      </c>
      <c r="T52" s="22" t="n">
        <v>0.8535908860932312</v>
      </c>
      <c r="U52" s="142" t="n">
        <v>6267986111.111111</v>
      </c>
      <c r="V52" s="7" t="inlineStr">
        <is>
          <t>33% done</t>
        </is>
      </c>
      <c r="W52" s="128" t="n">
        <v>333456861111.1105</v>
      </c>
      <c r="X52" s="128" t="n">
        <v>539231979071.5305</v>
      </c>
      <c r="Y52" s="22" t="n">
        <v>0.8085483340704963</v>
      </c>
      <c r="Z52" s="142" t="n">
        <v>5014388888.888889</v>
      </c>
      <c r="AA52" s="7" t="inlineStr">
        <is>
          <t>26% done</t>
        </is>
      </c>
    </row>
    <row r="53">
      <c r="A53" s="45" t="n">
        <v>48</v>
      </c>
      <c r="B53" s="45" t="inlineStr">
        <is>
          <t>Yr 4.0</t>
        </is>
      </c>
      <c r="C53" s="139" t="n">
        <v>90259000000.00032</v>
      </c>
      <c r="D53" s="139" t="n">
        <v>178100313136.6566</v>
      </c>
      <c r="E53" s="47" t="n">
        <v>0.9866069485406216</v>
      </c>
      <c r="F53" s="143" t="n">
        <v>15043166666.66667</v>
      </c>
      <c r="G53" s="45" t="inlineStr">
        <is>
          <t>80% done</t>
        </is>
      </c>
      <c r="H53" s="139" t="n">
        <v>193412142857.1436</v>
      </c>
      <c r="I53" s="139" t="n">
        <v>363854656066.6233</v>
      </c>
      <c r="J53" s="47" t="n">
        <v>0.9406199907918154</v>
      </c>
      <c r="K53" s="143" t="n">
        <v>10745119047.61905</v>
      </c>
      <c r="L53" s="45" t="inlineStr">
        <is>
          <t>57% done</t>
        </is>
      </c>
      <c r="M53" s="139" t="n">
        <v>270776999999.9991</v>
      </c>
      <c r="N53" s="139" t="n">
        <v>480627301389.8047</v>
      </c>
      <c r="O53" s="47" t="n">
        <v>0.8874965403077187</v>
      </c>
      <c r="P53" s="143" t="n">
        <v>7521583333.333333</v>
      </c>
      <c r="Q53" s="45" t="inlineStr">
        <is>
          <t>40% done</t>
        </is>
      </c>
      <c r="R53" s="139" t="n">
        <v>300863333333.334</v>
      </c>
      <c r="S53" s="139" t="n">
        <v>514440637274.7682</v>
      </c>
      <c r="T53" s="47" t="n">
        <v>0.8549407326827803</v>
      </c>
      <c r="U53" s="143" t="n">
        <v>6267986111.111111</v>
      </c>
      <c r="V53" s="45" t="inlineStr">
        <is>
          <t>33% done</t>
        </is>
      </c>
      <c r="W53" s="139" t="n">
        <v>330949666666.666</v>
      </c>
      <c r="X53" s="139" t="n">
        <v>536015030112.8801</v>
      </c>
      <c r="Y53" s="47" t="n">
        <v>0.8098135216627319</v>
      </c>
      <c r="Z53" s="143" t="n">
        <v>5014388888.888889</v>
      </c>
      <c r="AA53" s="45" t="inlineStr">
        <is>
          <t>27% done</t>
        </is>
      </c>
    </row>
    <row r="54">
      <c r="A54" s="7" t="n">
        <v>49</v>
      </c>
      <c r="B54" s="7" t="inlineStr">
        <is>
          <t>Yr 4.1</t>
        </is>
      </c>
      <c r="C54" s="144" t="n">
        <v>82737416666.66699</v>
      </c>
      <c r="D54" s="144" t="n">
        <v>163650814180.4454</v>
      </c>
      <c r="E54" s="60" t="n">
        <v>0.9889770600390076</v>
      </c>
      <c r="F54" s="145" t="n">
        <v>15043166666.66667</v>
      </c>
      <c r="G54" s="62" t="inlineStr">
        <is>
          <t>82% done</t>
        </is>
      </c>
      <c r="H54" s="128" t="n">
        <v>188039583333.334</v>
      </c>
      <c r="I54" s="128" t="n">
        <v>354322385872.5597</v>
      </c>
      <c r="J54" s="22" t="n">
        <v>0.9421484019257249</v>
      </c>
      <c r="K54" s="142" t="n">
        <v>10745119047.61905</v>
      </c>
      <c r="L54" s="7" t="inlineStr">
        <is>
          <t>58% done</t>
        </is>
      </c>
      <c r="M54" s="128" t="n">
        <v>267016208333.3324</v>
      </c>
      <c r="N54" s="128" t="n">
        <v>474707809061.1041</v>
      </c>
      <c r="O54" s="22" t="n">
        <v>0.8889119728426704</v>
      </c>
      <c r="P54" s="142" t="n">
        <v>7521583333.333333</v>
      </c>
      <c r="Q54" s="7" t="inlineStr">
        <is>
          <t>41% done</t>
        </is>
      </c>
      <c r="R54" s="128" t="n">
        <v>297729340277.7784</v>
      </c>
      <c r="S54" s="128" t="n">
        <v>509887453287.9063</v>
      </c>
      <c r="T54" s="22" t="n">
        <v>0.8562935933895304</v>
      </c>
      <c r="U54" s="142" t="n">
        <v>6267986111.111111</v>
      </c>
      <c r="V54" s="7" t="inlineStr">
        <is>
          <t>34% done</t>
        </is>
      </c>
      <c r="W54" s="128" t="n">
        <v>328442472222.2216</v>
      </c>
      <c r="X54" s="128" t="n">
        <v>532787357991.0341</v>
      </c>
      <c r="Y54" s="22" t="n">
        <v>0.8110817008321543</v>
      </c>
      <c r="Z54" s="142" t="n">
        <v>5014388888.888889</v>
      </c>
      <c r="AA54" s="7" t="inlineStr">
        <is>
          <t>27% done</t>
        </is>
      </c>
    </row>
    <row r="55">
      <c r="A55" s="45" t="n">
        <v>50</v>
      </c>
      <c r="B55" s="45" t="inlineStr">
        <is>
          <t>Yr 4.2</t>
        </is>
      </c>
      <c r="C55" s="144" t="n">
        <v>75215833333.33366</v>
      </c>
      <c r="D55" s="144" t="n">
        <v>149153150227.7136</v>
      </c>
      <c r="E55" s="60" t="n">
        <v>0.9915010152630515</v>
      </c>
      <c r="F55" s="145" t="n">
        <v>15043166666.66667</v>
      </c>
      <c r="G55" s="62" t="inlineStr">
        <is>
          <t>83% done</t>
        </is>
      </c>
      <c r="H55" s="139" t="n">
        <v>182667023809.5245</v>
      </c>
      <c r="I55" s="139" t="n">
        <v>344758341444.5159</v>
      </c>
      <c r="J55" s="47" t="n">
        <v>0.9436797464987757</v>
      </c>
      <c r="K55" s="143" t="n">
        <v>10745119047.61905</v>
      </c>
      <c r="L55" s="45" t="inlineStr">
        <is>
          <t>60% done</t>
        </is>
      </c>
      <c r="M55" s="139" t="n">
        <v>263255416666.6658</v>
      </c>
      <c r="N55" s="139" t="n">
        <v>468768585091.3077</v>
      </c>
      <c r="O55" s="47" t="n">
        <v>0.8903303700771766</v>
      </c>
      <c r="P55" s="143" t="n">
        <v>7521583333.333333</v>
      </c>
      <c r="Q55" s="45" t="inlineStr">
        <is>
          <t>42% done</t>
        </is>
      </c>
      <c r="R55" s="139" t="n">
        <v>294595347222.2229</v>
      </c>
      <c r="S55" s="139" t="n">
        <v>505319092021.0883</v>
      </c>
      <c r="T55" s="47" t="n">
        <v>0.8576494788288519</v>
      </c>
      <c r="U55" s="143" t="n">
        <v>6267986111.111111</v>
      </c>
      <c r="V55" s="45" t="inlineStr">
        <is>
          <t>35% done</t>
        </is>
      </c>
      <c r="W55" s="139" t="n">
        <v>325935277777.7771</v>
      </c>
      <c r="X55" s="139" t="n">
        <v>529548926962.1152</v>
      </c>
      <c r="Y55" s="47" t="n">
        <v>0.8123528857823762</v>
      </c>
      <c r="Z55" s="143" t="n">
        <v>5014388888.888889</v>
      </c>
      <c r="AA55" s="45" t="inlineStr">
        <is>
          <t>28% done</t>
        </is>
      </c>
    </row>
    <row r="56">
      <c r="A56" s="7" t="n">
        <v>51</v>
      </c>
      <c r="B56" s="7" t="inlineStr">
        <is>
          <t>Yr 4.2</t>
        </is>
      </c>
      <c r="C56" s="144" t="n">
        <v>67694250000.00033</v>
      </c>
      <c r="D56" s="144" t="n">
        <v>134607160728.4726</v>
      </c>
      <c r="E56" s="60" t="n">
        <v>0.9942289096080685</v>
      </c>
      <c r="F56" s="145" t="n">
        <v>15043166666.66667</v>
      </c>
      <c r="G56" s="62" t="inlineStr">
        <is>
          <t>85% done</t>
        </is>
      </c>
      <c r="H56" s="128" t="n">
        <v>177294464285.715</v>
      </c>
      <c r="I56" s="128" t="n">
        <v>335162416868.3785</v>
      </c>
      <c r="J56" s="22" t="n">
        <v>0.9452139924917646</v>
      </c>
      <c r="K56" s="142" t="n">
        <v>10745119047.61905</v>
      </c>
      <c r="L56" s="7" t="inlineStr">
        <is>
          <t>61% done</t>
        </is>
      </c>
      <c r="M56" s="128" t="n">
        <v>259494624999.9991</v>
      </c>
      <c r="N56" s="128" t="n">
        <v>462809563708.2788</v>
      </c>
      <c r="O56" s="22" t="n">
        <v>0.8917517341800054</v>
      </c>
      <c r="P56" s="142" t="n">
        <v>7521583333.333333</v>
      </c>
      <c r="Q56" s="7" t="inlineStr">
        <is>
          <t>42% done</t>
        </is>
      </c>
      <c r="R56" s="128" t="n">
        <v>291461354166.6674</v>
      </c>
      <c r="S56" s="128" t="n">
        <v>500735502883.3808</v>
      </c>
      <c r="T56" s="22" t="n">
        <v>0.8590083997843561</v>
      </c>
      <c r="U56" s="142" t="n">
        <v>6267986111.111111</v>
      </c>
      <c r="V56" s="7" t="inlineStr">
        <is>
          <t>35% done</t>
        </is>
      </c>
      <c r="W56" s="128" t="n">
        <v>323428083333.3326</v>
      </c>
      <c r="X56" s="128" t="n">
        <v>526299701163.1</v>
      </c>
      <c r="Y56" s="22" t="n">
        <v>0.8136270909732398</v>
      </c>
      <c r="Z56" s="142" t="n">
        <v>5014388888.888889</v>
      </c>
      <c r="AA56" s="7" t="inlineStr">
        <is>
          <t>28% done</t>
        </is>
      </c>
    </row>
    <row r="57">
      <c r="A57" s="45" t="n">
        <v>52</v>
      </c>
      <c r="B57" s="45" t="inlineStr">
        <is>
          <t>Yr 4.3</t>
        </is>
      </c>
      <c r="C57" s="144" t="n">
        <v>60172666666.66699</v>
      </c>
      <c r="D57" s="144" t="n">
        <v>120012684597.5676</v>
      </c>
      <c r="E57" s="60" t="n">
        <v>0.9972358817201075</v>
      </c>
      <c r="F57" s="145" t="n">
        <v>15043166666.66667</v>
      </c>
      <c r="G57" s="62" t="inlineStr">
        <is>
          <t>87% done</t>
        </is>
      </c>
      <c r="H57" s="139" t="n">
        <v>171921904761.9055</v>
      </c>
      <c r="I57" s="139" t="n">
        <v>325534505876.9874</v>
      </c>
      <c r="J57" s="47" t="n">
        <v>0.9467511028563226</v>
      </c>
      <c r="K57" s="143" t="n">
        <v>10745119047.61905</v>
      </c>
      <c r="L57" s="45" t="inlineStr">
        <is>
          <t>62% done</t>
        </is>
      </c>
      <c r="M57" s="139" t="n">
        <v>255733833333.3325</v>
      </c>
      <c r="N57" s="139" t="n">
        <v>456830678920.6398</v>
      </c>
      <c r="O57" s="47" t="n">
        <v>0.8931760670188497</v>
      </c>
      <c r="P57" s="143" t="n">
        <v>7521583333.333333</v>
      </c>
      <c r="Q57" s="45" t="inlineStr">
        <is>
          <t>43% done</t>
        </is>
      </c>
      <c r="R57" s="139" t="n">
        <v>288327361111.1118</v>
      </c>
      <c r="S57" s="139" t="n">
        <v>496136635115.2143</v>
      </c>
      <c r="T57" s="47" t="n">
        <v>0.8603703672160681</v>
      </c>
      <c r="U57" s="143" t="n">
        <v>6267986111.111111</v>
      </c>
      <c r="V57" s="45" t="inlineStr">
        <is>
          <t>36% done</t>
        </is>
      </c>
      <c r="W57" s="139" t="n">
        <v>320920888888.8882</v>
      </c>
      <c r="X57" s="139" t="n">
        <v>523039644611.4214</v>
      </c>
      <c r="Y57" s="47" t="n">
        <v>0.8149043311302064</v>
      </c>
      <c r="Z57" s="143" t="n">
        <v>5014388888.888889</v>
      </c>
      <c r="AA57" s="45" t="inlineStr">
        <is>
          <t>29% done</t>
        </is>
      </c>
    </row>
    <row r="58">
      <c r="A58" s="7" t="n">
        <v>53</v>
      </c>
      <c r="B58" s="7" t="inlineStr">
        <is>
          <t>Yr 4.4</t>
        </is>
      </c>
      <c r="C58" s="144" t="n">
        <v>52651083333.33366</v>
      </c>
      <c r="D58" s="144" t="n">
        <v>105369560212.8928</v>
      </c>
      <c r="E58" s="60" t="n">
        <v>1.000640001515247</v>
      </c>
      <c r="F58" s="145" t="n">
        <v>15043166666.66667</v>
      </c>
      <c r="G58" s="62" t="inlineStr">
        <is>
          <t>88% done</t>
        </is>
      </c>
      <c r="H58" s="128" t="n">
        <v>166549345238.096</v>
      </c>
      <c r="I58" s="128" t="n">
        <v>315874501848.9584</v>
      </c>
      <c r="J58" s="22" t="n">
        <v>0.9482910347002258</v>
      </c>
      <c r="K58" s="142" t="n">
        <v>10745119047.61905</v>
      </c>
      <c r="L58" s="7" t="inlineStr">
        <is>
          <t>63% done</t>
        </is>
      </c>
      <c r="M58" s="128" t="n">
        <v>251973041666.6658</v>
      </c>
      <c r="N58" s="128" t="n">
        <v>450831864517.0419</v>
      </c>
      <c r="O58" s="22" t="n">
        <v>0.8946033701364088</v>
      </c>
      <c r="P58" s="142" t="n">
        <v>7521583333.333333</v>
      </c>
      <c r="Q58" s="7" t="inlineStr">
        <is>
          <t>44% done</t>
        </is>
      </c>
      <c r="R58" s="128" t="n">
        <v>285193368055.5563</v>
      </c>
      <c r="S58" s="128" t="n">
        <v>491522437787.8206</v>
      </c>
      <c r="T58" s="22" t="n">
        <v>0.8617353922691341</v>
      </c>
      <c r="U58" s="142" t="n">
        <v>6267986111.111111</v>
      </c>
      <c r="V58" s="7" t="inlineStr">
        <is>
          <t>37% done</t>
        </is>
      </c>
      <c r="W58" s="128" t="n">
        <v>318413694444.4437</v>
      </c>
      <c r="X58" s="128" t="n">
        <v>519768721204.5706</v>
      </c>
      <c r="Y58" s="22" t="n">
        <v>0.8161846212541888</v>
      </c>
      <c r="Z58" s="142" t="n">
        <v>5014388888.888889</v>
      </c>
      <c r="AA58" s="7" t="inlineStr">
        <is>
          <t>29% done</t>
        </is>
      </c>
    </row>
    <row r="59">
      <c r="A59" s="45" t="n">
        <v>54</v>
      </c>
      <c r="B59" s="45" t="inlineStr">
        <is>
          <t>Yr 4.5</t>
        </is>
      </c>
      <c r="C59" s="144" t="n">
        <v>45129500000.00032</v>
      </c>
      <c r="D59" s="144" t="n">
        <v>90677625413.60242</v>
      </c>
      <c r="E59" s="60" t="n">
        <v>1.004638046218125</v>
      </c>
      <c r="F59" s="145" t="n">
        <v>15043166666.66667</v>
      </c>
      <c r="G59" s="62" t="inlineStr">
        <is>
          <t>90% done</t>
        </is>
      </c>
      <c r="H59" s="139" t="n">
        <v>161176785714.2865</v>
      </c>
      <c r="I59" s="139" t="n">
        <v>306182297807.5026</v>
      </c>
      <c r="J59" s="47" t="n">
        <v>0.9498337383097564</v>
      </c>
      <c r="K59" s="143" t="n">
        <v>10745119047.61905</v>
      </c>
      <c r="L59" s="45" t="inlineStr">
        <is>
          <t>64% done</t>
        </is>
      </c>
      <c r="M59" s="139" t="n">
        <v>248212249999.9991</v>
      </c>
      <c r="N59" s="139" t="n">
        <v>444813054065.4321</v>
      </c>
      <c r="O59" s="47" t="n">
        <v>0.8960336447242906</v>
      </c>
      <c r="P59" s="143" t="n">
        <v>7521583333.333333</v>
      </c>
      <c r="Q59" s="45" t="inlineStr">
        <is>
          <t>45% done</t>
        </is>
      </c>
      <c r="R59" s="139" t="n">
        <v>282059375000.0007</v>
      </c>
      <c r="S59" s="139" t="n">
        <v>486892859802.6689</v>
      </c>
      <c r="T59" s="47" t="n">
        <v>0.8631034862831056</v>
      </c>
      <c r="U59" s="143" t="n">
        <v>6267986111.111111</v>
      </c>
      <c r="V59" s="45" t="inlineStr">
        <is>
          <t>38% done</t>
        </is>
      </c>
      <c r="W59" s="139" t="n">
        <v>315906499999.9993</v>
      </c>
      <c r="X59" s="139" t="n">
        <v>516486894719.697</v>
      </c>
      <c r="Y59" s="47" t="n">
        <v>0.8174679766318486</v>
      </c>
      <c r="Z59" s="143" t="n">
        <v>5014388888.888889</v>
      </c>
      <c r="AA59" s="45" t="inlineStr">
        <is>
          <t>30% done</t>
        </is>
      </c>
    </row>
    <row r="60">
      <c r="A60" s="7" t="n">
        <v>55</v>
      </c>
      <c r="B60" s="7" t="inlineStr">
        <is>
          <t>Yr 4.6</t>
        </is>
      </c>
      <c r="C60" s="144" t="n">
        <v>37607916666.66698</v>
      </c>
      <c r="D60" s="144" t="n">
        <v>75936717498.31442</v>
      </c>
      <c r="E60" s="60" t="n">
        <v>1.009584207646623</v>
      </c>
      <c r="F60" s="145" t="n">
        <v>15043166666.66667</v>
      </c>
      <c r="G60" s="62" t="inlineStr">
        <is>
          <t>92% done</t>
        </is>
      </c>
      <c r="H60" s="128" t="n">
        <v>155804226190.477</v>
      </c>
      <c r="I60" s="128" t="n">
        <v>296457786419.2419</v>
      </c>
      <c r="J60" s="22" t="n">
        <v>0.9513791559697816</v>
      </c>
      <c r="K60" s="142" t="n">
        <v>10745119047.61905</v>
      </c>
      <c r="L60" s="7" t="inlineStr">
        <is>
          <t>65% done</t>
        </is>
      </c>
      <c r="M60" s="128" t="n">
        <v>244451458333.3325</v>
      </c>
      <c r="N60" s="128" t="n">
        <v>438774180912.3168</v>
      </c>
      <c r="O60" s="22" t="n">
        <v>0.8974668915945003</v>
      </c>
      <c r="P60" s="142" t="n">
        <v>7521583333.333333</v>
      </c>
      <c r="Q60" s="7" t="inlineStr">
        <is>
          <t>46% done</t>
        </is>
      </c>
      <c r="R60" s="128" t="n">
        <v>278925381944.4452</v>
      </c>
      <c r="S60" s="128" t="n">
        <v>482247849890.9001</v>
      </c>
      <c r="T60" s="22" t="n">
        <v>0.8644746608018476</v>
      </c>
      <c r="U60" s="142" t="n">
        <v>6267986111.111111</v>
      </c>
      <c r="V60" s="7" t="inlineStr">
        <is>
          <t>38% done</t>
        </is>
      </c>
      <c r="W60" s="128" t="n">
        <v>313399305555.5548</v>
      </c>
      <c r="X60" s="128" t="n">
        <v>513194128813.207</v>
      </c>
      <c r="Y60" s="22" t="n">
        <v>0.8187544128463864</v>
      </c>
      <c r="Z60" s="142" t="n">
        <v>5014388888.888889</v>
      </c>
      <c r="AA60" s="7" t="inlineStr">
        <is>
          <t>31% done</t>
        </is>
      </c>
    </row>
    <row r="61">
      <c r="A61" s="45" t="n">
        <v>56</v>
      </c>
      <c r="B61" s="45" t="inlineStr">
        <is>
          <t>Yr 4.7</t>
        </is>
      </c>
      <c r="C61" s="144" t="n">
        <v>30086333333.33365</v>
      </c>
      <c r="D61" s="144" t="n">
        <v>61146673223.3088</v>
      </c>
      <c r="E61" s="60" t="n">
        <v>1.016186860423473</v>
      </c>
      <c r="F61" s="145" t="n">
        <v>15043166666.66667</v>
      </c>
      <c r="G61" s="62" t="inlineStr">
        <is>
          <t>93% done</t>
        </is>
      </c>
      <c r="H61" s="139" t="n">
        <v>150431666666.6675</v>
      </c>
      <c r="I61" s="139" t="n">
        <v>286700859993.0203</v>
      </c>
      <c r="J61" s="47" t="n">
        <v>0.952927220530979</v>
      </c>
      <c r="K61" s="143" t="n">
        <v>10745119047.61905</v>
      </c>
      <c r="L61" s="45" t="inlineStr">
        <is>
          <t>67% done</t>
        </is>
      </c>
      <c r="M61" s="139" t="n">
        <v>240690666666.6658</v>
      </c>
      <c r="N61" s="139" t="n">
        <v>432715178182.0246</v>
      </c>
      <c r="O61" s="47" t="n">
        <v>0.8989031111482499</v>
      </c>
      <c r="P61" s="143" t="n">
        <v>7521583333.333333</v>
      </c>
      <c r="Q61" s="45" t="inlineStr">
        <is>
          <t>47% done</t>
        </is>
      </c>
      <c r="R61" s="139" t="n">
        <v>275791388888.8896</v>
      </c>
      <c r="S61" s="139" t="n">
        <v>477587356612.7587</v>
      </c>
      <c r="T61" s="47" t="n">
        <v>0.8658489275841172</v>
      </c>
      <c r="U61" s="143" t="n">
        <v>6267986111.111111</v>
      </c>
      <c r="V61" s="45" t="inlineStr">
        <is>
          <t>39% done</t>
        </is>
      </c>
      <c r="W61" s="139" t="n">
        <v>310892111111.1104</v>
      </c>
      <c r="X61" s="139" t="n">
        <v>509890387020.3621</v>
      </c>
      <c r="Y61" s="47" t="n">
        <v>0.8200439457888518</v>
      </c>
      <c r="Z61" s="143" t="n">
        <v>5014388888.888889</v>
      </c>
      <c r="AA61" s="45" t="inlineStr">
        <is>
          <t>31% done</t>
        </is>
      </c>
    </row>
    <row r="62">
      <c r="A62" s="7" t="n">
        <v>57</v>
      </c>
      <c r="B62" s="7" t="inlineStr">
        <is>
          <t>Yr 4.8</t>
        </is>
      </c>
      <c r="C62" s="144" t="n">
        <v>22564750000.00032</v>
      </c>
      <c r="D62" s="144" t="n">
        <v>46307328800.71983</v>
      </c>
      <c r="E62" s="60" t="n">
        <v>1.026098866610957</v>
      </c>
      <c r="F62" s="145" t="n">
        <v>15043166666.66667</v>
      </c>
      <c r="G62" s="62" t="inlineStr">
        <is>
          <t>95% done</t>
        </is>
      </c>
      <c r="H62" s="128" t="n">
        <v>145059107142.858</v>
      </c>
      <c r="I62" s="128" t="n">
        <v>276911410478.7114</v>
      </c>
      <c r="J62" s="22" t="n">
        <v>0.9544778536586532</v>
      </c>
      <c r="K62" s="142" t="n">
        <v>10745119047.61905</v>
      </c>
      <c r="L62" s="7" t="inlineStr">
        <is>
          <t>68% done</t>
        </is>
      </c>
      <c r="M62" s="128" t="n">
        <v>236929874999.9992</v>
      </c>
      <c r="N62" s="128" t="n">
        <v>426635978775.9647</v>
      </c>
      <c r="O62" s="22" t="n">
        <v>0.900342303341793</v>
      </c>
      <c r="P62" s="142" t="n">
        <v>7521583333.333333</v>
      </c>
      <c r="Q62" s="7" t="inlineStr">
        <is>
          <t>48% done</t>
        </is>
      </c>
      <c r="R62" s="128" t="n">
        <v>272657395833.3341</v>
      </c>
      <c r="S62" s="128" t="n">
        <v>472911328357.0234</v>
      </c>
      <c r="T62" s="22" t="n">
        <v>0.8672262986148697</v>
      </c>
      <c r="U62" s="142" t="n">
        <v>6267986111.111111</v>
      </c>
      <c r="V62" s="7" t="inlineStr">
        <is>
          <t>40% done</t>
        </is>
      </c>
      <c r="W62" s="128" t="n">
        <v>308384916666.6659</v>
      </c>
      <c r="X62" s="128" t="n">
        <v>506575632754.8744</v>
      </c>
      <c r="Y62" s="22" t="n">
        <v>0.8213365916700027</v>
      </c>
      <c r="Z62" s="142" t="n">
        <v>5014388888.888889</v>
      </c>
      <c r="AA62" s="7" t="inlineStr">
        <is>
          <t>32% done</t>
        </is>
      </c>
    </row>
    <row r="63">
      <c r="A63" s="45" t="n">
        <v>58</v>
      </c>
      <c r="B63" s="45" t="inlineStr">
        <is>
          <t>Yr 4.8</t>
        </is>
      </c>
      <c r="C63" s="144" t="n">
        <v>15043166666.66699</v>
      </c>
      <c r="D63" s="144" t="n">
        <v>31418519896.72224</v>
      </c>
      <c r="E63" s="60" t="n">
        <v>1.04427879424949</v>
      </c>
      <c r="F63" s="145" t="n">
        <v>15043166666.66667</v>
      </c>
      <c r="G63" s="62" t="inlineStr">
        <is>
          <t>97% done</t>
        </is>
      </c>
      <c r="H63" s="139" t="n">
        <v>139686547619.0485</v>
      </c>
      <c r="I63" s="139" t="n">
        <v>267089329466.0213</v>
      </c>
      <c r="J63" s="47" t="n">
        <v>0.9560309636774196</v>
      </c>
      <c r="K63" s="143" t="n">
        <v>10745119047.61905</v>
      </c>
      <c r="L63" s="45" t="inlineStr">
        <is>
          <t>69% done</t>
        </is>
      </c>
      <c r="M63" s="139" t="n">
        <v>233169083333.3325</v>
      </c>
      <c r="N63" s="139" t="n">
        <v>420536515371.8846</v>
      </c>
      <c r="O63" s="47" t="n">
        <v>0.9017844676489474</v>
      </c>
      <c r="P63" s="143" t="n">
        <v>7521583333.333333</v>
      </c>
      <c r="Q63" s="45" t="inlineStr">
        <is>
          <t>48% done</t>
        </is>
      </c>
      <c r="R63" s="139" t="n">
        <v>269523402777.7786</v>
      </c>
      <c r="S63" s="139" t="n">
        <v>468219713340.4358</v>
      </c>
      <c r="T63" s="47" t="n">
        <v>0.8686067861173485</v>
      </c>
      <c r="U63" s="143" t="n">
        <v>6267986111.111111</v>
      </c>
      <c r="V63" s="45" t="inlineStr">
        <is>
          <t>40% done</t>
        </is>
      </c>
      <c r="W63" s="139" t="n">
        <v>305877722222.2214</v>
      </c>
      <c r="X63" s="139" t="n">
        <v>503249829308.5017</v>
      </c>
      <c r="Y63" s="47" t="n">
        <v>0.8226323670327462</v>
      </c>
      <c r="Z63" s="143" t="n">
        <v>5014388888.888889</v>
      </c>
      <c r="AA63" s="45" t="inlineStr">
        <is>
          <t>32% done</t>
        </is>
      </c>
    </row>
    <row r="64">
      <c r="A64" s="7" t="n">
        <v>59</v>
      </c>
      <c r="B64" s="7" t="inlineStr">
        <is>
          <t>Yr 4.9</t>
        </is>
      </c>
      <c r="C64" s="144" t="n">
        <v>7521583333.333655</v>
      </c>
      <c r="D64" s="144" t="n">
        <v>16480081629.71131</v>
      </c>
      <c r="E64" s="60" t="n">
        <v>1.095519447127308</v>
      </c>
      <c r="F64" s="145" t="n">
        <v>15043166666.66667</v>
      </c>
      <c r="G64" s="62" t="inlineStr">
        <is>
          <t>98% done</t>
        </is>
      </c>
      <c r="H64" s="128" t="n">
        <v>134313988095.2389</v>
      </c>
      <c r="I64" s="128" t="n">
        <v>257234508183.289</v>
      </c>
      <c r="J64" s="22" t="n">
        <v>0.9575864428985982</v>
      </c>
      <c r="K64" s="142" t="n">
        <v>10745119047.61905</v>
      </c>
      <c r="L64" s="7" t="inlineStr">
        <is>
          <t>70% done</t>
        </is>
      </c>
      <c r="M64" s="128" t="n">
        <v>229408291666.6659</v>
      </c>
      <c r="N64" s="128" t="n">
        <v>414416720423.1243</v>
      </c>
      <c r="O64" s="22" t="n">
        <v>0.9032296030199266</v>
      </c>
      <c r="P64" s="142" t="n">
        <v>7521583333.333333</v>
      </c>
      <c r="Q64" s="7" t="inlineStr">
        <is>
          <t>49% done</t>
        </is>
      </c>
      <c r="R64" s="128" t="n">
        <v>266389409722.223</v>
      </c>
      <c r="S64" s="128" t="n">
        <v>463512459607.1262</v>
      </c>
      <c r="T64" s="22" t="n">
        <v>0.8699904025660269</v>
      </c>
      <c r="U64" s="142" t="n">
        <v>6267986111.111111</v>
      </c>
      <c r="V64" s="7" t="inlineStr">
        <is>
          <t>41% done</t>
        </is>
      </c>
      <c r="W64" s="128" t="n">
        <v>303370527777.777</v>
      </c>
      <c r="X64" s="128" t="n">
        <v>499912939850.6411</v>
      </c>
      <c r="Y64" s="22" t="n">
        <v>0.8239312887651929</v>
      </c>
      <c r="Z64" s="142" t="n">
        <v>5014388888.888889</v>
      </c>
      <c r="AA64" s="7" t="inlineStr">
        <is>
          <t>33% done</t>
        </is>
      </c>
    </row>
    <row r="65">
      <c r="A65" s="45" t="n">
        <v>60</v>
      </c>
      <c r="B65" s="45" t="inlineStr">
        <is>
          <t>Yr 5.0</t>
        </is>
      </c>
      <c r="C65" s="146" t="n">
        <v>0.0003223419189453125</v>
      </c>
      <c r="D65" s="146" t="n">
        <v>1491848568.477018</v>
      </c>
      <c r="E65" s="64" t="n">
        <v>2314077817365.914</v>
      </c>
      <c r="F65" s="147" t="n">
        <v>15043166666.66667</v>
      </c>
      <c r="G65" s="66" t="inlineStr">
        <is>
          <t>✓ COMPLETE</t>
        </is>
      </c>
      <c r="H65" s="139" t="n">
        <v>128941428571.4294</v>
      </c>
      <c r="I65" s="139" t="n">
        <v>247346837496.2809</v>
      </c>
      <c r="J65" s="47" t="n">
        <v>0.9591441642794377</v>
      </c>
      <c r="K65" s="143" t="n">
        <v>10745119047.61905</v>
      </c>
      <c r="L65" s="45" t="inlineStr">
        <is>
          <t>71% done</t>
        </is>
      </c>
      <c r="M65" s="139" t="n">
        <v>225647499999.9992</v>
      </c>
      <c r="N65" s="139" t="n">
        <v>408276526157.868</v>
      </c>
      <c r="O65" s="47" t="n">
        <v>0.9046777078360484</v>
      </c>
      <c r="P65" s="143" t="n">
        <v>7521583333.333333</v>
      </c>
      <c r="Q65" s="45" t="inlineStr">
        <is>
          <t>50% done</t>
        </is>
      </c>
      <c r="R65" s="139" t="n">
        <v>263255416666.6675</v>
      </c>
      <c r="S65" s="139" t="n">
        <v>458789515028.0388</v>
      </c>
      <c r="T65" s="47" t="n">
        <v>0.8713771607004681</v>
      </c>
      <c r="U65" s="143" t="n">
        <v>6267986111.111111</v>
      </c>
      <c r="V65" s="45" t="inlineStr">
        <is>
          <t>42% done</t>
        </is>
      </c>
      <c r="W65" s="139" t="n">
        <v>300863333333.3325</v>
      </c>
      <c r="X65" s="139" t="n">
        <v>496564927427.921</v>
      </c>
      <c r="Y65" s="47" t="n">
        <v>0.8252333741143637</v>
      </c>
      <c r="Z65" s="143" t="n">
        <v>5014388888.888889</v>
      </c>
      <c r="AA65" s="45" t="inlineStr">
        <is>
          <t>33% done</t>
        </is>
      </c>
    </row>
    <row r="66">
      <c r="A66" s="7" t="n">
        <v>61</v>
      </c>
      <c r="B66" s="7" t="inlineStr">
        <is>
          <t>Yr 5.1</t>
        </is>
      </c>
      <c r="H66" s="128" t="n">
        <v>123568869047.6199</v>
      </c>
      <c r="I66" s="128" t="n">
        <v>237426207906.9828</v>
      </c>
      <c r="J66" s="22" t="n">
        <v>0.9607039772108199</v>
      </c>
      <c r="K66" s="142" t="n">
        <v>10745119047.61905</v>
      </c>
      <c r="L66" s="7" t="inlineStr">
        <is>
          <t>73% done</t>
        </is>
      </c>
      <c r="M66" s="128" t="n">
        <v>221886708333.3326</v>
      </c>
      <c r="N66" s="128" t="n">
        <v>402115864578.3943</v>
      </c>
      <c r="O66" s="22" t="n">
        <v>0.9061287798598324</v>
      </c>
      <c r="P66" s="142" t="n">
        <v>7521583333.333333</v>
      </c>
      <c r="Q66" s="7" t="inlineStr">
        <is>
          <t>51% done</t>
        </is>
      </c>
      <c r="R66" s="128" t="n">
        <v>260121423611.1119</v>
      </c>
      <c r="S66" s="128" t="n">
        <v>454050827300.3546</v>
      </c>
      <c r="T66" s="22" t="n">
        <v>0.8727670735401862</v>
      </c>
      <c r="U66" s="142" t="n">
        <v>6267986111.111111</v>
      </c>
      <c r="V66" s="7" t="inlineStr">
        <is>
          <t>42% done</t>
        </is>
      </c>
      <c r="W66" s="128" t="n">
        <v>298356138888.8881</v>
      </c>
      <c r="X66" s="128" t="n">
        <v>493205754963.7919</v>
      </c>
      <c r="Y66" s="22" t="n">
        <v>0.8265386407005831</v>
      </c>
      <c r="Z66" s="142" t="n">
        <v>5014388888.888889</v>
      </c>
      <c r="AA66" s="7" t="inlineStr">
        <is>
          <t>34% done</t>
        </is>
      </c>
    </row>
    <row r="67">
      <c r="A67" s="45" t="n">
        <v>62</v>
      </c>
      <c r="B67" s="45" t="inlineStr">
        <is>
          <t>Yr 5.2</t>
        </is>
      </c>
      <c r="H67" s="139" t="n">
        <v>118196309523.8104</v>
      </c>
      <c r="I67" s="139" t="n">
        <v>227472509552.3871</v>
      </c>
      <c r="J67" s="47" t="n">
        <v>0.9622657021561374</v>
      </c>
      <c r="K67" s="143" t="n">
        <v>10745119047.61905</v>
      </c>
      <c r="L67" s="45" t="inlineStr">
        <is>
          <t>74% done</t>
        </is>
      </c>
      <c r="M67" s="139" t="n">
        <v>218125916666.6659</v>
      </c>
      <c r="N67" s="139" t="n">
        <v>395934667460.3223</v>
      </c>
      <c r="O67" s="47" t="n">
        <v>0.907582816179929</v>
      </c>
      <c r="P67" s="143" t="n">
        <v>7521583333.333333</v>
      </c>
      <c r="Q67" s="45" t="inlineStr">
        <is>
          <t>52% done</t>
        </is>
      </c>
      <c r="R67" s="139" t="n">
        <v>256987430555.5564</v>
      </c>
      <c r="S67" s="139" t="n">
        <v>449296343946.9113</v>
      </c>
      <c r="T67" s="47" t="n">
        <v>0.8741601544005884</v>
      </c>
      <c r="U67" s="143" t="n">
        <v>6267986111.111111</v>
      </c>
      <c r="V67" s="45" t="inlineStr">
        <is>
          <t>43% done</t>
        </is>
      </c>
      <c r="W67" s="139" t="n">
        <v>295848944444.4436</v>
      </c>
      <c r="X67" s="139" t="n">
        <v>489835385258.1156</v>
      </c>
      <c r="Y67" s="47" t="n">
        <v>0.8278471065326042</v>
      </c>
      <c r="Z67" s="143" t="n">
        <v>5014388888.888889</v>
      </c>
      <c r="AA67" s="45" t="inlineStr">
        <is>
          <t>34% done</t>
        </is>
      </c>
    </row>
    <row r="68">
      <c r="A68" s="7" t="n">
        <v>63</v>
      </c>
      <c r="B68" s="7" t="inlineStr">
        <is>
          <t>Yr 5.2</t>
        </is>
      </c>
      <c r="H68" s="128" t="n">
        <v>112823750000.0008</v>
      </c>
      <c r="I68" s="128" t="n">
        <v>217485632203.276</v>
      </c>
      <c r="J68" s="22" t="n">
        <v>0.9638291237584035</v>
      </c>
      <c r="K68" s="142" t="n">
        <v>10745119047.61905</v>
      </c>
      <c r="L68" s="7" t="inlineStr">
        <is>
          <t>75% done</t>
        </is>
      </c>
      <c r="M68" s="128" t="n">
        <v>214365124999.9992</v>
      </c>
      <c r="N68" s="128" t="n">
        <v>389732866351.8567</v>
      </c>
      <c r="O68" s="22" t="n">
        <v>0.9090398131502456</v>
      </c>
      <c r="P68" s="142" t="n">
        <v>7521583333.333333</v>
      </c>
      <c r="Q68" s="7" t="inlineStr">
        <is>
          <t>52% done</t>
        </is>
      </c>
      <c r="R68" s="128" t="n">
        <v>253853437500.0009</v>
      </c>
      <c r="S68" s="128" t="n">
        <v>444526012315.6233</v>
      </c>
      <c r="T68" s="22" t="n">
        <v>0.8755564169100956</v>
      </c>
      <c r="U68" s="142" t="n">
        <v>6267986111.111111</v>
      </c>
      <c r="V68" s="7" t="inlineStr">
        <is>
          <t>44% done</t>
        </is>
      </c>
      <c r="W68" s="128" t="n">
        <v>293341749999.9991</v>
      </c>
      <c r="X68" s="128" t="n">
        <v>486453780986.7537</v>
      </c>
      <c r="Y68" s="22" t="n">
        <v>0.8291587900235052</v>
      </c>
      <c r="Z68" s="142" t="n">
        <v>5014388888.888889</v>
      </c>
      <c r="AA68" s="7" t="inlineStr">
        <is>
          <t>35% done</t>
        </is>
      </c>
    </row>
    <row r="69">
      <c r="A69" s="45" t="n">
        <v>64</v>
      </c>
      <c r="B69" s="45" t="inlineStr">
        <is>
          <t>Yr 5.3</t>
        </is>
      </c>
      <c r="H69" s="139" t="n">
        <v>107451190476.1913</v>
      </c>
      <c r="I69" s="139" t="n">
        <v>207465465263.0012</v>
      </c>
      <c r="J69" s="47" t="n">
        <v>0.965393981879478</v>
      </c>
      <c r="K69" s="143" t="n">
        <v>10745119047.61905</v>
      </c>
      <c r="L69" s="45" t="inlineStr">
        <is>
          <t>76% done</t>
        </is>
      </c>
      <c r="M69" s="139" t="n">
        <v>210604333333.3326</v>
      </c>
      <c r="N69" s="139" t="n">
        <v>383510392573.0295</v>
      </c>
      <c r="O69" s="47" t="n">
        <v>0.9104997663225454</v>
      </c>
      <c r="P69" s="143" t="n">
        <v>7521583333.333333</v>
      </c>
      <c r="Q69" s="45" t="inlineStr">
        <is>
          <t>53% done</t>
        </is>
      </c>
      <c r="R69" s="139" t="n">
        <v>250719444444.4453</v>
      </c>
      <c r="S69" s="139" t="n">
        <v>439739779578.8976</v>
      </c>
      <c r="T69" s="47" t="n">
        <v>0.8769558750285434</v>
      </c>
      <c r="U69" s="143" t="n">
        <v>6267986111.111111</v>
      </c>
      <c r="V69" s="45" t="inlineStr">
        <is>
          <t>44% done</t>
        </is>
      </c>
      <c r="W69" s="139" t="n">
        <v>290834555555.5547</v>
      </c>
      <c r="X69" s="139" t="n">
        <v>483060904701.154</v>
      </c>
      <c r="Y69" s="47" t="n">
        <v>0.8304737100074076</v>
      </c>
      <c r="Z69" s="143" t="n">
        <v>5014388888.888889</v>
      </c>
      <c r="AA69" s="45" t="inlineStr">
        <is>
          <t>36% done</t>
        </is>
      </c>
    </row>
    <row r="70">
      <c r="A70" s="7" t="n">
        <v>65</v>
      </c>
      <c r="B70" s="7" t="inlineStr">
        <is>
          <t>Yr 5.4</t>
        </is>
      </c>
      <c r="H70" s="128" t="n">
        <v>102078630952.3818</v>
      </c>
      <c r="I70" s="128" t="n">
        <v>197411897766.2588</v>
      </c>
      <c r="J70" s="22" t="n">
        <v>0.9669599598095541</v>
      </c>
      <c r="K70" s="142" t="n">
        <v>10745119047.61905</v>
      </c>
      <c r="L70" s="7" t="inlineStr">
        <is>
          <t>77% done</t>
        </is>
      </c>
      <c r="M70" s="128" t="n">
        <v>206843541666.6659</v>
      </c>
      <c r="N70" s="128" t="n">
        <v>377267177214.9396</v>
      </c>
      <c r="O70" s="22" t="n">
        <v>0.9119626703716863</v>
      </c>
      <c r="P70" s="142" t="n">
        <v>7521583333.333333</v>
      </c>
      <c r="Q70" s="7" t="inlineStr">
        <is>
          <t>54% done</t>
        </is>
      </c>
      <c r="R70" s="128" t="n">
        <v>247585451388.8898</v>
      </c>
      <c r="S70" s="128" t="n">
        <v>434937592733.0496</v>
      </c>
      <c r="T70" s="22" t="n">
        <v>0.8783585430669758</v>
      </c>
      <c r="U70" s="142" t="n">
        <v>6267986111.111111</v>
      </c>
      <c r="V70" s="7" t="inlineStr">
        <is>
          <t>45% done</t>
        </is>
      </c>
      <c r="W70" s="128" t="n">
        <v>288327361111.1102</v>
      </c>
      <c r="X70" s="128" t="n">
        <v>479656718827.9356</v>
      </c>
      <c r="Y70" s="22" t="n">
        <v>0.8317918857570622</v>
      </c>
      <c r="Z70" s="142" t="n">
        <v>5014388888.888889</v>
      </c>
      <c r="AA70" s="7" t="inlineStr">
        <is>
          <t>36% done</t>
        </is>
      </c>
    </row>
    <row r="71">
      <c r="A71" s="45" t="n">
        <v>66</v>
      </c>
      <c r="B71" s="45" t="inlineStr">
        <is>
          <t>Yr 5.5</t>
        </is>
      </c>
      <c r="H71" s="139" t="n">
        <v>96706071428.57227</v>
      </c>
      <c r="I71" s="139" t="n">
        <v>187324818377.8606</v>
      </c>
      <c r="J71" s="47" t="n">
        <v>0.9685266685464518</v>
      </c>
      <c r="K71" s="143" t="n">
        <v>10745119047.61905</v>
      </c>
      <c r="L71" s="45" t="inlineStr">
        <is>
          <t>79% done</t>
        </is>
      </c>
      <c r="M71" s="139" t="n">
        <v>203082749999.9993</v>
      </c>
      <c r="N71" s="139" t="n">
        <v>371003151138.9894</v>
      </c>
      <c r="O71" s="47" t="n">
        <v>0.9134285190125473</v>
      </c>
      <c r="P71" s="143" t="n">
        <v>7521583333.333333</v>
      </c>
      <c r="Q71" s="45" t="inlineStr">
        <is>
          <t>55% done</t>
        </is>
      </c>
      <c r="R71" s="139" t="n">
        <v>244451458333.3342</v>
      </c>
      <c r="S71" s="139" t="n">
        <v>430119398597.7153</v>
      </c>
      <c r="T71" s="47" t="n">
        <v>0.8797644357089581</v>
      </c>
      <c r="U71" s="143" t="n">
        <v>6267986111.111111</v>
      </c>
      <c r="V71" s="45" t="inlineStr">
        <is>
          <t>46% done</t>
        </is>
      </c>
      <c r="W71" s="139" t="n">
        <v>285820166666.6658</v>
      </c>
      <c r="X71" s="139" t="n">
        <v>476241185668.4731</v>
      </c>
      <c r="Y71" s="47" t="n">
        <v>0.8331133370023598</v>
      </c>
      <c r="Z71" s="143" t="n">
        <v>5014388888.888889</v>
      </c>
      <c r="AA71" s="45" t="inlineStr">
        <is>
          <t>37% done</t>
        </is>
      </c>
    </row>
    <row r="72">
      <c r="A72" s="7" t="n">
        <v>67</v>
      </c>
      <c r="B72" s="7" t="inlineStr">
        <is>
          <t>Yr 5.6</t>
        </is>
      </c>
      <c r="H72" s="128" t="n">
        <v>91333511904.76274</v>
      </c>
      <c r="I72" s="128" t="n">
        <v>177204115391.5011</v>
      </c>
      <c r="J72" s="22" t="n">
        <v>0.9700936255264069</v>
      </c>
      <c r="K72" s="142" t="n">
        <v>10745119047.61905</v>
      </c>
      <c r="L72" s="7" t="inlineStr">
        <is>
          <t>80% done</t>
        </is>
      </c>
      <c r="M72" s="128" t="n">
        <v>199321958333.3326</v>
      </c>
      <c r="N72" s="128" t="n">
        <v>364718244976.1194</v>
      </c>
      <c r="O72" s="22" t="n">
        <v>0.9148973049075437</v>
      </c>
      <c r="P72" s="142" t="n">
        <v>7521583333.333333</v>
      </c>
      <c r="Q72" s="7" t="inlineStr">
        <is>
          <t>56% done</t>
        </is>
      </c>
      <c r="R72" s="128" t="n">
        <v>241317465277.7787</v>
      </c>
      <c r="S72" s="128" t="n">
        <v>425285143815.2633</v>
      </c>
      <c r="T72" s="22" t="n">
        <v>0.8811735680335463</v>
      </c>
      <c r="U72" s="142" t="n">
        <v>6267986111.111111</v>
      </c>
      <c r="V72" s="7" t="inlineStr">
        <is>
          <t>47% done</t>
        </is>
      </c>
      <c r="W72" s="128" t="n">
        <v>283312972222.2213</v>
      </c>
      <c r="X72" s="128" t="n">
        <v>472814267398.4791</v>
      </c>
      <c r="Y72" s="22" t="n">
        <v>0.8344380839498222</v>
      </c>
      <c r="Z72" s="142" t="n">
        <v>5014388888.888889</v>
      </c>
      <c r="AA72" s="7" t="inlineStr">
        <is>
          <t>37% done</t>
        </is>
      </c>
    </row>
    <row r="73">
      <c r="A73" s="45" t="n">
        <v>68</v>
      </c>
      <c r="B73" s="45" t="inlineStr">
        <is>
          <t>Yr 5.7</t>
        </is>
      </c>
      <c r="H73" s="144" t="n">
        <v>85960952380.95322</v>
      </c>
      <c r="I73" s="144" t="n">
        <v>167049676728.5204</v>
      </c>
      <c r="J73" s="60" t="n">
        <v>0.9716602253788801</v>
      </c>
      <c r="K73" s="145" t="n">
        <v>10745119047.61905</v>
      </c>
      <c r="L73" s="62" t="inlineStr">
        <is>
          <t>81% done</t>
        </is>
      </c>
      <c r="M73" s="139" t="n">
        <v>195561166666.666</v>
      </c>
      <c r="N73" s="139" t="n">
        <v>358412389126.0399</v>
      </c>
      <c r="O73" s="47" t="n">
        <v>0.9163690195634644</v>
      </c>
      <c r="P73" s="143" t="n">
        <v>7521583333.333333</v>
      </c>
      <c r="Q73" s="45" t="inlineStr">
        <is>
          <t>57% done</t>
        </is>
      </c>
      <c r="R73" s="139" t="n">
        <v>238183472222.2231</v>
      </c>
      <c r="S73" s="139" t="n">
        <v>420434774850.2031</v>
      </c>
      <c r="T73" s="47" t="n">
        <v>0.8825859555400659</v>
      </c>
      <c r="U73" s="143" t="n">
        <v>6267986111.111111</v>
      </c>
      <c r="V73" s="45" t="inlineStr">
        <is>
          <t>47% done</t>
        </is>
      </c>
      <c r="W73" s="139" t="n">
        <v>280805777777.7769</v>
      </c>
      <c r="X73" s="139" t="n">
        <v>469375926067.5851</v>
      </c>
      <c r="Y73" s="47" t="n">
        <v>0.835766147303134</v>
      </c>
      <c r="Z73" s="143" t="n">
        <v>5014388888.888889</v>
      </c>
      <c r="AA73" s="45" t="inlineStr">
        <is>
          <t>38% done</t>
        </is>
      </c>
    </row>
    <row r="74">
      <c r="A74" s="7" t="n">
        <v>69</v>
      </c>
      <c r="B74" s="7" t="inlineStr">
        <is>
          <t>Yr 5.8</t>
        </is>
      </c>
      <c r="H74" s="144" t="n">
        <v>80588392857.14369</v>
      </c>
      <c r="I74" s="144" t="n">
        <v>156861389936.6631</v>
      </c>
      <c r="J74" s="60" t="n">
        <v>0.9732256989832637</v>
      </c>
      <c r="K74" s="145" t="n">
        <v>10745119047.61905</v>
      </c>
      <c r="L74" s="62" t="inlineStr">
        <is>
          <t>82% done</t>
        </is>
      </c>
      <c r="M74" s="128" t="n">
        <v>191800374999.9993</v>
      </c>
      <c r="N74" s="128" t="n">
        <v>352085513756.46</v>
      </c>
      <c r="O74" s="22" t="n">
        <v>0.9178436532161663</v>
      </c>
      <c r="P74" s="142" t="n">
        <v>7521583333.333333</v>
      </c>
      <c r="Q74" s="7" t="inlineStr">
        <is>
          <t>57% done</t>
        </is>
      </c>
      <c r="R74" s="128" t="n">
        <v>235049479166.6676</v>
      </c>
      <c r="S74" s="128" t="n">
        <v>415568237988.5927</v>
      </c>
      <c r="T74" s="22" t="n">
        <v>0.8840016141748688</v>
      </c>
      <c r="U74" s="142" t="n">
        <v>6267986111.111111</v>
      </c>
      <c r="V74" s="7" t="inlineStr">
        <is>
          <t>48% done</t>
        </is>
      </c>
      <c r="W74" s="128" t="n">
        <v>278298583333.3324</v>
      </c>
      <c r="X74" s="128" t="n">
        <v>465926123598.9215</v>
      </c>
      <c r="Y74" s="22" t="n">
        <v>0.8370975482847824</v>
      </c>
      <c r="Z74" s="142" t="n">
        <v>5014388888.888889</v>
      </c>
      <c r="AA74" s="7" t="inlineStr">
        <is>
          <t>38% done</t>
        </is>
      </c>
    </row>
    <row r="75">
      <c r="A75" s="45" t="n">
        <v>70</v>
      </c>
      <c r="B75" s="45" t="inlineStr">
        <is>
          <t>Yr 5.8</t>
        </is>
      </c>
      <c r="H75" s="144" t="n">
        <v>75215833333.33417</v>
      </c>
      <c r="I75" s="144" t="n">
        <v>146639142188.8329</v>
      </c>
      <c r="J75" s="60" t="n">
        <v>0.9747890549784372</v>
      </c>
      <c r="K75" s="145" t="n">
        <v>10745119047.61905</v>
      </c>
      <c r="L75" s="62" t="inlineStr">
        <is>
          <t>83% done</t>
        </is>
      </c>
      <c r="M75" s="139" t="n">
        <v>188039583333.3326</v>
      </c>
      <c r="N75" s="139" t="n">
        <v>345737548802.3149</v>
      </c>
      <c r="O75" s="47" t="n">
        <v>0.9193211947014245</v>
      </c>
      <c r="P75" s="143" t="n">
        <v>7521583333.333333</v>
      </c>
      <c r="Q75" s="45" t="inlineStr">
        <is>
          <t>58% done</t>
        </is>
      </c>
      <c r="R75" s="139" t="n">
        <v>231915486111.1121</v>
      </c>
      <c r="S75" s="139" t="n">
        <v>410685479337.4436</v>
      </c>
      <c r="T75" s="47" t="n">
        <v>0.8854205603602551</v>
      </c>
      <c r="U75" s="143" t="n">
        <v>6267986111.111111</v>
      </c>
      <c r="V75" s="45" t="inlineStr">
        <is>
          <t>49% done</t>
        </is>
      </c>
      <c r="W75" s="139" t="n">
        <v>275791388888.8879</v>
      </c>
      <c r="X75" s="139" t="n">
        <v>462464821788.6957</v>
      </c>
      <c r="Y75" s="47" t="n">
        <v>0.8384323086588747</v>
      </c>
      <c r="Z75" s="143" t="n">
        <v>5014388888.888889</v>
      </c>
      <c r="AA75" s="45" t="inlineStr">
        <is>
          <t>39% done</t>
        </is>
      </c>
    </row>
    <row r="76">
      <c r="A76" s="7" t="n">
        <v>71</v>
      </c>
      <c r="B76" s="7" t="inlineStr">
        <is>
          <t>Yr 5.9</t>
        </is>
      </c>
      <c r="H76" s="144" t="n">
        <v>69843273809.52464</v>
      </c>
      <c r="I76" s="144" t="n">
        <v>136382820281.8433</v>
      </c>
      <c r="J76" s="60" t="n">
        <v>0.9763489942767012</v>
      </c>
      <c r="K76" s="145" t="n">
        <v>10745119047.61905</v>
      </c>
      <c r="L76" s="62" t="inlineStr">
        <is>
          <t>85% done</t>
        </is>
      </c>
      <c r="M76" s="128" t="n">
        <v>184278791666.666</v>
      </c>
      <c r="N76" s="128" t="n">
        <v>339368423964.9893</v>
      </c>
      <c r="O76" s="22" t="n">
        <v>0.9208016313099617</v>
      </c>
      <c r="P76" s="142" t="n">
        <v>7521583333.333333</v>
      </c>
      <c r="Q76" s="7" t="inlineStr">
        <is>
          <t>59% done</t>
        </is>
      </c>
      <c r="R76" s="128" t="n">
        <v>228781493055.5565</v>
      </c>
      <c r="S76" s="128" t="n">
        <v>405786444824.124</v>
      </c>
      <c r="T76" s="22" t="n">
        <v>0.8868428110257682</v>
      </c>
      <c r="U76" s="142" t="n">
        <v>6267986111.111111</v>
      </c>
      <c r="V76" s="7" t="inlineStr">
        <is>
          <t>49% done</t>
        </is>
      </c>
      <c r="W76" s="128" t="n">
        <v>273284194444.4435</v>
      </c>
      <c r="X76" s="128" t="n">
        <v>458991982305.7691</v>
      </c>
      <c r="Y76" s="22" t="n">
        <v>0.8397704507552093</v>
      </c>
      <c r="Z76" s="142" t="n">
        <v>5014388888.888889</v>
      </c>
      <c r="AA76" s="7" t="inlineStr">
        <is>
          <t>39% done</t>
        </is>
      </c>
    </row>
    <row r="77">
      <c r="A77" s="45" t="n">
        <v>72</v>
      </c>
      <c r="B77" s="45" t="inlineStr">
        <is>
          <t>Yr 6.0</t>
        </is>
      </c>
      <c r="H77" s="144" t="n">
        <v>64470714285.71512</v>
      </c>
      <c r="I77" s="144" t="n">
        <v>126092310635.1637</v>
      </c>
      <c r="J77" s="60" t="n">
        <v>0.9779037818346478</v>
      </c>
      <c r="K77" s="145" t="n">
        <v>10745119047.61905</v>
      </c>
      <c r="L77" s="62" t="inlineStr">
        <is>
          <t>86% done</t>
        </is>
      </c>
      <c r="M77" s="139" t="n">
        <v>180517999999.9993</v>
      </c>
      <c r="N77" s="139" t="n">
        <v>332978068711.5392</v>
      </c>
      <c r="O77" s="47" t="n">
        <v>0.9222849486243491</v>
      </c>
      <c r="P77" s="143" t="n">
        <v>7521583333.333333</v>
      </c>
      <c r="Q77" s="45" t="inlineStr">
        <is>
          <t>60% done</t>
        </is>
      </c>
      <c r="R77" s="139" t="n">
        <v>225647500000.001</v>
      </c>
      <c r="S77" s="139" t="n">
        <v>400871080195.76</v>
      </c>
      <c r="T77" s="47" t="n">
        <v>0.8882683836420928</v>
      </c>
      <c r="U77" s="143" t="n">
        <v>6267986111.111111</v>
      </c>
      <c r="V77" s="45" t="inlineStr">
        <is>
          <t>50% done</t>
        </is>
      </c>
      <c r="W77" s="139" t="n">
        <v>270776999999.999</v>
      </c>
      <c r="X77" s="139" t="n">
        <v>455507566691.2327</v>
      </c>
      <c r="Y77" s="47" t="n">
        <v>0.8411119974946808</v>
      </c>
      <c r="Z77" s="143" t="n">
        <v>5014388888.888889</v>
      </c>
      <c r="AA77" s="45" t="inlineStr">
        <is>
          <t>40% done</t>
        </is>
      </c>
    </row>
    <row r="78">
      <c r="A78" s="7" t="n">
        <v>73</v>
      </c>
      <c r="B78" s="7" t="inlineStr">
        <is>
          <t>Yr 6.1</t>
        </is>
      </c>
      <c r="H78" s="144" t="n">
        <v>59098154761.90559</v>
      </c>
      <c r="I78" s="144" t="n">
        <v>115767499289.6619</v>
      </c>
      <c r="J78" s="60" t="n">
        <v>0.9794510484808326</v>
      </c>
      <c r="K78" s="145" t="n">
        <v>10745119047.61905</v>
      </c>
      <c r="L78" s="62" t="inlineStr">
        <is>
          <t>87% done</t>
        </is>
      </c>
      <c r="M78" s="128" t="n">
        <v>176757208333.3327</v>
      </c>
      <c r="N78" s="128" t="n">
        <v>326566412273.9111</v>
      </c>
      <c r="O78" s="22" t="n">
        <v>0.9237711303350777</v>
      </c>
      <c r="P78" s="142" t="n">
        <v>7521583333.333333</v>
      </c>
      <c r="Q78" s="7" t="inlineStr">
        <is>
          <t>61% done</t>
        </is>
      </c>
      <c r="R78" s="128" t="n">
        <v>222513506944.4454</v>
      </c>
      <c r="S78" s="128" t="n">
        <v>395939331018.6348</v>
      </c>
      <c r="T78" s="22" t="n">
        <v>0.8896972962578138</v>
      </c>
      <c r="U78" s="142" t="n">
        <v>6267986111.111111</v>
      </c>
      <c r="V78" s="7" t="inlineStr">
        <is>
          <t>51% done</t>
        </is>
      </c>
      <c r="W78" s="128" t="n">
        <v>268269805555.5546</v>
      </c>
      <c r="X78" s="128" t="n">
        <v>452011536357.9813</v>
      </c>
      <c r="Y78" s="22" t="n">
        <v>0.8424569724161085</v>
      </c>
      <c r="Z78" s="142" t="n">
        <v>5014388888.888889</v>
      </c>
      <c r="AA78" s="7" t="inlineStr">
        <is>
          <t>41% done</t>
        </is>
      </c>
    </row>
    <row r="79">
      <c r="A79" s="45" t="n">
        <v>74</v>
      </c>
      <c r="B79" s="45" t="inlineStr">
        <is>
          <t>Yr 6.2</t>
        </is>
      </c>
      <c r="H79" s="144" t="n">
        <v>53725595238.09607</v>
      </c>
      <c r="I79" s="144" t="n">
        <v>105408271906.3417</v>
      </c>
      <c r="J79" s="60" t="n">
        <v>0.9809874738400124</v>
      </c>
      <c r="K79" s="145" t="n">
        <v>10745119047.61905</v>
      </c>
      <c r="L79" s="62" t="inlineStr">
        <is>
          <t>88% done</t>
        </is>
      </c>
      <c r="M79" s="139" t="n">
        <v>172996416666.666</v>
      </c>
      <c r="N79" s="139" t="n">
        <v>320133383648.1575</v>
      </c>
      <c r="O79" s="47" t="n">
        <v>0.9252601580326336</v>
      </c>
      <c r="P79" s="143" t="n">
        <v>7521583333.333333</v>
      </c>
      <c r="Q79" s="45" t="inlineStr">
        <is>
          <t>62% done</t>
        </is>
      </c>
      <c r="R79" s="139" t="n">
        <v>219379513888.8899</v>
      </c>
      <c r="S79" s="139" t="n">
        <v>390991142677.5858</v>
      </c>
      <c r="T79" s="47" t="n">
        <v>0.8911295675393209</v>
      </c>
      <c r="U79" s="143" t="n">
        <v>6267986111.111111</v>
      </c>
      <c r="V79" s="45" t="inlineStr">
        <is>
          <t>51% done</t>
        </is>
      </c>
      <c r="W79" s="139" t="n">
        <v>265762611111.1101</v>
      </c>
      <c r="X79" s="139" t="n">
        <v>448503852590.2856</v>
      </c>
      <c r="Y79" s="47" t="n">
        <v>0.8438053997045789</v>
      </c>
      <c r="Z79" s="143" t="n">
        <v>5014388888.888889</v>
      </c>
      <c r="AA79" s="45" t="inlineStr">
        <is>
          <t>41% done</t>
        </is>
      </c>
    </row>
    <row r="80">
      <c r="A80" s="7" t="n">
        <v>75</v>
      </c>
      <c r="B80" s="7" t="inlineStr">
        <is>
          <t>Yr 6.2</t>
        </is>
      </c>
      <c r="H80" s="144" t="n">
        <v>48353035714.28654</v>
      </c>
      <c r="I80" s="144" t="n">
        <v>95014513765.07715</v>
      </c>
      <c r="J80" s="60" t="n">
        <v>0.9825082578734954</v>
      </c>
      <c r="K80" s="145" t="n">
        <v>10745119047.61905</v>
      </c>
      <c r="L80" s="62" t="inlineStr">
        <is>
          <t>89% done</t>
        </is>
      </c>
      <c r="M80" s="128" t="n">
        <v>169235624999.9994</v>
      </c>
      <c r="N80" s="128" t="n">
        <v>313678911593.6514</v>
      </c>
      <c r="O80" s="22" t="n">
        <v>0.9267520109718405</v>
      </c>
      <c r="P80" s="142" t="n">
        <v>7521583333.333333</v>
      </c>
      <c r="Q80" s="7" t="inlineStr">
        <is>
          <t>62% done</t>
        </is>
      </c>
      <c r="R80" s="128" t="n">
        <v>216245520833.3344</v>
      </c>
      <c r="S80" s="128" t="n">
        <v>386026460375.4</v>
      </c>
      <c r="T80" s="22" t="n">
        <v>0.8925652168141784</v>
      </c>
      <c r="U80" s="142" t="n">
        <v>6267986111.111111</v>
      </c>
      <c r="V80" s="7" t="inlineStr">
        <is>
          <t>52% done</t>
        </is>
      </c>
      <c r="W80" s="128" t="n">
        <v>263255416666.6656</v>
      </c>
      <c r="X80" s="128" t="n">
        <v>444984476543.3643</v>
      </c>
      <c r="Y80" s="22" t="n">
        <v>0.8451573042214061</v>
      </c>
      <c r="Z80" s="142" t="n">
        <v>5014388888.888889</v>
      </c>
      <c r="AA80" s="7" t="inlineStr">
        <is>
          <t>42% done</t>
        </is>
      </c>
    </row>
    <row r="81">
      <c r="A81" s="45" t="n">
        <v>76</v>
      </c>
      <c r="B81" s="45" t="inlineStr">
        <is>
          <t>Yr 6.3</t>
        </is>
      </c>
      <c r="H81" s="144" t="n">
        <v>42980476190.47702</v>
      </c>
      <c r="I81" s="144" t="n">
        <v>84586109763.34169</v>
      </c>
      <c r="J81" s="60" t="n">
        <v>0.9840061960747079</v>
      </c>
      <c r="K81" s="145" t="n">
        <v>10745119047.61905</v>
      </c>
      <c r="L81" s="62" t="inlineStr">
        <is>
          <t>90% done</t>
        </is>
      </c>
      <c r="M81" s="139" t="n">
        <v>165474833333.3327</v>
      </c>
      <c r="N81" s="139" t="n">
        <v>307202924632.2969</v>
      </c>
      <c r="O81" s="47" t="n">
        <v>0.928246665804059</v>
      </c>
      <c r="P81" s="143" t="n">
        <v>7521583333.333333</v>
      </c>
      <c r="Q81" s="45" t="inlineStr">
        <is>
          <t>63% done</t>
        </is>
      </c>
      <c r="R81" s="139" t="n">
        <v>213111527777.7788</v>
      </c>
      <c r="S81" s="139" t="n">
        <v>381045229132.207</v>
      </c>
      <c r="T81" s="47" t="n">
        <v>0.8940042641183173</v>
      </c>
      <c r="U81" s="143" t="n">
        <v>6267986111.111111</v>
      </c>
      <c r="V81" s="45" t="inlineStr">
        <is>
          <t>53% done</t>
        </is>
      </c>
      <c r="W81" s="139" t="n">
        <v>260748222222.2212</v>
      </c>
      <c r="X81" s="139" t="n">
        <v>441453369242.9533</v>
      </c>
      <c r="Y81" s="47" t="n">
        <v>0.8465127115358186</v>
      </c>
      <c r="Z81" s="143" t="n">
        <v>5014388888.888889</v>
      </c>
      <c r="AA81" s="45" t="inlineStr">
        <is>
          <t>42% done</t>
        </is>
      </c>
    </row>
    <row r="82">
      <c r="A82" s="7" t="n">
        <v>77</v>
      </c>
      <c r="B82" s="7" t="inlineStr">
        <is>
          <t>Yr 6.4</t>
        </is>
      </c>
      <c r="H82" s="144" t="n">
        <v>37607916666.6675</v>
      </c>
      <c r="I82" s="144" t="n">
        <v>74122944414.93378</v>
      </c>
      <c r="J82" s="60" t="n">
        <v>0.9854699619751889</v>
      </c>
      <c r="K82" s="145" t="n">
        <v>10745119047.61905</v>
      </c>
      <c r="L82" s="62" t="inlineStr">
        <is>
          <t>92% done</t>
        </is>
      </c>
      <c r="M82" s="128" t="n">
        <v>161714041666.666</v>
      </c>
      <c r="N82" s="128" t="n">
        <v>300705351047.7379</v>
      </c>
      <c r="O82" s="22" t="n">
        <v>0.9297440962720123</v>
      </c>
      <c r="P82" s="142" t="n">
        <v>7521583333.333333</v>
      </c>
      <c r="Q82" s="7" t="inlineStr">
        <is>
          <t>64% done</t>
        </is>
      </c>
      <c r="R82" s="128" t="n">
        <v>209977534722.2233</v>
      </c>
      <c r="S82" s="128" t="n">
        <v>376047393784.8699</v>
      </c>
      <c r="T82" s="22" t="n">
        <v>0.8954467302474488</v>
      </c>
      <c r="U82" s="142" t="n">
        <v>6267986111.111111</v>
      </c>
      <c r="V82" s="7" t="inlineStr">
        <is>
          <t>53% done</t>
        </is>
      </c>
      <c r="W82" s="128" t="n">
        <v>258241027777.7767</v>
      </c>
      <c r="X82" s="128" t="n">
        <v>437910491584.8742</v>
      </c>
      <c r="Y82" s="22" t="n">
        <v>0.8478716479584875</v>
      </c>
      <c r="Z82" s="142" t="n">
        <v>5014388888.888889</v>
      </c>
      <c r="AA82" s="7" t="inlineStr">
        <is>
          <t>43% done</t>
        </is>
      </c>
    </row>
    <row r="83">
      <c r="A83" s="45" t="n">
        <v>78</v>
      </c>
      <c r="B83" s="45" t="inlineStr">
        <is>
          <t>Yr 6.5</t>
        </is>
      </c>
      <c r="H83" s="144" t="n">
        <v>32235357142.85797</v>
      </c>
      <c r="I83" s="144" t="n">
        <v>63624901848.69785</v>
      </c>
      <c r="J83" s="60" t="n">
        <v>0.9868806721565129</v>
      </c>
      <c r="K83" s="145" t="n">
        <v>10745119047.61905</v>
      </c>
      <c r="L83" s="62" t="inlineStr">
        <is>
          <t>93% done</t>
        </is>
      </c>
      <c r="M83" s="139" t="n">
        <v>157953249999.9994</v>
      </c>
      <c r="N83" s="139" t="n">
        <v>294186118884.5637</v>
      </c>
      <c r="O83" s="47" t="n">
        <v>0.9312442728610043</v>
      </c>
      <c r="P83" s="143" t="n">
        <v>7521583333.333333</v>
      </c>
      <c r="Q83" s="45" t="inlineStr">
        <is>
          <t>65% done</t>
        </is>
      </c>
      <c r="R83" s="139" t="n">
        <v>206843541666.6677</v>
      </c>
      <c r="S83" s="139" t="n">
        <v>371032898986.3751</v>
      </c>
      <c r="T83" s="47" t="n">
        <v>0.8968926368131463</v>
      </c>
      <c r="U83" s="143" t="n">
        <v>6267986111.111111</v>
      </c>
      <c r="V83" s="45" t="inlineStr">
        <is>
          <t>54% done</t>
        </is>
      </c>
      <c r="W83" s="139" t="n">
        <v>255733833333.3323</v>
      </c>
      <c r="X83" s="139" t="n">
        <v>434355804334.6016</v>
      </c>
      <c r="Y83" s="47" t="n">
        <v>0.8492341405770257</v>
      </c>
      <c r="Z83" s="143" t="n">
        <v>5014388888.888889</v>
      </c>
      <c r="AA83" s="45" t="inlineStr">
        <is>
          <t>43% done</t>
        </is>
      </c>
    </row>
    <row r="84">
      <c r="A84" s="7" t="n">
        <v>79</v>
      </c>
      <c r="B84" s="7" t="inlineStr">
        <is>
          <t>Yr 6.6</t>
        </is>
      </c>
      <c r="H84" s="144" t="n">
        <v>26862797619.04845</v>
      </c>
      <c r="I84" s="144" t="n">
        <v>53091865807.24112</v>
      </c>
      <c r="J84" s="60" t="n">
        <v>0.9882043292764415</v>
      </c>
      <c r="K84" s="145" t="n">
        <v>10745119047.61905</v>
      </c>
      <c r="L84" s="62" t="inlineStr">
        <is>
          <t>94% done</t>
        </is>
      </c>
      <c r="M84" s="128" t="n">
        <v>154192458333.3327</v>
      </c>
      <c r="N84" s="128" t="n">
        <v>287645155947.5123</v>
      </c>
      <c r="O84" s="22" t="n">
        <v>0.9327471623990907</v>
      </c>
      <c r="P84" s="142" t="n">
        <v>7521583333.333333</v>
      </c>
      <c r="Q84" s="7" t="inlineStr">
        <is>
          <t>66% done</t>
        </is>
      </c>
      <c r="R84" s="128" t="n">
        <v>203709548611.1122</v>
      </c>
      <c r="S84" s="128" t="n">
        <v>366001689205.2186</v>
      </c>
      <c r="T84" s="22" t="n">
        <v>0.8983420063041009</v>
      </c>
      <c r="U84" s="142" t="n">
        <v>6267986111.111111</v>
      </c>
      <c r="V84" s="7" t="inlineStr">
        <is>
          <t>55% done</t>
        </is>
      </c>
      <c r="W84" s="128" t="n">
        <v>253226638888.8878</v>
      </c>
      <c r="X84" s="128" t="n">
        <v>430789268126.828</v>
      </c>
      <c r="Y84" s="22" t="n">
        <v>0.8506002172935923</v>
      </c>
      <c r="Z84" s="142" t="n">
        <v>5014388888.888889</v>
      </c>
      <c r="AA84" s="7" t="inlineStr">
        <is>
          <t>44% done</t>
        </is>
      </c>
    </row>
    <row r="85">
      <c r="A85" s="45" t="n">
        <v>80</v>
      </c>
      <c r="B85" s="45" t="inlineStr">
        <is>
          <t>Yr 6.7</t>
        </is>
      </c>
      <c r="H85" s="144" t="n">
        <v>21490238095.23892</v>
      </c>
      <c r="I85" s="144" t="n">
        <v>42523719645.64621</v>
      </c>
      <c r="J85" s="60" t="n">
        <v>0.9893729296342039</v>
      </c>
      <c r="K85" s="145" t="n">
        <v>10745119047.61905</v>
      </c>
      <c r="L85" s="62" t="inlineStr">
        <is>
          <t>95% done</t>
        </is>
      </c>
      <c r="M85" s="139" t="n">
        <v>150431666666.6661</v>
      </c>
      <c r="N85" s="139" t="n">
        <v>281082389800.6707</v>
      </c>
      <c r="O85" s="47" t="n">
        <v>0.9342527275972649</v>
      </c>
      <c r="P85" s="143" t="n">
        <v>7521583333.333333</v>
      </c>
      <c r="Q85" s="45" t="inlineStr">
        <is>
          <t>67% done</t>
        </is>
      </c>
      <c r="R85" s="139" t="n">
        <v>200575555555.5566</v>
      </c>
      <c r="S85" s="139" t="n">
        <v>360953708724.7916</v>
      </c>
      <c r="T85" s="47" t="n">
        <v>0.8997948621531112</v>
      </c>
      <c r="U85" s="143" t="n">
        <v>6267986111.111111</v>
      </c>
      <c r="V85" s="45" t="inlineStr">
        <is>
          <t>56% done</t>
        </is>
      </c>
      <c r="W85" s="139" t="n">
        <v>250719444444.4434</v>
      </c>
      <c r="X85" s="139" t="n">
        <v>427210843465.0285</v>
      </c>
      <c r="Y85" s="47" t="n">
        <v>0.8519699068647499</v>
      </c>
      <c r="Z85" s="143" t="n">
        <v>5014388888.888889</v>
      </c>
      <c r="AA85" s="45" t="inlineStr">
        <is>
          <t>44% done</t>
        </is>
      </c>
    </row>
    <row r="86">
      <c r="A86" s="7" t="n">
        <v>81</v>
      </c>
      <c r="B86" s="7" t="inlineStr">
        <is>
          <t>Yr 6.8</t>
        </is>
      </c>
      <c r="H86" s="144" t="n">
        <v>16117678571.4294</v>
      </c>
      <c r="I86" s="144" t="n">
        <v>31920346330.17931</v>
      </c>
      <c r="J86" s="60" t="n">
        <v>0.9902277858662016</v>
      </c>
      <c r="K86" s="145" t="n">
        <v>10745119047.61905</v>
      </c>
      <c r="L86" s="62" t="inlineStr">
        <is>
          <t>96% done</t>
        </is>
      </c>
      <c r="M86" s="128" t="n">
        <v>146670874999.9994</v>
      </c>
      <c r="N86" s="128" t="n">
        <v>274497747766.6729</v>
      </c>
      <c r="O86" s="22" t="n">
        <v>0.9357609265188946</v>
      </c>
      <c r="P86" s="142" t="n">
        <v>7521583333.333333</v>
      </c>
      <c r="Q86" s="7" t="inlineStr">
        <is>
          <t>68% done</t>
        </is>
      </c>
      <c r="R86" s="128" t="n">
        <v>197441562500.0011</v>
      </c>
      <c r="S86" s="128" t="n">
        <v>355888901642.7631</v>
      </c>
      <c r="T86" s="22" t="n">
        <v>0.9012512288104515</v>
      </c>
      <c r="U86" s="142" t="n">
        <v>6267986111.111111</v>
      </c>
      <c r="V86" s="7" t="inlineStr">
        <is>
          <t>56% done</t>
        </is>
      </c>
      <c r="W86" s="128" t="n">
        <v>248212249999.9989</v>
      </c>
      <c r="X86" s="128" t="n">
        <v>423620490721.023</v>
      </c>
      <c r="Y86" s="22" t="n">
        <v>0.8533432389437364</v>
      </c>
      <c r="Z86" s="142" t="n">
        <v>5014388888.888889</v>
      </c>
      <c r="AA86" s="7" t="inlineStr">
        <is>
          <t>45% done</t>
        </is>
      </c>
    </row>
    <row r="87">
      <c r="A87" s="45" t="n">
        <v>82</v>
      </c>
      <c r="B87" s="45" t="inlineStr">
        <is>
          <t>Yr 6.8</t>
        </is>
      </c>
      <c r="H87" s="144" t="n">
        <v>10745119047.61987</v>
      </c>
      <c r="I87" s="144" t="n">
        <v>21281628436.99419</v>
      </c>
      <c r="J87" s="60" t="n">
        <v>0.9902928177286336</v>
      </c>
      <c r="K87" s="145" t="n">
        <v>10745119047.61905</v>
      </c>
      <c r="L87" s="62" t="inlineStr">
        <is>
          <t>98% done</t>
        </is>
      </c>
      <c r="M87" s="139" t="n">
        <v>142910083333.3328</v>
      </c>
      <c r="N87" s="139" t="n">
        <v>267891156925.8951</v>
      </c>
      <c r="O87" s="47" t="n">
        <v>0.9372717119653775</v>
      </c>
      <c r="P87" s="143" t="n">
        <v>7521583333.333333</v>
      </c>
      <c r="Q87" s="45" t="inlineStr">
        <is>
          <t>68% done</t>
        </is>
      </c>
      <c r="R87" s="139" t="n">
        <v>194307569444.4456</v>
      </c>
      <c r="S87" s="139" t="n">
        <v>350807211870.4612</v>
      </c>
      <c r="T87" s="47" t="n">
        <v>0.9027111318243329</v>
      </c>
      <c r="U87" s="143" t="n">
        <v>6267986111.111111</v>
      </c>
      <c r="V87" s="45" t="inlineStr">
        <is>
          <t>57% done</t>
        </is>
      </c>
      <c r="W87" s="139" t="n">
        <v>245705055555.5544</v>
      </c>
      <c r="X87" s="139" t="n">
        <v>420018170134.5375</v>
      </c>
      <c r="Y87" s="47" t="n">
        <v>0.8547202441253198</v>
      </c>
      <c r="Z87" s="143" t="n">
        <v>5014388888.888889</v>
      </c>
      <c r="AA87" s="45" t="inlineStr">
        <is>
          <t>46% done</t>
        </is>
      </c>
    </row>
    <row r="88">
      <c r="A88" s="7" t="n">
        <v>83</v>
      </c>
      <c r="B88" s="7" t="inlineStr">
        <is>
          <t>Yr 6.9</t>
        </is>
      </c>
      <c r="H88" s="144" t="n">
        <v>5372559523.810349</v>
      </c>
      <c r="I88" s="144" t="n">
        <v>10607448150.83179</v>
      </c>
      <c r="J88" s="60" t="n">
        <v>0.9871875875754591</v>
      </c>
      <c r="K88" s="145" t="n">
        <v>10745119047.61905</v>
      </c>
      <c r="L88" s="62" t="inlineStr">
        <is>
          <t>99% done</t>
        </is>
      </c>
      <c r="M88" s="128" t="n">
        <v>139149291666.6661</v>
      </c>
      <c r="N88" s="128" t="n">
        <v>261262544115.6481</v>
      </c>
      <c r="O88" s="22" t="n">
        <v>0.9387850307621609</v>
      </c>
      <c r="P88" s="142" t="n">
        <v>7521583333.333333</v>
      </c>
      <c r="Q88" s="7" t="inlineStr">
        <is>
          <t>69% done</t>
        </is>
      </c>
      <c r="R88" s="128" t="n">
        <v>191173576388.89</v>
      </c>
      <c r="S88" s="128" t="n">
        <v>345708583132.2517</v>
      </c>
      <c r="T88" s="22" t="n">
        <v>0.9041745979292733</v>
      </c>
      <c r="U88" s="142" t="n">
        <v>6267986111.111111</v>
      </c>
      <c r="V88" s="7" t="inlineStr">
        <is>
          <t>58% done</t>
        </is>
      </c>
      <c r="W88" s="128" t="n">
        <v>243197861111.11</v>
      </c>
      <c r="X88" s="128" t="n">
        <v>416403841812.7637</v>
      </c>
      <c r="Y88" s="22" t="n">
        <v>0.8561009539934255</v>
      </c>
      <c r="Z88" s="142" t="n">
        <v>5014388888.888889</v>
      </c>
      <c r="AA88" s="7" t="inlineStr">
        <is>
          <t>46% done</t>
        </is>
      </c>
    </row>
    <row r="89">
      <c r="A89" s="45" t="n">
        <v>84</v>
      </c>
      <c r="B89" s="45" t="inlineStr">
        <is>
          <t>Yr 7.0</t>
        </is>
      </c>
      <c r="H89" s="146" t="n">
        <v>0.0008258819580078125</v>
      </c>
      <c r="I89" s="146" t="n">
        <v>0</v>
      </c>
      <c r="J89" s="64" t="n">
        <v>0</v>
      </c>
      <c r="K89" s="147" t="n">
        <v>10745119047.61905</v>
      </c>
      <c r="L89" s="66" t="inlineStr">
        <is>
          <t>✓ COMPLETE</t>
        </is>
      </c>
      <c r="M89" s="139" t="n">
        <v>135388499999.9994</v>
      </c>
      <c r="N89" s="139" t="n">
        <v>254611835929.3669</v>
      </c>
      <c r="O89" s="47" t="n">
        <v>0.9403008229257579</v>
      </c>
      <c r="P89" s="143" t="n">
        <v>7521583333.333333</v>
      </c>
      <c r="Q89" s="45" t="inlineStr">
        <is>
          <t>70% done</t>
        </is>
      </c>
      <c r="R89" s="139" t="n">
        <v>188039583333.3345</v>
      </c>
      <c r="S89" s="139" t="n">
        <v>340592958964.9148</v>
      </c>
      <c r="T89" s="47" t="n">
        <v>0.9056416551432993</v>
      </c>
      <c r="U89" s="143" t="n">
        <v>6267986111.111111</v>
      </c>
      <c r="V89" s="45" t="inlineStr">
        <is>
          <t>58% done</t>
        </is>
      </c>
      <c r="W89" s="139" t="n">
        <v>240690666666.6655</v>
      </c>
      <c r="X89" s="139" t="n">
        <v>412777465729.9173</v>
      </c>
      <c r="Y89" s="47" t="n">
        <v>0.8574854011717375</v>
      </c>
      <c r="Z89" s="143" t="n">
        <v>5014388888.888889</v>
      </c>
      <c r="AA89" s="45" t="inlineStr">
        <is>
          <t>47% done</t>
        </is>
      </c>
    </row>
    <row r="90">
      <c r="A90" s="7" t="n">
        <v>85</v>
      </c>
      <c r="B90" s="7" t="inlineStr">
        <is>
          <t>Yr 7.1</t>
        </is>
      </c>
      <c r="M90" s="128" t="n">
        <v>131627708333.3328</v>
      </c>
      <c r="N90" s="128" t="n">
        <v>247938958715.7981</v>
      </c>
      <c r="O90" s="22" t="n">
        <v>0.9418190206879535</v>
      </c>
      <c r="P90" s="142" t="n">
        <v>7521583333.333333</v>
      </c>
      <c r="Q90" s="7" t="inlineStr">
        <is>
          <t>71% done</t>
        </is>
      </c>
      <c r="R90" s="128" t="n">
        <v>184905590277.7789</v>
      </c>
      <c r="S90" s="128" t="n">
        <v>335460282717.0201</v>
      </c>
      <c r="T90" s="22" t="n">
        <v>0.9071123328750275</v>
      </c>
      <c r="U90" s="142" t="n">
        <v>6267986111.111111</v>
      </c>
      <c r="V90" s="7" t="inlineStr">
        <is>
          <t>59% done</t>
        </is>
      </c>
      <c r="W90" s="128" t="n">
        <v>238183472222.2211</v>
      </c>
      <c r="X90" s="128" t="n">
        <v>409139001726.7948</v>
      </c>
      <c r="Y90" s="22" t="n">
        <v>0.8588736193774923</v>
      </c>
      <c r="Z90" s="142" t="n">
        <v>5014388888.888889</v>
      </c>
      <c r="AA90" s="7" t="inlineStr">
        <is>
          <t>47% done</t>
        </is>
      </c>
    </row>
    <row r="91">
      <c r="A91" s="45" t="n">
        <v>86</v>
      </c>
      <c r="B91" s="45" t="inlineStr">
        <is>
          <t>Yr 7.2</t>
        </is>
      </c>
      <c r="M91" s="139" t="n">
        <v>127866916666.6661</v>
      </c>
      <c r="N91" s="139" t="n">
        <v>241243838578.1841</v>
      </c>
      <c r="O91" s="47" t="n">
        <v>0.943339547347803</v>
      </c>
      <c r="P91" s="143" t="n">
        <v>7521583333.333333</v>
      </c>
      <c r="Q91" s="45" t="inlineStr">
        <is>
          <t>72% done</t>
        </is>
      </c>
      <c r="R91" s="139" t="n">
        <v>181771597222.2234</v>
      </c>
      <c r="S91" s="139" t="n">
        <v>330310497548.2991</v>
      </c>
      <c r="T91" s="47" t="n">
        <v>0.9085866620418168</v>
      </c>
      <c r="U91" s="143" t="n">
        <v>6267986111.111111</v>
      </c>
      <c r="V91" s="45" t="inlineStr">
        <is>
          <t>60% done</t>
        </is>
      </c>
      <c r="W91" s="139" t="n">
        <v>235676277777.7766</v>
      </c>
      <c r="X91" s="139" t="n">
        <v>405488409510.3286</v>
      </c>
      <c r="Y91" s="47" t="n">
        <v>0.8602656434787018</v>
      </c>
      <c r="Z91" s="143" t="n">
        <v>5014388888.888889</v>
      </c>
      <c r="AA91" s="45" t="inlineStr">
        <is>
          <t>48% done</t>
        </is>
      </c>
    </row>
    <row r="92">
      <c r="A92" s="7" t="n">
        <v>87</v>
      </c>
      <c r="B92" s="7" t="inlineStr">
        <is>
          <t>Yr 7.2</t>
        </is>
      </c>
      <c r="M92" s="128" t="n">
        <v>124106124999.9994</v>
      </c>
      <c r="N92" s="128" t="n">
        <v>234526401373.4447</v>
      </c>
      <c r="O92" s="22" t="n">
        <v>0.9448623159148904</v>
      </c>
      <c r="P92" s="142" t="n">
        <v>7521583333.333333</v>
      </c>
      <c r="Q92" s="7" t="inlineStr">
        <is>
          <t>72% done</t>
        </is>
      </c>
      <c r="R92" s="128" t="n">
        <v>178637604166.6678</v>
      </c>
      <c r="S92" s="128" t="n">
        <v>325143546429.0156</v>
      </c>
      <c r="T92" s="22" t="n">
        <v>0.9100646752003531</v>
      </c>
      <c r="U92" s="142" t="n">
        <v>6267986111.111111</v>
      </c>
      <c r="V92" s="7" t="inlineStr">
        <is>
          <t>60% done</t>
        </is>
      </c>
      <c r="W92" s="128" t="n">
        <v>233169083333.3322</v>
      </c>
      <c r="X92" s="128" t="n">
        <v>401825648653.1407</v>
      </c>
      <c r="Y92" s="22" t="n">
        <v>0.8616615095550677</v>
      </c>
      <c r="Z92" s="142" t="n">
        <v>5014388888.888889</v>
      </c>
      <c r="AA92" s="7" t="inlineStr">
        <is>
          <t>48% done</t>
        </is>
      </c>
    </row>
    <row r="93">
      <c r="A93" s="45" t="n">
        <v>88</v>
      </c>
      <c r="B93" s="45" t="inlineStr">
        <is>
          <t>Yr 7.3</t>
        </is>
      </c>
      <c r="M93" s="139" t="n">
        <v>120345333333.3327</v>
      </c>
      <c r="N93" s="139" t="n">
        <v>227786572711.3561</v>
      </c>
      <c r="O93" s="47" t="n">
        <v>0.9463872274981882</v>
      </c>
      <c r="P93" s="143" t="n">
        <v>7521583333.333333</v>
      </c>
      <c r="Q93" s="45" t="inlineStr">
        <is>
          <t>73% done</t>
        </is>
      </c>
      <c r="R93" s="139" t="n">
        <v>175503611111.1123</v>
      </c>
      <c r="S93" s="139" t="n">
        <v>319959372139.3346</v>
      </c>
      <c r="T93" s="47" t="n">
        <v>0.9115464066912178</v>
      </c>
      <c r="U93" s="143" t="n">
        <v>6267986111.111111</v>
      </c>
      <c r="V93" s="45" t="inlineStr">
        <is>
          <t>61% done</t>
        </is>
      </c>
      <c r="W93" s="139" t="n">
        <v>230661888888.8877</v>
      </c>
      <c r="X93" s="139" t="n">
        <v>398150678593.0956</v>
      </c>
      <c r="Y93" s="47" t="n">
        <v>0.8630612549628628</v>
      </c>
      <c r="Z93" s="143" t="n">
        <v>5014388888.888889</v>
      </c>
      <c r="AA93" s="45" t="inlineStr">
        <is>
          <t>49% done</t>
        </is>
      </c>
    </row>
    <row r="94">
      <c r="A94" s="7" t="n">
        <v>89</v>
      </c>
      <c r="B94" s="7" t="inlineStr">
        <is>
          <t>Yr 7.4</t>
        </is>
      </c>
      <c r="M94" s="128" t="n">
        <v>116584541666.6661</v>
      </c>
      <c r="N94" s="128" t="n">
        <v>221024277953.7273</v>
      </c>
      <c r="O94" s="22" t="n">
        <v>0.9479141693830697</v>
      </c>
      <c r="P94" s="142" t="n">
        <v>7521583333.333333</v>
      </c>
      <c r="Q94" s="7" t="inlineStr">
        <is>
          <t>74% done</t>
        </is>
      </c>
      <c r="R94" s="128" t="n">
        <v>172369618055.5568</v>
      </c>
      <c r="S94" s="128" t="n">
        <v>314757917268.688</v>
      </c>
      <c r="T94" s="22" t="n">
        <v>0.9130318927992223</v>
      </c>
      <c r="U94" s="142" t="n">
        <v>6267986111.111111</v>
      </c>
      <c r="V94" s="7" t="inlineStr">
        <is>
          <t>62% done</t>
        </is>
      </c>
      <c r="W94" s="128" t="n">
        <v>228154694444.4432</v>
      </c>
      <c r="X94" s="128" t="n">
        <v>394463458632.8504</v>
      </c>
      <c r="Y94" s="22" t="n">
        <v>0.8644649184040878</v>
      </c>
      <c r="Z94" s="142" t="n">
        <v>5014388888.888889</v>
      </c>
      <c r="AA94" s="7" t="inlineStr">
        <is>
          <t>49% done</t>
        </is>
      </c>
    </row>
    <row r="95">
      <c r="A95" s="45" t="n">
        <v>90</v>
      </c>
      <c r="B95" s="45" t="inlineStr">
        <is>
          <t>Yr 7.5</t>
        </is>
      </c>
      <c r="M95" s="139" t="n">
        <v>112823749999.9994</v>
      </c>
      <c r="N95" s="139" t="n">
        <v>214239442213.5731</v>
      </c>
      <c r="O95" s="47" t="n">
        <v>0.9494430127237137</v>
      </c>
      <c r="P95" s="143" t="n">
        <v>7521583333.333333</v>
      </c>
      <c r="Q95" s="45" t="inlineStr">
        <is>
          <t>75% done</t>
        </is>
      </c>
      <c r="R95" s="139" t="n">
        <v>169235625000.0012</v>
      </c>
      <c r="S95" s="139" t="n">
        <v>309539124215.1392</v>
      </c>
      <c r="T95" s="47" t="n">
        <v>0.914521171931551</v>
      </c>
      <c r="U95" s="143" t="n">
        <v>6267986111.111111</v>
      </c>
      <c r="V95" s="45" t="inlineStr">
        <is>
          <t>62% done</t>
        </is>
      </c>
      <c r="W95" s="139" t="n">
        <v>225647499999.9988</v>
      </c>
      <c r="X95" s="139" t="n">
        <v>390763947939.4043</v>
      </c>
      <c r="Y95" s="47" t="n">
        <v>0.8658725400002358</v>
      </c>
      <c r="Z95" s="143" t="n">
        <v>5014388888.888889</v>
      </c>
      <c r="AA95" s="45" t="inlineStr">
        <is>
          <t>50% done</t>
        </is>
      </c>
    </row>
    <row r="96">
      <c r="A96" s="7" t="n">
        <v>91</v>
      </c>
      <c r="B96" s="7" t="inlineStr">
        <is>
          <t>Yr 7.6</t>
        </is>
      </c>
      <c r="M96" s="128" t="n">
        <v>109062958333.3327</v>
      </c>
      <c r="N96" s="128" t="n">
        <v>207431990354.285</v>
      </c>
      <c r="O96" s="22" t="n">
        <v>0.9509736097580616</v>
      </c>
      <c r="P96" s="142" t="n">
        <v>7521583333.333333</v>
      </c>
      <c r="Q96" s="7" t="inlineStr">
        <is>
          <t>76% done</t>
        </is>
      </c>
      <c r="R96" s="128" t="n">
        <v>166101631944.4457</v>
      </c>
      <c r="S96" s="128" t="n">
        <v>304302935184.7452</v>
      </c>
      <c r="T96" s="22" t="n">
        <v>0.9160142848160647</v>
      </c>
      <c r="U96" s="142" t="n">
        <v>6267986111.111111</v>
      </c>
      <c r="V96" s="7" t="inlineStr">
        <is>
          <t>63% done</t>
        </is>
      </c>
      <c r="W96" s="128" t="n">
        <v>223140305555.5543</v>
      </c>
      <c r="X96" s="128" t="n">
        <v>387052105543.6467</v>
      </c>
      <c r="Y96" s="22" t="n">
        <v>0.8672841613710257</v>
      </c>
      <c r="Z96" s="142" t="n">
        <v>5014388888.888889</v>
      </c>
      <c r="AA96" s="7" t="inlineStr">
        <is>
          <t>51% done</t>
        </is>
      </c>
    </row>
    <row r="97">
      <c r="A97" s="45" t="n">
        <v>92</v>
      </c>
      <c r="B97" s="45" t="inlineStr">
        <is>
          <t>Yr 7.7</t>
        </is>
      </c>
      <c r="M97" s="139" t="n">
        <v>105302166666.6661</v>
      </c>
      <c r="N97" s="139" t="n">
        <v>200601846988.7993</v>
      </c>
      <c r="O97" s="47" t="n">
        <v>0.9525057904259666</v>
      </c>
      <c r="P97" s="143" t="n">
        <v>7521583333.333333</v>
      </c>
      <c r="Q97" s="45" t="inlineStr">
        <is>
          <t>77% done</t>
        </is>
      </c>
      <c r="R97" s="139" t="n">
        <v>162967638888.8901</v>
      </c>
      <c r="S97" s="139" t="n">
        <v>299049292190.9166</v>
      </c>
      <c r="T97" s="47" t="n">
        <v>0.9175112747224795</v>
      </c>
      <c r="U97" s="143" t="n">
        <v>6267986111.111111</v>
      </c>
      <c r="V97" s="45" t="inlineStr">
        <is>
          <t>64% done</t>
        </is>
      </c>
      <c r="W97" s="139" t="n">
        <v>220633111111.1099</v>
      </c>
      <c r="X97" s="139" t="n">
        <v>383327890339.9033</v>
      </c>
      <c r="Y97" s="47" t="n">
        <v>0.8686998257185004</v>
      </c>
      <c r="Z97" s="143" t="n">
        <v>5014388888.888889</v>
      </c>
      <c r="AA97" s="45" t="inlineStr">
        <is>
          <t>51% done</t>
        </is>
      </c>
    </row>
    <row r="98">
      <c r="A98" s="7" t="n">
        <v>93</v>
      </c>
      <c r="B98" s="7" t="inlineStr">
        <is>
          <t>Yr 7.8</t>
        </is>
      </c>
      <c r="M98" s="128" t="n">
        <v>101541374999.9994</v>
      </c>
      <c r="N98" s="128" t="n">
        <v>193748936478.7619</v>
      </c>
      <c r="O98" s="22" t="n">
        <v>0.9540393582358081</v>
      </c>
      <c r="P98" s="142" t="n">
        <v>7521583333.333333</v>
      </c>
      <c r="Q98" s="7" t="inlineStr">
        <is>
          <t>78% done</t>
        </is>
      </c>
      <c r="R98" s="128" t="n">
        <v>159833645833.3346</v>
      </c>
      <c r="S98" s="128" t="n">
        <v>293778137053.7753</v>
      </c>
      <c r="T98" s="22" t="n">
        <v>0.9190121877095588</v>
      </c>
      <c r="U98" s="142" t="n">
        <v>6267986111.111111</v>
      </c>
      <c r="V98" s="7" t="inlineStr">
        <is>
          <t>65% done</t>
        </is>
      </c>
      <c r="W98" s="128" t="n">
        <v>218125916666.6654</v>
      </c>
      <c r="X98" s="128" t="n">
        <v>379591261085.4808</v>
      </c>
      <c r="Y98" s="22" t="n">
        <v>0.870119577916921</v>
      </c>
      <c r="Z98" s="142" t="n">
        <v>5014388888.888889</v>
      </c>
      <c r="AA98" s="7" t="inlineStr">
        <is>
          <t>52% done</t>
        </is>
      </c>
    </row>
    <row r="99">
      <c r="A99" s="45" t="n">
        <v>94</v>
      </c>
      <c r="B99" s="45" t="inlineStr">
        <is>
          <t>Yr 7.8</t>
        </is>
      </c>
      <c r="M99" s="139" t="n">
        <v>97780583333.33272</v>
      </c>
      <c r="N99" s="139" t="n">
        <v>186873182933.6911</v>
      </c>
      <c r="O99" s="47" t="n">
        <v>0.9555740851772324</v>
      </c>
      <c r="P99" s="143" t="n">
        <v>7521583333.333333</v>
      </c>
      <c r="Q99" s="45" t="inlineStr">
        <is>
          <t>78% done</t>
        </is>
      </c>
      <c r="R99" s="139" t="n">
        <v>156699652777.7791</v>
      </c>
      <c r="S99" s="139" t="n">
        <v>288489411399.5101</v>
      </c>
      <c r="T99" s="47" t="n">
        <v>0.9205170729019626</v>
      </c>
      <c r="U99" s="143" t="n">
        <v>6267986111.111111</v>
      </c>
      <c r="V99" s="45" t="inlineStr">
        <is>
          <t>65% done</t>
        </is>
      </c>
      <c r="W99" s="139" t="n">
        <v>215618722222.2209</v>
      </c>
      <c r="X99" s="139" t="n">
        <v>375842176400.2101</v>
      </c>
      <c r="Y99" s="47" t="n">
        <v>0.8715434646089306</v>
      </c>
      <c r="Z99" s="143" t="n">
        <v>5014388888.888889</v>
      </c>
      <c r="AA99" s="45" t="inlineStr">
        <is>
          <t>52% done</t>
        </is>
      </c>
    </row>
    <row r="100">
      <c r="A100" s="7" t="n">
        <v>95</v>
      </c>
      <c r="B100" s="7" t="inlineStr">
        <is>
          <t>Yr 7.9</t>
        </is>
      </c>
      <c r="M100" s="128" t="n">
        <v>94019791666.66605</v>
      </c>
      <c r="N100" s="128" t="n">
        <v>179974510210.1367</v>
      </c>
      <c r="O100" s="22" t="n">
        <v>0.9571097054129361</v>
      </c>
      <c r="P100" s="142" t="n">
        <v>7521583333.333333</v>
      </c>
      <c r="Q100" s="7" t="inlineStr">
        <is>
          <t>79% done</t>
        </is>
      </c>
      <c r="R100" s="128" t="n">
        <v>153565659722.2235</v>
      </c>
      <c r="S100" s="128" t="n">
        <v>283183056659.7308</v>
      </c>
      <c r="T100" s="22" t="n">
        <v>0.922025982800989</v>
      </c>
      <c r="U100" s="142" t="n">
        <v>6267986111.111111</v>
      </c>
      <c r="V100" s="7" t="inlineStr">
        <is>
          <t>66% done</t>
        </is>
      </c>
      <c r="W100" s="128" t="n">
        <v>213111527777.7765</v>
      </c>
      <c r="X100" s="128" t="n">
        <v>372080594765.9886</v>
      </c>
      <c r="Y100" s="22" t="n">
        <v>0.8729715343085011</v>
      </c>
      <c r="Z100" s="142" t="n">
        <v>5014388888.888889</v>
      </c>
      <c r="AA100" s="7" t="inlineStr">
        <is>
          <t>53% done</t>
        </is>
      </c>
    </row>
    <row r="101">
      <c r="A101" s="45" t="n">
        <v>96</v>
      </c>
      <c r="B101" s="45" t="inlineStr">
        <is>
          <t>Yr 8.0</t>
        </is>
      </c>
      <c r="M101" s="139" t="n">
        <v>90258999999.99937</v>
      </c>
      <c r="N101" s="139" t="n">
        <v>173052841910.8372</v>
      </c>
      <c r="O101" s="47" t="n">
        <v>0.9586459073933811</v>
      </c>
      <c r="P101" s="143" t="n">
        <v>7521583333.333333</v>
      </c>
      <c r="Q101" s="45" t="inlineStr">
        <is>
          <t>80% done</t>
        </is>
      </c>
      <c r="R101" s="139" t="n">
        <v>150431666666.668</v>
      </c>
      <c r="S101" s="139" t="n">
        <v>277859014070.8188</v>
      </c>
      <c r="T101" s="47" t="n">
        <v>0.9235389736341518</v>
      </c>
      <c r="U101" s="143" t="n">
        <v>6267986111.111111</v>
      </c>
      <c r="V101" s="45" t="inlineStr">
        <is>
          <t>67% done</t>
        </is>
      </c>
      <c r="W101" s="139" t="n">
        <v>210604333333.332</v>
      </c>
      <c r="X101" s="139" t="n">
        <v>368306474526.3196</v>
      </c>
      <c r="Y101" s="47" t="n">
        <v>0.8744038375112302</v>
      </c>
      <c r="Z101" s="143" t="n">
        <v>5014388888.888889</v>
      </c>
      <c r="AA101" s="45" t="inlineStr">
        <is>
          <t>53% done</t>
        </is>
      </c>
    </row>
    <row r="102">
      <c r="A102" s="7" t="n">
        <v>97</v>
      </c>
      <c r="B102" s="7" t="inlineStr">
        <is>
          <t>Yr 8.1</t>
        </is>
      </c>
      <c r="M102" s="144" t="n">
        <v>86498208333.3327</v>
      </c>
      <c r="N102" s="144" t="n">
        <v>166108101383.8733</v>
      </c>
      <c r="O102" s="60" t="n">
        <v>0.9601823239144615</v>
      </c>
      <c r="P102" s="145" t="n">
        <v>7521583333.333333</v>
      </c>
      <c r="Q102" s="62" t="inlineStr">
        <is>
          <t>81% done</t>
        </is>
      </c>
      <c r="R102" s="128" t="n">
        <v>147297673611.1124</v>
      </c>
      <c r="S102" s="128" t="n">
        <v>272517224673.2771</v>
      </c>
      <c r="T102" s="22" t="n">
        <v>0.9250561057493777</v>
      </c>
      <c r="U102" s="142" t="n">
        <v>6267986111.111111</v>
      </c>
      <c r="V102" s="7" t="inlineStr">
        <is>
          <t>67% done</t>
        </is>
      </c>
      <c r="W102" s="128" t="n">
        <v>208097138888.8876</v>
      </c>
      <c r="X102" s="128" t="n">
        <v>364519773885.8518</v>
      </c>
      <c r="Y102" s="22" t="n">
        <v>0.8758404268126082</v>
      </c>
      <c r="Z102" s="142" t="n">
        <v>5014388888.888889</v>
      </c>
      <c r="AA102" s="7" t="inlineStr">
        <is>
          <t>54% done</t>
        </is>
      </c>
    </row>
    <row r="103">
      <c r="A103" s="45" t="n">
        <v>98</v>
      </c>
      <c r="B103" s="45" t="inlineStr">
        <is>
          <t>Yr 8.2</t>
        </is>
      </c>
      <c r="M103" s="144" t="n">
        <v>82737416666.66603</v>
      </c>
      <c r="N103" s="144" t="n">
        <v>159140211721.8195</v>
      </c>
      <c r="O103" s="60" t="n">
        <v>0.9617185194636085</v>
      </c>
      <c r="P103" s="145" t="n">
        <v>7521583333.333333</v>
      </c>
      <c r="Q103" s="62" t="inlineStr">
        <is>
          <t>82% done</t>
        </is>
      </c>
      <c r="R103" s="139" t="n">
        <v>144163680555.5569</v>
      </c>
      <c r="S103" s="139" t="n">
        <v>267157629311.0769</v>
      </c>
      <c r="T103" s="47" t="n">
        <v>0.9265774440606119</v>
      </c>
      <c r="U103" s="143" t="n">
        <v>6267986111.111111</v>
      </c>
      <c r="V103" s="45" t="inlineStr">
        <is>
          <t>68% done</t>
        </is>
      </c>
      <c r="W103" s="139" t="n">
        <v>205589944444.4431</v>
      </c>
      <c r="X103" s="139" t="n">
        <v>360720450909.9157</v>
      </c>
      <c r="Y103" s="47" t="n">
        <v>0.8772813570349345</v>
      </c>
      <c r="Z103" s="143" t="n">
        <v>5014388888.888889</v>
      </c>
      <c r="AA103" s="45" t="inlineStr">
        <is>
          <t>54% done</t>
        </is>
      </c>
    </row>
    <row r="104">
      <c r="A104" s="7" t="n">
        <v>99</v>
      </c>
      <c r="B104" s="7" t="inlineStr">
        <is>
          <t>Yr 8.2</t>
        </is>
      </c>
      <c r="M104" s="144" t="n">
        <v>78976624999.99936</v>
      </c>
      <c r="N104" s="144" t="n">
        <v>152149095760.8922</v>
      </c>
      <c r="O104" s="60" t="n">
        <v>0.9632539739504786</v>
      </c>
      <c r="P104" s="145" t="n">
        <v>7521583333.333333</v>
      </c>
      <c r="Q104" s="62" t="inlineStr">
        <is>
          <t>82% done</t>
        </is>
      </c>
      <c r="R104" s="128" t="n">
        <v>141029687500.0013</v>
      </c>
      <c r="S104" s="128" t="n">
        <v>261780168631.0027</v>
      </c>
      <c r="T104" s="22" t="n">
        <v>0.9281030585528319</v>
      </c>
      <c r="U104" s="142" t="n">
        <v>6267986111.111111</v>
      </c>
      <c r="V104" s="7" t="inlineStr">
        <is>
          <t>69% done</t>
        </is>
      </c>
      <c r="W104" s="128" t="n">
        <v>203082749999.9987</v>
      </c>
      <c r="X104" s="128" t="n">
        <v>356908463524.0599</v>
      </c>
      <c r="Y104" s="22" t="n">
        <v>0.8787266853636319</v>
      </c>
      <c r="Z104" s="142" t="n">
        <v>5014388888.888889</v>
      </c>
      <c r="AA104" s="7" t="inlineStr">
        <is>
          <t>55% done</t>
        </is>
      </c>
    </row>
    <row r="105">
      <c r="A105" s="45" t="n">
        <v>100</v>
      </c>
      <c r="B105" s="45" t="inlineStr">
        <is>
          <t>Yr 8.3</t>
        </is>
      </c>
      <c r="M105" s="144" t="n">
        <v>75215833333.33269</v>
      </c>
      <c r="N105" s="144" t="n">
        <v>145134676080.0952</v>
      </c>
      <c r="O105" s="60" t="n">
        <v>0.9647880615568293</v>
      </c>
      <c r="P105" s="145" t="n">
        <v>7521583333.333333</v>
      </c>
      <c r="Q105" s="62" t="inlineStr">
        <is>
          <t>83% done</t>
        </is>
      </c>
      <c r="R105" s="139" t="n">
        <v>137895694444.4458</v>
      </c>
      <c r="S105" s="139" t="n">
        <v>256384783081.9949</v>
      </c>
      <c r="T105" s="47" t="n">
        <v>0.9296330248559173</v>
      </c>
      <c r="U105" s="143" t="n">
        <v>6267986111.111111</v>
      </c>
      <c r="V105" s="45" t="inlineStr">
        <is>
          <t>69% done</t>
        </is>
      </c>
      <c r="W105" s="139" t="n">
        <v>200575555555.5542</v>
      </c>
      <c r="X105" s="139" t="n">
        <v>353083769513.5845</v>
      </c>
      <c r="Y105" s="47" t="n">
        <v>0.8801764714937795</v>
      </c>
      <c r="Z105" s="143" t="n">
        <v>5014388888.888889</v>
      </c>
      <c r="AA105" s="45" t="inlineStr">
        <is>
          <t>56% done</t>
        </is>
      </c>
    </row>
    <row r="106">
      <c r="A106" s="7" t="n">
        <v>101</v>
      </c>
      <c r="B106" s="7" t="inlineStr">
        <is>
          <t>Yr 8.4</t>
        </is>
      </c>
      <c r="M106" s="144" t="n">
        <v>71455041666.66602</v>
      </c>
      <c r="N106" s="144" t="n">
        <v>138096875000.3622</v>
      </c>
      <c r="O106" s="60" t="n">
        <v>0.9663200229073881</v>
      </c>
      <c r="P106" s="145" t="n">
        <v>7521583333.333333</v>
      </c>
      <c r="Q106" s="62" t="inlineStr">
        <is>
          <t>84% done</t>
        </is>
      </c>
      <c r="R106" s="128" t="n">
        <v>134761701388.8902</v>
      </c>
      <c r="S106" s="128" t="n">
        <v>250971412914.4904</v>
      </c>
      <c r="T106" s="22" t="n">
        <v>0.9311674248985867</v>
      </c>
      <c r="U106" s="142" t="n">
        <v>6267986111.111111</v>
      </c>
      <c r="V106" s="7" t="inlineStr">
        <is>
          <t>70% done</t>
        </is>
      </c>
      <c r="W106" s="128" t="n">
        <v>198068361111.1097</v>
      </c>
      <c r="X106" s="128" t="n">
        <v>349246326523.0742</v>
      </c>
      <c r="Y106" s="22" t="n">
        <v>0.8816307777877725</v>
      </c>
      <c r="Z106" s="142" t="n">
        <v>5014388888.888889</v>
      </c>
      <c r="AA106" s="7" t="inlineStr">
        <is>
          <t>56% done</t>
        </is>
      </c>
    </row>
    <row r="107">
      <c r="A107" s="45" t="n">
        <v>102</v>
      </c>
      <c r="B107" s="45" t="inlineStr">
        <is>
          <t>Yr 8.5</t>
        </is>
      </c>
      <c r="M107" s="144" t="n">
        <v>67694249999.99935</v>
      </c>
      <c r="N107" s="144" t="n">
        <v>131035614583.6967</v>
      </c>
      <c r="O107" s="60" t="n">
        <v>0.9678489279643245</v>
      </c>
      <c r="P107" s="145" t="n">
        <v>7521583333.333333</v>
      </c>
      <c r="Q107" s="62" t="inlineStr">
        <is>
          <t>85% done</t>
        </is>
      </c>
      <c r="R107" s="139" t="n">
        <v>131627708333.3347</v>
      </c>
      <c r="S107" s="139" t="n">
        <v>245539998179.761</v>
      </c>
      <c r="T107" s="47" t="n">
        <v>0.9327063476557467</v>
      </c>
      <c r="U107" s="143" t="n">
        <v>6267986111.111111</v>
      </c>
      <c r="V107" s="45" t="inlineStr">
        <is>
          <t>71% done</t>
        </is>
      </c>
      <c r="W107" s="139" t="n">
        <v>195561166666.6653</v>
      </c>
      <c r="X107" s="139" t="n">
        <v>345396092055.9288</v>
      </c>
      <c r="Y107" s="47" t="n">
        <v>0.8830896694451044</v>
      </c>
      <c r="Z107" s="143" t="n">
        <v>5014388888.888889</v>
      </c>
      <c r="AA107" s="45" t="inlineStr">
        <is>
          <t>57% done</t>
        </is>
      </c>
    </row>
    <row r="108">
      <c r="A108" s="7" t="n">
        <v>103</v>
      </c>
      <c r="B108" s="7" t="inlineStr">
        <is>
          <t>Yr 8.6</t>
        </is>
      </c>
      <c r="M108" s="144" t="n">
        <v>63933458333.33269</v>
      </c>
      <c r="N108" s="144" t="n">
        <v>123950816632.309</v>
      </c>
      <c r="O108" s="60" t="n">
        <v>0.9693736258256295</v>
      </c>
      <c r="P108" s="145" t="n">
        <v>7521583333.333333</v>
      </c>
      <c r="Q108" s="62" t="inlineStr">
        <is>
          <t>86% done</t>
        </is>
      </c>
      <c r="R108" s="128" t="n">
        <v>128493715277.7791</v>
      </c>
      <c r="S108" s="128" t="n">
        <v>240090478729.2491</v>
      </c>
      <c r="T108" s="22" t="n">
        <v>0.9342498900051991</v>
      </c>
      <c r="U108" s="142" t="n">
        <v>6267986111.111111</v>
      </c>
      <c r="V108" s="7" t="inlineStr">
        <is>
          <t>72% done</t>
        </is>
      </c>
      <c r="W108" s="128" t="n">
        <v>193053972222.2208</v>
      </c>
      <c r="X108" s="128" t="n">
        <v>341533023473.893</v>
      </c>
      <c r="Y108" s="22" t="n">
        <v>0.884553214685375</v>
      </c>
      <c r="Z108" s="142" t="n">
        <v>5014388888.888889</v>
      </c>
      <c r="AA108" s="7" t="inlineStr">
        <is>
          <t>57% done</t>
        </is>
      </c>
    </row>
    <row r="109">
      <c r="A109" s="45" t="n">
        <v>104</v>
      </c>
      <c r="B109" s="45" t="inlineStr">
        <is>
          <t>Yr 8.7</t>
        </is>
      </c>
      <c r="M109" s="144" t="n">
        <v>60172666666.66602</v>
      </c>
      <c r="N109" s="144" t="n">
        <v>116842402687.7501</v>
      </c>
      <c r="O109" s="60" t="n">
        <v>0.9708926756978637</v>
      </c>
      <c r="P109" s="145" t="n">
        <v>7521583333.333333</v>
      </c>
      <c r="Q109" s="62" t="inlineStr">
        <is>
          <t>87% done</t>
        </is>
      </c>
      <c r="R109" s="139" t="n">
        <v>125359722222.2236</v>
      </c>
      <c r="S109" s="139" t="n">
        <v>234622794213.9021</v>
      </c>
      <c r="T109" s="47" t="n">
        <v>0.9357981577128469</v>
      </c>
      <c r="U109" s="143" t="n">
        <v>6267986111.111111</v>
      </c>
      <c r="V109" s="45" t="inlineStr">
        <is>
          <t>72% done</t>
        </is>
      </c>
      <c r="W109" s="139" t="n">
        <v>190546777777.7764</v>
      </c>
      <c r="X109" s="139" t="n">
        <v>337657077996.5837</v>
      </c>
      <c r="Y109" s="47" t="n">
        <v>0.8860214849457427</v>
      </c>
      <c r="Z109" s="143" t="n">
        <v>5014388888.888889</v>
      </c>
      <c r="AA109" s="45" t="inlineStr">
        <is>
          <t>58% done</t>
        </is>
      </c>
    </row>
    <row r="110">
      <c r="A110" s="7" t="n">
        <v>105</v>
      </c>
      <c r="B110" s="7" t="inlineStr">
        <is>
          <t>Yr 8.8</t>
        </is>
      </c>
      <c r="M110" s="144" t="n">
        <v>56411874999.99936</v>
      </c>
      <c r="N110" s="144" t="n">
        <v>109710294030.0426</v>
      </c>
      <c r="O110" s="60" t="n">
        <v>0.9724042502579804</v>
      </c>
      <c r="P110" s="145" t="n">
        <v>7521583333.333333</v>
      </c>
      <c r="Q110" s="62" t="inlineStr">
        <is>
          <t>88% done</t>
        </is>
      </c>
      <c r="R110" s="128" t="n">
        <v>122225729166.668</v>
      </c>
      <c r="S110" s="128" t="n">
        <v>229136884083.504</v>
      </c>
      <c r="T110" s="22" t="n">
        <v>0.9373512665694596</v>
      </c>
      <c r="U110" s="142" t="n">
        <v>6267986111.111111</v>
      </c>
      <c r="V110" s="7" t="inlineStr">
        <is>
          <t>73% done</t>
        </is>
      </c>
      <c r="W110" s="128" t="n">
        <v>188039583333.3319</v>
      </c>
      <c r="X110" s="128" t="n">
        <v>333768212701.0168</v>
      </c>
      <c r="Y110" s="22" t="n">
        <v>0.8874945550941694</v>
      </c>
      <c r="Z110" s="142" t="n">
        <v>5014388888.888889</v>
      </c>
      <c r="AA110" s="7" t="inlineStr">
        <is>
          <t>58% done</t>
        </is>
      </c>
    </row>
    <row r="111">
      <c r="A111" s="45" t="n">
        <v>106</v>
      </c>
      <c r="B111" s="45" t="inlineStr">
        <is>
          <t>Yr 8.8</t>
        </is>
      </c>
      <c r="M111" s="144" t="n">
        <v>52651083333.3327</v>
      </c>
      <c r="N111" s="144" t="n">
        <v>102554411676.8094</v>
      </c>
      <c r="O111" s="60" t="n">
        <v>0.9739059975987575</v>
      </c>
      <c r="P111" s="145" t="n">
        <v>7521583333.333333</v>
      </c>
      <c r="Q111" s="62" t="inlineStr">
        <is>
          <t>88% done</t>
        </is>
      </c>
      <c r="R111" s="139" t="n">
        <v>119091736111.1125</v>
      </c>
      <c r="S111" s="139" t="n">
        <v>223632687586.0046</v>
      </c>
      <c r="T111" s="47" t="n">
        <v>0.9389093437069199</v>
      </c>
      <c r="U111" s="143" t="n">
        <v>6267986111.111111</v>
      </c>
      <c r="V111" s="45" t="inlineStr">
        <is>
          <t>74% done</t>
        </is>
      </c>
      <c r="W111" s="139" t="n">
        <v>185532388888.8875</v>
      </c>
      <c r="X111" s="139" t="n">
        <v>329866384521.1313</v>
      </c>
      <c r="Y111" s="47" t="n">
        <v>0.8889725036599493</v>
      </c>
      <c r="Z111" s="143" t="n">
        <v>5014388888.888889</v>
      </c>
      <c r="AA111" s="45" t="inlineStr">
        <is>
          <t>59% done</t>
        </is>
      </c>
    </row>
    <row r="112">
      <c r="A112" s="7" t="n">
        <v>107</v>
      </c>
      <c r="B112" s="7" t="inlineStr">
        <is>
          <t>Yr 8.9</t>
        </is>
      </c>
      <c r="M112" s="144" t="n">
        <v>48890291666.66603</v>
      </c>
      <c r="N112" s="144" t="n">
        <v>95374676382.39876</v>
      </c>
      <c r="O112" s="60" t="n">
        <v>0.9753948394567088</v>
      </c>
      <c r="P112" s="145" t="n">
        <v>7521583333.333333</v>
      </c>
      <c r="Q112" s="62" t="inlineStr">
        <is>
          <t>89% done</t>
        </is>
      </c>
      <c r="R112" s="128" t="n">
        <v>115957743055.5569</v>
      </c>
      <c r="S112" s="128" t="n">
        <v>218110143766.8468</v>
      </c>
      <c r="T112" s="22" t="n">
        <v>0.9404725291279054</v>
      </c>
      <c r="U112" s="142" t="n">
        <v>6267986111.111111</v>
      </c>
      <c r="V112" s="7" t="inlineStr">
        <is>
          <t>74% done</t>
        </is>
      </c>
      <c r="W112" s="128" t="n">
        <v>183025194444.443</v>
      </c>
      <c r="X112" s="128" t="n">
        <v>325951550247.3128</v>
      </c>
      <c r="Y112" s="22" t="n">
        <v>0.8904554130831831</v>
      </c>
      <c r="Z112" s="142" t="n">
        <v>5014388888.888889</v>
      </c>
      <c r="AA112" s="7" t="inlineStr">
        <is>
          <t>59% done</t>
        </is>
      </c>
    </row>
    <row r="113">
      <c r="A113" s="45" t="n">
        <v>108</v>
      </c>
      <c r="B113" s="45" t="inlineStr">
        <is>
          <t>Yr 9.0</t>
        </is>
      </c>
      <c r="M113" s="144" t="n">
        <v>45129499999.99937</v>
      </c>
      <c r="N113" s="144" t="n">
        <v>88171008637.00676</v>
      </c>
      <c r="O113" s="60" t="n">
        <v>0.976866668553917</v>
      </c>
      <c r="P113" s="145" t="n">
        <v>7521583333.333333</v>
      </c>
      <c r="Q113" s="62" t="inlineStr">
        <is>
          <t>90% done</t>
        </is>
      </c>
      <c r="R113" s="139" t="n">
        <v>112823750000.0013</v>
      </c>
      <c r="S113" s="139" t="n">
        <v>212569191468.2918</v>
      </c>
      <c r="T113" s="47" t="n">
        <v>0.9420409774905076</v>
      </c>
      <c r="U113" s="143" t="n">
        <v>6267986111.111111</v>
      </c>
      <c r="V113" s="45" t="inlineStr">
        <is>
          <t>75% done</t>
        </is>
      </c>
      <c r="W113" s="139" t="n">
        <v>180517999999.9985</v>
      </c>
      <c r="X113" s="139" t="n">
        <v>322023666525.9149</v>
      </c>
      <c r="Y113" s="47" t="n">
        <v>0.8919433699850362</v>
      </c>
      <c r="Z113" s="143" t="n">
        <v>5014388888.888889</v>
      </c>
      <c r="AA113" s="45" t="inlineStr">
        <is>
          <t>60% done</t>
        </is>
      </c>
    </row>
    <row r="114">
      <c r="A114" s="7" t="n">
        <v>109</v>
      </c>
      <c r="B114" s="7" t="inlineStr">
        <is>
          <t>Yr 9.1</t>
        </is>
      </c>
      <c r="M114" s="144" t="n">
        <v>41368708333.3327</v>
      </c>
      <c r="N114" s="144" t="n">
        <v>80943328665.79678</v>
      </c>
      <c r="O114" s="60" t="n">
        <v>0.97831588085356</v>
      </c>
      <c r="P114" s="145" t="n">
        <v>7521583333.333333</v>
      </c>
      <c r="Q114" s="62" t="inlineStr">
        <is>
          <t>91% done</t>
        </is>
      </c>
      <c r="R114" s="128" t="n">
        <v>109689756944.4458</v>
      </c>
      <c r="S114" s="128" t="n">
        <v>207009769328.7417</v>
      </c>
      <c r="T114" s="22" t="n">
        <v>0.9436148601987753</v>
      </c>
      <c r="U114" s="142" t="n">
        <v>6267986111.111111</v>
      </c>
      <c r="V114" s="7" t="inlineStr">
        <is>
          <t>76% done</t>
        </is>
      </c>
      <c r="W114" s="128" t="n">
        <v>178010805555.5541</v>
      </c>
      <c r="X114" s="128" t="n">
        <v>318082689858.7791</v>
      </c>
      <c r="Y114" s="22" t="n">
        <v>0.8934364654608312</v>
      </c>
      <c r="Z114" s="142" t="n">
        <v>5014388888.888889</v>
      </c>
      <c r="AA114" s="7" t="inlineStr">
        <is>
          <t>61% done</t>
        </is>
      </c>
    </row>
    <row r="115">
      <c r="A115" s="45" t="n">
        <v>110</v>
      </c>
      <c r="B115" s="45" t="inlineStr">
        <is>
          <t>Yr 9.2</t>
        </is>
      </c>
      <c r="M115" s="144" t="n">
        <v>37607916666.66604</v>
      </c>
      <c r="N115" s="144" t="n">
        <v>73691556428.01611</v>
      </c>
      <c r="O115" s="60" t="n">
        <v>0.9797346271687124</v>
      </c>
      <c r="P115" s="145" t="n">
        <v>7521583333.333333</v>
      </c>
      <c r="Q115" s="62" t="inlineStr">
        <is>
          <t>92% done</t>
        </is>
      </c>
      <c r="R115" s="139" t="n">
        <v>106555763888.8902</v>
      </c>
      <c r="S115" s="139" t="n">
        <v>201431815782.0597</v>
      </c>
      <c r="T115" s="47" t="n">
        <v>0.9451943678621665</v>
      </c>
      <c r="U115" s="143" t="n">
        <v>6267986111.111111</v>
      </c>
      <c r="V115" s="45" t="inlineStr">
        <is>
          <t>76% done</t>
        </is>
      </c>
      <c r="W115" s="139" t="n">
        <v>175503611111.1096</v>
      </c>
      <c r="X115" s="139" t="n">
        <v>314128576602.7527</v>
      </c>
      <c r="Y115" s="47" t="n">
        <v>0.8949347953982583</v>
      </c>
      <c r="Z115" s="143" t="n">
        <v>5014388888.888889</v>
      </c>
      <c r="AA115" s="45" t="inlineStr">
        <is>
          <t>61% done</t>
        </is>
      </c>
    </row>
    <row r="116">
      <c r="A116" s="7" t="n">
        <v>111</v>
      </c>
      <c r="B116" s="7" t="inlineStr">
        <is>
          <t>Yr 9.2</t>
        </is>
      </c>
      <c r="M116" s="144" t="n">
        <v>33847124999.99937</v>
      </c>
      <c r="N116" s="144" t="n">
        <v>66415611616.1095</v>
      </c>
      <c r="O116" s="60" t="n">
        <v>0.9811115658436387</v>
      </c>
      <c r="P116" s="145" t="n">
        <v>7521583333.333333</v>
      </c>
      <c r="Q116" s="62" t="inlineStr">
        <is>
          <t>92% done</t>
        </is>
      </c>
      <c r="R116" s="128" t="n">
        <v>103421770833.3347</v>
      </c>
      <c r="S116" s="128" t="n">
        <v>195835269056.8888</v>
      </c>
      <c r="T116" s="22" t="n">
        <v>0.9467797132021627</v>
      </c>
      <c r="U116" s="142" t="n">
        <v>6267986111.111111</v>
      </c>
      <c r="V116" s="7" t="inlineStr">
        <is>
          <t>77% done</t>
        </is>
      </c>
      <c r="W116" s="128" t="n">
        <v>172996416666.6652</v>
      </c>
      <c r="X116" s="128" t="n">
        <v>310161282969.2064</v>
      </c>
      <c r="Y116" s="22" t="n">
        <v>0.8964384608232513</v>
      </c>
      <c r="Z116" s="142" t="n">
        <v>5014388888.888889</v>
      </c>
      <c r="AA116" s="7" t="inlineStr">
        <is>
          <t>62% done</t>
        </is>
      </c>
    </row>
    <row r="117">
      <c r="A117" s="45" t="n">
        <v>112</v>
      </c>
      <c r="B117" s="45" t="inlineStr">
        <is>
          <t>Yr 9.3</t>
        </is>
      </c>
      <c r="M117" s="144" t="n">
        <v>30086333333.3327</v>
      </c>
      <c r="N117" s="144" t="n">
        <v>59115413654.82986</v>
      </c>
      <c r="O117" s="60" t="n">
        <v>0.9824296799460072</v>
      </c>
      <c r="P117" s="145" t="n">
        <v>7521583333.333333</v>
      </c>
      <c r="Q117" s="62" t="inlineStr">
        <is>
          <t>93% done</t>
        </is>
      </c>
      <c r="R117" s="139" t="n">
        <v>100287777777.7791</v>
      </c>
      <c r="S117" s="139" t="n">
        <v>190220067175.9673</v>
      </c>
      <c r="T117" s="47" t="n">
        <v>0.9483711345038628</v>
      </c>
      <c r="U117" s="143" t="n">
        <v>6267986111.111111</v>
      </c>
      <c r="V117" s="45" t="inlineStr">
        <is>
          <t>78% done</t>
        </is>
      </c>
      <c r="W117" s="139" t="n">
        <v>170489222222.2207</v>
      </c>
      <c r="X117" s="139" t="n">
        <v>306180765023.5482</v>
      </c>
      <c r="Y117" s="47" t="n">
        <v>0.8979475682763778</v>
      </c>
      <c r="Z117" s="143" t="n">
        <v>5014388888.888889</v>
      </c>
      <c r="AA117" s="45" t="inlineStr">
        <is>
          <t>62% done</t>
        </is>
      </c>
    </row>
    <row r="118">
      <c r="A118" s="7" t="n">
        <v>113</v>
      </c>
      <c r="B118" s="7" t="inlineStr">
        <is>
          <t>Yr 9.4</t>
        </is>
      </c>
      <c r="M118" s="144" t="n">
        <v>26325541666.66603</v>
      </c>
      <c r="N118" s="144" t="n">
        <v>51790881700.34596</v>
      </c>
      <c r="O118" s="60" t="n">
        <v>0.9836622234809452</v>
      </c>
      <c r="P118" s="145" t="n">
        <v>7521583333.333333</v>
      </c>
      <c r="Q118" s="62" t="inlineStr">
        <is>
          <t>94% done</t>
        </is>
      </c>
      <c r="R118" s="128" t="n">
        <v>97153784722.22356</v>
      </c>
      <c r="S118" s="128" t="n">
        <v>184586147955.4427</v>
      </c>
      <c r="T118" s="22" t="n">
        <v>0.9499688997356136</v>
      </c>
      <c r="U118" s="142" t="n">
        <v>6267986111.111111</v>
      </c>
      <c r="V118" s="7" t="inlineStr">
        <is>
          <t>78% done</t>
        </is>
      </c>
      <c r="W118" s="128" t="n">
        <v>167982027777.7762</v>
      </c>
      <c r="X118" s="128" t="n">
        <v>302186978684.7377</v>
      </c>
      <c r="Y118" s="22" t="n">
        <v>0.8994622302229304</v>
      </c>
      <c r="Z118" s="142" t="n">
        <v>5014388888.888889</v>
      </c>
      <c r="AA118" s="7" t="inlineStr">
        <is>
          <t>63% done</t>
        </is>
      </c>
    </row>
    <row r="119">
      <c r="A119" s="45" t="n">
        <v>114</v>
      </c>
      <c r="B119" s="45" t="inlineStr">
        <is>
          <t>Yr 9.5</t>
        </is>
      </c>
      <c r="M119" s="144" t="n">
        <v>22564749999.99937</v>
      </c>
      <c r="N119" s="144" t="n">
        <v>44441934639.34711</v>
      </c>
      <c r="O119" s="60" t="n">
        <v>0.9847646138190842</v>
      </c>
      <c r="P119" s="145" t="n">
        <v>7521583333.333333</v>
      </c>
      <c r="Q119" s="62" t="inlineStr">
        <is>
          <t>95% done</t>
        </is>
      </c>
      <c r="R119" s="139" t="n">
        <v>94019791666.668</v>
      </c>
      <c r="S119" s="139" t="n">
        <v>178933449004.1831</v>
      </c>
      <c r="T119" s="47" t="n">
        <v>0.9515733114925566</v>
      </c>
      <c r="U119" s="143" t="n">
        <v>6267986111.111111</v>
      </c>
      <c r="V119" s="45" t="inlineStr">
        <is>
          <t>79% done</t>
        </is>
      </c>
      <c r="W119" s="139" t="n">
        <v>165474833333.3318</v>
      </c>
      <c r="X119" s="139" t="n">
        <v>298179879724.7979</v>
      </c>
      <c r="Y119" s="47" t="n">
        <v>0.9009825655002947</v>
      </c>
      <c r="Z119" s="143" t="n">
        <v>5014388888.888889</v>
      </c>
      <c r="AA119" s="45" t="inlineStr">
        <is>
          <t>63% done</t>
        </is>
      </c>
    </row>
    <row r="120">
      <c r="A120" s="7" t="n">
        <v>115</v>
      </c>
      <c r="B120" s="7" t="inlineStr">
        <is>
          <t>Yr 9.6</t>
        </is>
      </c>
      <c r="M120" s="144" t="n">
        <v>18803958333.3327</v>
      </c>
      <c r="N120" s="144" t="n">
        <v>37068491088.14494</v>
      </c>
      <c r="O120" s="60" t="n">
        <v>0.9856565950381774</v>
      </c>
      <c r="P120" s="145" t="n">
        <v>7521583333.333333</v>
      </c>
      <c r="Q120" s="62" t="inlineStr">
        <is>
          <t>96% done</t>
        </is>
      </c>
      <c r="R120" s="128" t="n">
        <v>90885798611.11244</v>
      </c>
      <c r="S120" s="128" t="n">
        <v>173261907723.0859</v>
      </c>
      <c r="T120" s="22" t="n">
        <v>0.953184712962964</v>
      </c>
      <c r="U120" s="142" t="n">
        <v>6267986111.111111</v>
      </c>
      <c r="V120" s="7" t="inlineStr">
        <is>
          <t>80% done</t>
        </is>
      </c>
      <c r="W120" s="128" t="n">
        <v>162967638888.8873</v>
      </c>
      <c r="X120" s="128" t="n">
        <v>294159423768.325</v>
      </c>
      <c r="Y120" s="22" t="n">
        <v>0.902508699806608</v>
      </c>
      <c r="Z120" s="142" t="n">
        <v>5014388888.888889</v>
      </c>
      <c r="AA120" s="7" t="inlineStr">
        <is>
          <t>64% done</t>
        </is>
      </c>
    </row>
    <row r="121">
      <c r="A121" s="45" t="n">
        <v>116</v>
      </c>
      <c r="B121" s="45" t="inlineStr">
        <is>
          <t>Yr 9.7</t>
        </is>
      </c>
      <c r="M121" s="144" t="n">
        <v>15043166666.66603</v>
      </c>
      <c r="N121" s="144" t="n">
        <v>29670469391.77208</v>
      </c>
      <c r="O121" s="60" t="n">
        <v>0.9861776462770472</v>
      </c>
      <c r="P121" s="145" t="n">
        <v>7521583333.333333</v>
      </c>
      <c r="Q121" s="62" t="inlineStr">
        <is>
          <t>97% done</t>
        </is>
      </c>
      <c r="R121" s="144" t="n">
        <v>87751805555.55688</v>
      </c>
      <c r="S121" s="144" t="n">
        <v>167571461304.3851</v>
      </c>
      <c r="T121" s="60" t="n">
        <v>0.9548034951730611</v>
      </c>
      <c r="U121" s="145" t="n">
        <v>6267986111.111111</v>
      </c>
      <c r="V121" s="62" t="inlineStr">
        <is>
          <t>81% done</t>
        </is>
      </c>
      <c r="W121" s="139" t="n">
        <v>160460444444.4429</v>
      </c>
      <c r="X121" s="139" t="n">
        <v>290125566291.9972</v>
      </c>
      <c r="Y121" s="47" t="n">
        <v>0.9040407662352232</v>
      </c>
      <c r="Z121" s="143" t="n">
        <v>5014388888.888889</v>
      </c>
      <c r="AA121" s="45" t="inlineStr">
        <is>
          <t>64% done</t>
        </is>
      </c>
    </row>
    <row r="122">
      <c r="A122" s="7" t="n">
        <v>117</v>
      </c>
      <c r="B122" s="7" t="inlineStr">
        <is>
          <t>Yr 9.8</t>
        </is>
      </c>
      <c r="M122" s="144" t="n">
        <v>11282374999.99937</v>
      </c>
      <c r="N122" s="144" t="n">
        <v>22247787623.07799</v>
      </c>
      <c r="O122" s="60" t="n">
        <v>0.985953206797294</v>
      </c>
      <c r="P122" s="145" t="n">
        <v>7521583333.333333</v>
      </c>
      <c r="Q122" s="62" t="inlineStr">
        <is>
          <t>98% done</t>
        </is>
      </c>
      <c r="R122" s="144" t="n">
        <v>84617812500.00133</v>
      </c>
      <c r="S122" s="144" t="n">
        <v>161862046730.9553</v>
      </c>
      <c r="T122" s="60" t="n">
        <v>0.9564301058417973</v>
      </c>
      <c r="U122" s="145" t="n">
        <v>6267986111.111111</v>
      </c>
      <c r="V122" s="62" t="inlineStr">
        <is>
          <t>81% done</t>
        </is>
      </c>
      <c r="W122" s="128" t="n">
        <v>157953249999.9984</v>
      </c>
      <c r="X122" s="128" t="n">
        <v>286078262624.0816</v>
      </c>
      <c r="Y122" s="22" t="n">
        <v>0.9055789058600708</v>
      </c>
      <c r="Z122" s="142" t="n">
        <v>5014388888.888889</v>
      </c>
      <c r="AA122" s="7" t="inlineStr">
        <is>
          <t>65% done</t>
        </is>
      </c>
    </row>
    <row r="123">
      <c r="A123" s="45" t="n">
        <v>118</v>
      </c>
      <c r="B123" s="45" t="inlineStr">
        <is>
          <t>Yr 9.8</t>
        </is>
      </c>
      <c r="M123" s="144" t="n">
        <v>7521583333.332701</v>
      </c>
      <c r="N123" s="144" t="n">
        <v>14800363581.82159</v>
      </c>
      <c r="O123" s="60" t="n">
        <v>0.983859576229927</v>
      </c>
      <c r="P123" s="145" t="n">
        <v>7521583333.333333</v>
      </c>
      <c r="Q123" s="62" t="inlineStr">
        <is>
          <t>98% done</t>
        </is>
      </c>
      <c r="R123" s="144" t="n">
        <v>81483819444.44577</v>
      </c>
      <c r="S123" s="144" t="n">
        <v>156133600775.614</v>
      </c>
      <c r="T123" s="60" t="n">
        <v>0.9580650602790111</v>
      </c>
      <c r="U123" s="145" t="n">
        <v>6267986111.111111</v>
      </c>
      <c r="V123" s="62" t="inlineStr">
        <is>
          <t>82% done</t>
        </is>
      </c>
      <c r="W123" s="139" t="n">
        <v>155446055555.554</v>
      </c>
      <c r="X123" s="139" t="n">
        <v>282017467943.9396</v>
      </c>
      <c r="Y123" s="47" t="n">
        <v>0.9071232683776626</v>
      </c>
      <c r="Z123" s="143" t="n">
        <v>5014388888.888889</v>
      </c>
      <c r="AA123" s="45" t="inlineStr">
        <is>
          <t>66% done</t>
        </is>
      </c>
    </row>
    <row r="124">
      <c r="A124" s="7" t="n">
        <v>119</v>
      </c>
      <c r="B124" s="7" t="inlineStr">
        <is>
          <t>Yr 9.9</t>
        </is>
      </c>
      <c r="M124" s="144" t="n">
        <v>3760791666.666034</v>
      </c>
      <c r="N124" s="144" t="n">
        <v>7328114793.760993</v>
      </c>
      <c r="O124" s="60" t="n">
        <v>0.974278216301385</v>
      </c>
      <c r="P124" s="145" t="n">
        <v>7521583333.333333</v>
      </c>
      <c r="Q124" s="62" t="inlineStr">
        <is>
          <t>99% done</t>
        </is>
      </c>
      <c r="R124" s="144" t="n">
        <v>78349826388.89021</v>
      </c>
      <c r="S124" s="144" t="n">
        <v>150386060000.4216</v>
      </c>
      <c r="T124" s="60" t="n">
        <v>0.9597089548991387</v>
      </c>
      <c r="U124" s="145" t="n">
        <v>6267986111.111111</v>
      </c>
      <c r="V124" s="62" t="inlineStr">
        <is>
          <t>83% done</t>
        </is>
      </c>
      <c r="W124" s="128" t="n">
        <v>152938861111.1095</v>
      </c>
      <c r="X124" s="128" t="n">
        <v>277943137281.5305</v>
      </c>
      <c r="Y124" s="22" t="n">
        <v>0.908674012812237</v>
      </c>
      <c r="Z124" s="142" t="n">
        <v>5014388888.888889</v>
      </c>
      <c r="AA124" s="7" t="inlineStr">
        <is>
          <t>66% done</t>
        </is>
      </c>
    </row>
    <row r="125">
      <c r="A125" s="45" t="n">
        <v>120</v>
      </c>
      <c r="B125" s="45" t="inlineStr">
        <is>
          <t>Yr 10.0</t>
        </is>
      </c>
      <c r="M125" s="146" t="n">
        <v>0</v>
      </c>
      <c r="N125" s="146" t="n">
        <v>0</v>
      </c>
      <c r="O125" s="64" t="n">
        <v>0</v>
      </c>
      <c r="P125" s="147" t="n">
        <v>7521583333.333333</v>
      </c>
      <c r="Q125" s="66" t="inlineStr">
        <is>
          <t>✓ COMPLETE</t>
        </is>
      </c>
      <c r="R125" s="144" t="n">
        <v>75215833333.33466</v>
      </c>
      <c r="S125" s="144" t="n">
        <v>144619360755.9785</v>
      </c>
      <c r="T125" s="60" t="n">
        <v>0.9613624841133359</v>
      </c>
      <c r="U125" s="145" t="n">
        <v>6267986111.111111</v>
      </c>
      <c r="V125" s="62" t="inlineStr">
        <is>
          <t>83% done</t>
        </is>
      </c>
      <c r="W125" s="139" t="n">
        <v>150431666666.665</v>
      </c>
      <c r="X125" s="139" t="n">
        <v>273855225516.9134</v>
      </c>
      <c r="Y125" s="47" t="n">
        <v>0.910231308291416</v>
      </c>
      <c r="Z125" s="143" t="n">
        <v>5014388888.888889</v>
      </c>
      <c r="AA125" s="45" t="inlineStr">
        <is>
          <t>67% done</t>
        </is>
      </c>
    </row>
    <row r="126">
      <c r="A126" s="7" t="n">
        <v>121</v>
      </c>
      <c r="B126" s="7" t="inlineStr">
        <is>
          <t>Yr 10.1</t>
        </is>
      </c>
      <c r="R126" s="144" t="n">
        <v>72081840277.7791</v>
      </c>
      <c r="S126" s="144" t="n">
        <v>138833439180.7207</v>
      </c>
      <c r="T126" s="60" t="n">
        <v>0.963026461628223</v>
      </c>
      <c r="U126" s="145" t="n">
        <v>6267986111.111111</v>
      </c>
      <c r="V126" s="62" t="inlineStr">
        <is>
          <t>84% done</t>
        </is>
      </c>
      <c r="W126" s="128" t="n">
        <v>147924472222.2206</v>
      </c>
      <c r="X126" s="128" t="n">
        <v>269753687379.7476</v>
      </c>
      <c r="Y126" s="22" t="n">
        <v>0.9117953349007331</v>
      </c>
      <c r="Z126" s="142" t="n">
        <v>5014388888.888889</v>
      </c>
      <c r="AA126" s="7" t="inlineStr">
        <is>
          <t>67% done</t>
        </is>
      </c>
    </row>
    <row r="127">
      <c r="A127" s="45" t="n">
        <v>122</v>
      </c>
      <c r="B127" s="45" t="inlineStr">
        <is>
          <t>Yr 10.2</t>
        </is>
      </c>
      <c r="R127" s="144" t="n">
        <v>68947847222.22354</v>
      </c>
      <c r="S127" s="144" t="n">
        <v>133028231200.212</v>
      </c>
      <c r="T127" s="60" t="n">
        <v>0.964701847553362</v>
      </c>
      <c r="U127" s="145" t="n">
        <v>6267986111.111111</v>
      </c>
      <c r="V127" s="62" t="inlineStr">
        <is>
          <t>85% done</t>
        </is>
      </c>
      <c r="W127" s="139" t="n">
        <v>145417277777.7761</v>
      </c>
      <c r="X127" s="139" t="n">
        <v>265638477448.7912</v>
      </c>
      <c r="Y127" s="47" t="n">
        <v>0.9133662846265586</v>
      </c>
      <c r="Z127" s="143" t="n">
        <v>5014388888.888889</v>
      </c>
      <c r="AA127" s="45" t="inlineStr">
        <is>
          <t>68% done</t>
        </is>
      </c>
    </row>
    <row r="128">
      <c r="A128" s="7" t="n">
        <v>123</v>
      </c>
      <c r="B128" s="7" t="inlineStr">
        <is>
          <t>Yr 10.2</t>
        </is>
      </c>
      <c r="R128" s="144" t="n">
        <v>65813854166.66798</v>
      </c>
      <c r="S128" s="144" t="n">
        <v>127203672526.4349</v>
      </c>
      <c r="T128" s="60" t="n">
        <v>0.9663897832537085</v>
      </c>
      <c r="U128" s="145" t="n">
        <v>6267986111.111111</v>
      </c>
      <c r="V128" s="62" t="inlineStr">
        <is>
          <t>85% done</t>
        </is>
      </c>
      <c r="W128" s="128" t="n">
        <v>142910083333.3317</v>
      </c>
      <c r="X128" s="128" t="n">
        <v>261509550151.3983</v>
      </c>
      <c r="Y128" s="22" t="n">
        <v>0.9149443623982726</v>
      </c>
      <c r="Z128" s="142" t="n">
        <v>5014388888.888889</v>
      </c>
      <c r="AA128" s="7" t="inlineStr">
        <is>
          <t>68% done</t>
        </is>
      </c>
    </row>
    <row r="129">
      <c r="A129" s="45" t="n">
        <v>124</v>
      </c>
      <c r="B129" s="45" t="inlineStr">
        <is>
          <t>Yr 10.3</t>
        </is>
      </c>
      <c r="R129" s="144" t="n">
        <v>62679861111.11243</v>
      </c>
      <c r="S129" s="144" t="n">
        <v>121359698657.0786</v>
      </c>
      <c r="T129" s="60" t="n">
        <v>0.9680916366577819</v>
      </c>
      <c r="U129" s="145" t="n">
        <v>6267986111.111111</v>
      </c>
      <c r="V129" s="62" t="inlineStr">
        <is>
          <t>86% done</t>
        </is>
      </c>
      <c r="W129" s="139" t="n">
        <v>140402888888.8872</v>
      </c>
      <c r="X129" s="139" t="n">
        <v>257366859763.0141</v>
      </c>
      <c r="Y129" s="47" t="n">
        <v>0.9165297872420931</v>
      </c>
      <c r="Z129" s="143" t="n">
        <v>5014388888.888889</v>
      </c>
      <c r="AA129" s="45" t="inlineStr">
        <is>
          <t>69% done</t>
        </is>
      </c>
    </row>
    <row r="130">
      <c r="A130" s="7" t="n">
        <v>125</v>
      </c>
      <c r="B130" s="7" t="inlineStr">
        <is>
          <t>Yr 10.4</t>
        </is>
      </c>
      <c r="R130" s="144" t="n">
        <v>59545868055.55687</v>
      </c>
      <c r="S130" s="144" t="n">
        <v>115496244874.8244</v>
      </c>
      <c r="T130" s="60" t="n">
        <v>0.9698090618736575</v>
      </c>
      <c r="U130" s="145" t="n">
        <v>6267986111.111111</v>
      </c>
      <c r="V130" s="62" t="inlineStr">
        <is>
          <t>87% done</t>
        </is>
      </c>
      <c r="W130" s="128" t="n">
        <v>137895694444.4427</v>
      </c>
      <c r="X130" s="128" t="n">
        <v>253210360406.6685</v>
      </c>
      <c r="Y130" s="22" t="n">
        <v>0.9181227935607711</v>
      </c>
      <c r="Z130" s="142" t="n">
        <v>5014388888.888889</v>
      </c>
      <c r="AA130" s="7" t="inlineStr">
        <is>
          <t>69% done</t>
        </is>
      </c>
    </row>
    <row r="131">
      <c r="A131" s="45" t="n">
        <v>126</v>
      </c>
      <c r="B131" s="45" t="inlineStr">
        <is>
          <t>Yr 10.5</t>
        </is>
      </c>
      <c r="R131" s="144" t="n">
        <v>56411875000.00131</v>
      </c>
      <c r="S131" s="144" t="n">
        <v>109613246246.6293</v>
      </c>
      <c r="T131" s="60" t="n">
        <v>0.9715440786769346</v>
      </c>
      <c r="U131" s="145" t="n">
        <v>6267986111.111111</v>
      </c>
      <c r="V131" s="62" t="inlineStr">
        <is>
          <t>88% done</t>
        </is>
      </c>
      <c r="W131" s="139" t="n">
        <v>135388499999.9983</v>
      </c>
      <c r="X131" s="139" t="n">
        <v>249040006052.4686</v>
      </c>
      <c r="Y131" s="47" t="n">
        <v>0.919723632555467</v>
      </c>
      <c r="Z131" s="143" t="n">
        <v>5014388888.888889</v>
      </c>
      <c r="AA131" s="45" t="inlineStr">
        <is>
          <t>70% done</t>
        </is>
      </c>
    </row>
    <row r="132">
      <c r="A132" s="7" t="n">
        <v>127</v>
      </c>
      <c r="B132" s="7" t="inlineStr">
        <is>
          <t>Yr 10.6</t>
        </is>
      </c>
      <c r="R132" s="144" t="n">
        <v>53277881944.44576</v>
      </c>
      <c r="S132" s="144" t="n">
        <v>103710637623.007</v>
      </c>
      <c r="T132" s="60" t="n">
        <v>0.9732991800532612</v>
      </c>
      <c r="U132" s="145" t="n">
        <v>6267986111.111111</v>
      </c>
      <c r="V132" s="62" t="inlineStr">
        <is>
          <t>88% done</t>
        </is>
      </c>
      <c r="W132" s="128" t="n">
        <v>132881305555.5539</v>
      </c>
      <c r="X132" s="128" t="n">
        <v>244855750517.0879</v>
      </c>
      <c r="Y132" s="22" t="n">
        <v>0.9213325738085887</v>
      </c>
      <c r="Z132" s="142" t="n">
        <v>5014388888.888889</v>
      </c>
      <c r="AA132" s="7" t="inlineStr">
        <is>
          <t>71% done</t>
        </is>
      </c>
    </row>
    <row r="133">
      <c r="A133" s="45" t="n">
        <v>128</v>
      </c>
      <c r="B133" s="45" t="inlineStr">
        <is>
          <t>Yr 10.7</t>
        </is>
      </c>
      <c r="R133" s="144" t="n">
        <v>50143888888.8902</v>
      </c>
      <c r="S133" s="144" t="n">
        <v>97788353637.30591</v>
      </c>
      <c r="T133" s="60" t="n">
        <v>0.9750774800692786</v>
      </c>
      <c r="U133" s="145" t="n">
        <v>6267986111.111111</v>
      </c>
      <c r="V133" s="62" t="inlineStr">
        <is>
          <t>89% done</t>
        </is>
      </c>
      <c r="W133" s="139" t="n">
        <v>130374111111.1094</v>
      </c>
      <c r="X133" s="139" t="n">
        <v>240657547463.256</v>
      </c>
      <c r="Y133" s="47" t="n">
        <v>0.9229499070492574</v>
      </c>
      <c r="Z133" s="143" t="n">
        <v>5014388888.888889</v>
      </c>
      <c r="AA133" s="45" t="inlineStr">
        <is>
          <t>71% done</t>
        </is>
      </c>
    </row>
    <row r="134">
      <c r="A134" s="7" t="n">
        <v>129</v>
      </c>
      <c r="B134" s="7" t="inlineStr">
        <is>
          <t>Yr 10.8</t>
        </is>
      </c>
      <c r="R134" s="144" t="n">
        <v>47009895833.33464</v>
      </c>
      <c r="S134" s="144" t="n">
        <v>91846328704.98581</v>
      </c>
      <c r="T134" s="60" t="n">
        <v>0.9768829208919213</v>
      </c>
      <c r="U134" s="145" t="n">
        <v>6267986111.111111</v>
      </c>
      <c r="V134" s="62" t="inlineStr">
        <is>
          <t>90% done</t>
        </is>
      </c>
      <c r="W134" s="128" t="n">
        <v>127866916666.665</v>
      </c>
      <c r="X134" s="128" t="n">
        <v>236445350399.2446</v>
      </c>
      <c r="Y134" s="22" t="n">
        <v>0.924575944126469</v>
      </c>
      <c r="Z134" s="142" t="n">
        <v>5014388888.888889</v>
      </c>
      <c r="AA134" s="7" t="inlineStr">
        <is>
          <t>72% done</t>
        </is>
      </c>
    </row>
    <row r="135">
      <c r="A135" s="45" t="n">
        <v>130</v>
      </c>
      <c r="B135" s="45" t="inlineStr">
        <is>
          <t>Yr 10.8</t>
        </is>
      </c>
      <c r="R135" s="144" t="n">
        <v>43875902777.77908</v>
      </c>
      <c r="S135" s="144" t="n">
        <v>85884497022.89131</v>
      </c>
      <c r="T135" s="60" t="n">
        <v>0.978720568530244</v>
      </c>
      <c r="U135" s="145" t="n">
        <v>6267986111.111111</v>
      </c>
      <c r="V135" s="62" t="inlineStr">
        <is>
          <t>90% done</t>
        </is>
      </c>
      <c r="W135" s="139" t="n">
        <v>125359722222.2205</v>
      </c>
      <c r="X135" s="139" t="n">
        <v>232219112678.3532</v>
      </c>
      <c r="Y135" s="47" t="n">
        <v>0.9262110212190283</v>
      </c>
      <c r="Z135" s="143" t="n">
        <v>5014388888.888889</v>
      </c>
      <c r="AA135" s="45" t="inlineStr">
        <is>
          <t>72% done</t>
        </is>
      </c>
    </row>
    <row r="136">
      <c r="A136" s="7" t="n">
        <v>131</v>
      </c>
      <c r="B136" s="7" t="inlineStr">
        <is>
          <t>Yr 10.9</t>
        </is>
      </c>
      <c r="R136" s="144" t="n">
        <v>40741909722.22353</v>
      </c>
      <c r="S136" s="144" t="n">
        <v>79902792568.52316</v>
      </c>
      <c r="T136" s="60" t="n">
        <v>0.9805970450734482</v>
      </c>
      <c r="U136" s="145" t="n">
        <v>6267986111.111111</v>
      </c>
      <c r="V136" s="62" t="inlineStr">
        <is>
          <t>91% done</t>
        </is>
      </c>
      <c r="W136" s="128" t="n">
        <v>122852527777.7761</v>
      </c>
      <c r="X136" s="128" t="n">
        <v>227978787498.3922</v>
      </c>
      <c r="Y136" s="22" t="n">
        <v>0.9278555013160801</v>
      </c>
      <c r="Z136" s="142" t="n">
        <v>5014388888.888889</v>
      </c>
      <c r="AA136" s="7" t="inlineStr">
        <is>
          <t>73% done</t>
        </is>
      </c>
    </row>
    <row r="137">
      <c r="A137" s="45" t="n">
        <v>132</v>
      </c>
      <c r="B137" s="45" t="inlineStr">
        <is>
          <t>Yr 11.0</t>
        </is>
      </c>
      <c r="R137" s="144" t="n">
        <v>37607916666.66797</v>
      </c>
      <c r="S137" s="144" t="n">
        <v>73901149099.30713</v>
      </c>
      <c r="T137" s="60" t="n">
        <v>0.9825211770478898</v>
      </c>
      <c r="U137" s="145" t="n">
        <v>6267986111.111111</v>
      </c>
      <c r="V137" s="62" t="inlineStr">
        <is>
          <t>92% done</t>
        </is>
      </c>
      <c r="W137" s="139" t="n">
        <v>120345333333.3316</v>
      </c>
      <c r="X137" s="139" t="n">
        <v>223724327901.1646</v>
      </c>
      <c r="Y137" s="47" t="n">
        <v>0.929509777007699</v>
      </c>
      <c r="Z137" s="143" t="n">
        <v>5014388888.888889</v>
      </c>
      <c r="AA137" s="45" t="inlineStr">
        <is>
          <t>73% done</t>
        </is>
      </c>
    </row>
    <row r="138">
      <c r="A138" s="7" t="n">
        <v>133</v>
      </c>
      <c r="B138" s="7" t="inlineStr">
        <is>
          <t>Yr 11.1</t>
        </is>
      </c>
      <c r="R138" s="144" t="n">
        <v>34473923611.11241</v>
      </c>
      <c r="S138" s="144" t="n">
        <v>67879500151.86037</v>
      </c>
      <c r="T138" s="60" t="n">
        <v>0.9845049974233266</v>
      </c>
      <c r="U138" s="145" t="n">
        <v>6267986111.111111</v>
      </c>
      <c r="V138" s="62" t="inlineStr">
        <is>
          <t>92% done</t>
        </is>
      </c>
      <c r="W138" s="128" t="n">
        <v>117838138888.8872</v>
      </c>
      <c r="X138" s="128" t="n">
        <v>219455686771.9463</v>
      </c>
      <c r="Y138" s="22" t="n">
        <v>0.9311742736317188</v>
      </c>
      <c r="Z138" s="142" t="n">
        <v>5014388888.888889</v>
      </c>
      <c r="AA138" s="7" t="inlineStr">
        <is>
          <t>74% done</t>
        </is>
      </c>
    </row>
    <row r="139">
      <c r="A139" s="45" t="n">
        <v>134</v>
      </c>
      <c r="B139" s="45" t="inlineStr">
        <is>
          <t>Yr 11.2</t>
        </is>
      </c>
      <c r="R139" s="144" t="n">
        <v>31339930555.55685</v>
      </c>
      <c r="S139" s="144" t="n">
        <v>61837779041.25546</v>
      </c>
      <c r="T139" s="60" t="n">
        <v>0.9865653488228784</v>
      </c>
      <c r="U139" s="145" t="n">
        <v>6267986111.111111</v>
      </c>
      <c r="V139" s="62" t="inlineStr">
        <is>
          <t>93% done</t>
        </is>
      </c>
      <c r="W139" s="139" t="n">
        <v>115330944444.4428</v>
      </c>
      <c r="X139" s="139" t="n">
        <v>215172816838.9639</v>
      </c>
      <c r="Y139" s="47" t="n">
        <v>0.9328494528310092</v>
      </c>
      <c r="Z139" s="143" t="n">
        <v>5014388888.888889</v>
      </c>
      <c r="AA139" s="45" t="inlineStr">
        <is>
          <t>74% done</t>
        </is>
      </c>
    </row>
    <row r="140">
      <c r="A140" s="7" t="n">
        <v>135</v>
      </c>
      <c r="B140" s="7" t="inlineStr">
        <is>
          <t>Yr 11.2</t>
        </is>
      </c>
      <c r="R140" s="144" t="n">
        <v>28205937500.0013</v>
      </c>
      <c r="S140" s="144" t="n">
        <v>55775918860.28188</v>
      </c>
      <c r="T140" s="60" t="n">
        <v>0.9887265555395794</v>
      </c>
      <c r="U140" s="145" t="n">
        <v>6267986111.111111</v>
      </c>
      <c r="V140" s="62" t="inlineStr">
        <is>
          <t>94% done</t>
        </is>
      </c>
      <c r="W140" s="128" t="n">
        <v>112823749999.9983</v>
      </c>
      <c r="X140" s="128" t="n">
        <v>210875670672.8716</v>
      </c>
      <c r="Y140" s="22" t="n">
        <v>0.9345358165850484</v>
      </c>
      <c r="Z140" s="142" t="n">
        <v>5014388888.888889</v>
      </c>
      <c r="AA140" s="7" t="inlineStr">
        <is>
          <t>75% done</t>
        </is>
      </c>
    </row>
    <row r="141">
      <c r="A141" s="45" t="n">
        <v>136</v>
      </c>
      <c r="B141" s="45" t="inlineStr">
        <is>
          <t>Yr 11.3</t>
        </is>
      </c>
      <c r="R141" s="144" t="n">
        <v>25071944444.44574</v>
      </c>
      <c r="S141" s="144" t="n">
        <v>49693852478.70503</v>
      </c>
      <c r="T141" s="60" t="n">
        <v>0.9910250995653003</v>
      </c>
      <c r="U141" s="145" t="n">
        <v>6267986111.111111</v>
      </c>
      <c r="V141" s="62" t="inlineStr">
        <is>
          <t>94% done</t>
        </is>
      </c>
      <c r="W141" s="139" t="n">
        <v>110316555555.5539</v>
      </c>
      <c r="X141" s="139" t="n">
        <v>206564200686.2256</v>
      </c>
      <c r="Y141" s="47" t="n">
        <v>0.9362339117912485</v>
      </c>
      <c r="Z141" s="143" t="n">
        <v>5014388888.888889</v>
      </c>
      <c r="AA141" s="45" t="inlineStr">
        <is>
          <t>76% done</t>
        </is>
      </c>
    </row>
    <row r="142">
      <c r="A142" s="7" t="n">
        <v>137</v>
      </c>
      <c r="B142" s="7" t="inlineStr">
        <is>
          <t>Yr 11.4</t>
        </is>
      </c>
      <c r="R142" s="144" t="n">
        <v>21937951388.89018</v>
      </c>
      <c r="S142" s="144" t="n">
        <v>43591512542.52293</v>
      </c>
      <c r="T142" s="60" t="n">
        <v>0.9935183046444015</v>
      </c>
      <c r="U142" s="145" t="n">
        <v>6267986111.111111</v>
      </c>
      <c r="V142" s="62" t="inlineStr">
        <is>
          <t>95% done</t>
        </is>
      </c>
      <c r="W142" s="128" t="n">
        <v>107809361111.1094</v>
      </c>
      <c r="X142" s="128" t="n">
        <v>202238359132.9575</v>
      </c>
      <c r="Y142" s="22" t="n">
        <v>0.9379443354855267</v>
      </c>
      <c r="Z142" s="142" t="n">
        <v>5014388888.888889</v>
      </c>
      <c r="AA142" s="7" t="inlineStr">
        <is>
          <t>76% done</t>
        </is>
      </c>
    </row>
    <row r="143">
      <c r="A143" s="45" t="n">
        <v>138</v>
      </c>
      <c r="B143" s="45" t="inlineStr">
        <is>
          <t>Yr 11.5</t>
        </is>
      </c>
      <c r="R143" s="144" t="n">
        <v>18803958333.33463</v>
      </c>
      <c r="S143" s="144" t="n">
        <v>37468831473.22023</v>
      </c>
      <c r="T143" s="60" t="n">
        <v>0.9963017043809744</v>
      </c>
      <c r="U143" s="145" t="n">
        <v>6267986111.111111</v>
      </c>
      <c r="V143" s="62" t="inlineStr">
        <is>
          <t>96% done</t>
        </is>
      </c>
      <c r="W143" s="139" t="n">
        <v>105302166666.665</v>
      </c>
      <c r="X143" s="139" t="n">
        <v>197898098107.8451</v>
      </c>
      <c r="Y143" s="47" t="n">
        <v>0.9396677408086644</v>
      </c>
      <c r="Z143" s="143" t="n">
        <v>5014388888.888889</v>
      </c>
      <c r="AA143" s="45" t="inlineStr">
        <is>
          <t>77% done</t>
        </is>
      </c>
    </row>
    <row r="144">
      <c r="A144" s="7" t="n">
        <v>139</v>
      </c>
      <c r="B144" s="7" t="inlineStr">
        <is>
          <t>Yr 11.6</t>
        </is>
      </c>
      <c r="R144" s="144" t="n">
        <v>15669965277.77907</v>
      </c>
      <c r="S144" s="144" t="n">
        <v>31325741467.01986</v>
      </c>
      <c r="T144" s="60" t="n">
        <v>0.9995472520746933</v>
      </c>
      <c r="U144" s="145" t="n">
        <v>6267986111.111111</v>
      </c>
      <c r="V144" s="62" t="inlineStr">
        <is>
          <t>97% done</t>
        </is>
      </c>
      <c r="W144" s="128" t="n">
        <v>102794972222.2206</v>
      </c>
      <c r="X144" s="128" t="n">
        <v>193543369545.9824</v>
      </c>
      <c r="Y144" s="22" t="n">
        <v>0.9414048438457834</v>
      </c>
      <c r="Z144" s="142" t="n">
        <v>5014388888.888889</v>
      </c>
      <c r="AA144" s="7" t="inlineStr">
        <is>
          <t>77% done</t>
        </is>
      </c>
    </row>
    <row r="145">
      <c r="A145" s="45" t="n">
        <v>140</v>
      </c>
      <c r="B145" s="45" t="inlineStr">
        <is>
          <t>Yr 11.7</t>
        </is>
      </c>
      <c r="R145" s="144" t="n">
        <v>12535972222.22351</v>
      </c>
      <c r="S145" s="144" t="n">
        <v>25162174494.13214</v>
      </c>
      <c r="T145" s="60" t="n">
        <v>1.003598845310345</v>
      </c>
      <c r="U145" s="145" t="n">
        <v>6267986111.111111</v>
      </c>
      <c r="V145" s="62" t="inlineStr">
        <is>
          <t>97% done</t>
        </is>
      </c>
      <c r="W145" s="139" t="n">
        <v>100287777777.7761</v>
      </c>
      <c r="X145" s="139" t="n">
        <v>189174125222.2467</v>
      </c>
      <c r="Y145" s="47" t="n">
        <v>0.9431564314917343</v>
      </c>
      <c r="Z145" s="143" t="n">
        <v>5014388888.888889</v>
      </c>
      <c r="AA145" s="45" t="inlineStr">
        <is>
          <t>78% done</t>
        </is>
      </c>
    </row>
    <row r="146">
      <c r="A146" s="7" t="n">
        <v>141</v>
      </c>
      <c r="B146" s="7" t="inlineStr">
        <is>
          <t>Yr 11.8</t>
        </is>
      </c>
      <c r="R146" s="144" t="n">
        <v>9401979166.667959</v>
      </c>
      <c r="S146" s="144" t="n">
        <v>18978062298.00148</v>
      </c>
      <c r="T146" s="60" t="n">
        <v>1.009258899726283</v>
      </c>
      <c r="U146" s="145" t="n">
        <v>6267986111.111111</v>
      </c>
      <c r="V146" s="62" t="inlineStr">
        <is>
          <t>98% done</t>
        </is>
      </c>
      <c r="W146" s="128" t="n">
        <v>97780583333.33167</v>
      </c>
      <c r="X146" s="128" t="n">
        <v>184790316750.7654</v>
      </c>
      <c r="Y146" s="22" t="n">
        <v>0.9449233705265369</v>
      </c>
      <c r="Z146" s="142" t="n">
        <v>5014388888.888889</v>
      </c>
      <c r="AA146" s="7" t="inlineStr">
        <is>
          <t>78% done</t>
        </is>
      </c>
    </row>
    <row r="147">
      <c r="A147" s="45" t="n">
        <v>142</v>
      </c>
      <c r="B147" s="45" t="inlineStr">
        <is>
          <t>Yr 11.8</t>
        </is>
      </c>
      <c r="R147" s="144" t="n">
        <v>6267986111.112404</v>
      </c>
      <c r="S147" s="144" t="n">
        <v>12773336394.55037</v>
      </c>
      <c r="T147" s="60" t="n">
        <v>1.018934644088054</v>
      </c>
      <c r="U147" s="145" t="n">
        <v>6267986111.111111</v>
      </c>
      <c r="V147" s="62" t="inlineStr">
        <is>
          <t>99% done</t>
        </is>
      </c>
      <c r="W147" s="139" t="n">
        <v>95273388888.88722</v>
      </c>
      <c r="X147" s="139" t="n">
        <v>180391895584.379</v>
      </c>
      <c r="Y147" s="47" t="n">
        <v>0.9467066181237734</v>
      </c>
      <c r="Z147" s="143" t="n">
        <v>5014388888.888889</v>
      </c>
      <c r="AA147" s="45" t="inlineStr">
        <is>
          <t>79% done</t>
        </is>
      </c>
    </row>
    <row r="148">
      <c r="A148" s="7" t="n">
        <v>143</v>
      </c>
      <c r="B148" s="7" t="inlineStr">
        <is>
          <t>Yr 11.9</t>
        </is>
      </c>
      <c r="R148" s="144" t="n">
        <v>3133993055.556849</v>
      </c>
      <c r="S148" s="144" t="n">
        <v>6547928071.421093</v>
      </c>
      <c r="T148" s="60" t="n">
        <v>1.044662185803353</v>
      </c>
      <c r="U148" s="145" t="n">
        <v>6267986111.111111</v>
      </c>
      <c r="V148" s="62" t="inlineStr">
        <is>
          <t>99% done</t>
        </is>
      </c>
      <c r="W148" s="128" t="n">
        <v>92766194444.44278</v>
      </c>
      <c r="X148" s="128" t="n">
        <v>175978813014.1047</v>
      </c>
      <c r="Y148" s="22" t="n">
        <v>0.9485072340630378</v>
      </c>
      <c r="Z148" s="142" t="n">
        <v>5014388888.888889</v>
      </c>
      <c r="AA148" s="7" t="inlineStr">
        <is>
          <t>79% done</t>
        </is>
      </c>
    </row>
    <row r="149">
      <c r="A149" s="45" t="n">
        <v>144</v>
      </c>
      <c r="B149" s="45" t="inlineStr">
        <is>
          <t>Yr 12.0</t>
        </is>
      </c>
      <c r="R149" s="146" t="n">
        <v>0.001293182373046875</v>
      </c>
      <c r="S149" s="146" t="n">
        <v>301768387.2147188</v>
      </c>
      <c r="T149" s="64" t="n">
        <v>116676655011.8219</v>
      </c>
      <c r="U149" s="147" t="n">
        <v>6267986111.111111</v>
      </c>
      <c r="V149" s="66" t="inlineStr">
        <is>
          <t>✓ COMPLETE</t>
        </is>
      </c>
      <c r="W149" s="139" t="n">
        <v>90258999999.99834</v>
      </c>
      <c r="X149" s="139" t="n">
        <v>171551020168.5962</v>
      </c>
      <c r="Y149" s="47" t="n">
        <v>0.9503263949777826</v>
      </c>
      <c r="Z149" s="143" t="n">
        <v>5014388888.888889</v>
      </c>
      <c r="AA149" s="45" t="inlineStr">
        <is>
          <t>80% done</t>
        </is>
      </c>
    </row>
    <row r="150">
      <c r="A150" s="7" t="n">
        <v>145</v>
      </c>
      <c r="B150" s="7" t="inlineStr">
        <is>
          <t>Yr 12.1</t>
        </is>
      </c>
      <c r="W150" s="144" t="n">
        <v>87751805555.55389</v>
      </c>
      <c r="X150" s="144" t="n">
        <v>167108468013.6026</v>
      </c>
      <c r="Y150" s="60" t="n">
        <v>0.952165411045643</v>
      </c>
      <c r="Z150" s="145" t="n">
        <v>5014388888.888889</v>
      </c>
      <c r="AA150" s="62" t="inlineStr">
        <is>
          <t>81% done</t>
        </is>
      </c>
    </row>
    <row r="151">
      <c r="A151" s="45" t="n">
        <v>146</v>
      </c>
      <c r="B151" s="45" t="inlineStr">
        <is>
          <t>Yr 12.2</t>
        </is>
      </c>
      <c r="W151" s="144" t="n">
        <v>85244611111.10945</v>
      </c>
      <c r="X151" s="144" t="n">
        <v>162651107351.4258</v>
      </c>
      <c r="Y151" s="60" t="n">
        <v>0.9540257456241028</v>
      </c>
      <c r="Z151" s="145" t="n">
        <v>5014388888.888889</v>
      </c>
      <c r="AA151" s="62" t="inlineStr">
        <is>
          <t>81% done</t>
        </is>
      </c>
    </row>
    <row r="152">
      <c r="A152" s="7" t="n">
        <v>147</v>
      </c>
      <c r="B152" s="7" t="inlineStr">
        <is>
          <t>Yr 12.2</t>
        </is>
      </c>
      <c r="W152" s="144" t="n">
        <v>82737416666.66501</v>
      </c>
      <c r="X152" s="144" t="n">
        <v>158178888820.3749</v>
      </c>
      <c r="Y152" s="60" t="n">
        <v>0.9559090384562694</v>
      </c>
      <c r="Z152" s="145" t="n">
        <v>5014388888.888889</v>
      </c>
      <c r="AA152" s="62" t="inlineStr">
        <is>
          <t>82% done</t>
        </is>
      </c>
    </row>
    <row r="153">
      <c r="A153" s="45" t="n">
        <v>148</v>
      </c>
      <c r="B153" s="45" t="inlineStr">
        <is>
          <t>Yr 12.3</t>
        </is>
      </c>
      <c r="W153" s="144" t="n">
        <v>80230222222.22057</v>
      </c>
      <c r="X153" s="144" t="n">
        <v>153691762894.2206</v>
      </c>
      <c r="Y153" s="60" t="n">
        <v>0.9578171332277213</v>
      </c>
      <c r="Z153" s="145" t="n">
        <v>5014388888.888889</v>
      </c>
      <c r="AA153" s="62" t="inlineStr">
        <is>
          <t>82% done</t>
        </is>
      </c>
    </row>
    <row r="154">
      <c r="A154" s="7" t="n">
        <v>149</v>
      </c>
      <c r="B154" s="7" t="inlineStr">
        <is>
          <t>Yr 12.4</t>
        </is>
      </c>
      <c r="W154" s="144" t="n">
        <v>77723027777.77612</v>
      </c>
      <c r="X154" s="144" t="n">
        <v>149189679881.6458</v>
      </c>
      <c r="Y154" s="60" t="n">
        <v>0.9597521104569259</v>
      </c>
      <c r="Z154" s="145" t="n">
        <v>5014388888.888889</v>
      </c>
      <c r="AA154" s="62" t="inlineStr">
        <is>
          <t>83% done</t>
        </is>
      </c>
    </row>
    <row r="155">
      <c r="A155" s="45" t="n">
        <v>150</v>
      </c>
      <c r="B155" s="45" t="inlineStr">
        <is>
          <t>Yr 12.5</t>
        </is>
      </c>
      <c r="W155" s="144" t="n">
        <v>75215833333.33168</v>
      </c>
      <c r="X155" s="144" t="n">
        <v>144672589925.6957</v>
      </c>
      <c r="Y155" s="60" t="n">
        <v>0.9617163269637306</v>
      </c>
      <c r="Z155" s="145" t="n">
        <v>5014388888.888889</v>
      </c>
      <c r="AA155" s="62" t="inlineStr">
        <is>
          <t>83% done</t>
        </is>
      </c>
    </row>
    <row r="156">
      <c r="A156" s="7" t="n">
        <v>151</v>
      </c>
      <c r="B156" s="7" t="inlineStr">
        <is>
          <t>Yr 12.6</t>
        </is>
      </c>
      <c r="W156" s="144" t="n">
        <v>72708638888.88724</v>
      </c>
      <c r="X156" s="144" t="n">
        <v>140140443003.2258</v>
      </c>
      <c r="Y156" s="60" t="n">
        <v>0.963712463503734</v>
      </c>
      <c r="Z156" s="145" t="n">
        <v>5014388888.888889</v>
      </c>
      <c r="AA156" s="62" t="inlineStr">
        <is>
          <t>84% done</t>
        </is>
      </c>
    </row>
    <row r="157">
      <c r="A157" s="45" t="n">
        <v>152</v>
      </c>
      <c r="B157" s="45" t="inlineStr">
        <is>
          <t>Yr 12.7</t>
        </is>
      </c>
      <c r="W157" s="144" t="n">
        <v>70201444444.44279</v>
      </c>
      <c r="X157" s="144" t="n">
        <v>135593188924.3477</v>
      </c>
      <c r="Y157" s="60" t="n">
        <v>0.965743582610011</v>
      </c>
      <c r="Z157" s="145" t="n">
        <v>5014388888.888889</v>
      </c>
      <c r="AA157" s="62" t="inlineStr">
        <is>
          <t>84% done</t>
        </is>
      </c>
    </row>
    <row r="158">
      <c r="A158" s="7" t="n">
        <v>153</v>
      </c>
      <c r="B158" s="7" t="inlineStr">
        <is>
          <t>Yr 12.8</t>
        </is>
      </c>
      <c r="W158" s="144" t="n">
        <v>67694249999.99835</v>
      </c>
      <c r="X158" s="144" t="n">
        <v>131030777331.8733</v>
      </c>
      <c r="Y158" s="60" t="n">
        <v>0.9678131992885399</v>
      </c>
      <c r="Z158" s="145" t="n">
        <v>5014388888.888889</v>
      </c>
      <c r="AA158" s="62" t="inlineStr">
        <is>
          <t>85% done</t>
        </is>
      </c>
    </row>
    <row r="159">
      <c r="A159" s="45" t="n">
        <v>154</v>
      </c>
      <c r="B159" s="45" t="inlineStr">
        <is>
          <t>Yr 12.8</t>
        </is>
      </c>
      <c r="W159" s="144" t="n">
        <v>65187055555.55391</v>
      </c>
      <c r="X159" s="144" t="n">
        <v>126453157700.7573</v>
      </c>
      <c r="Y159" s="60" t="n">
        <v>0.9699253680279439</v>
      </c>
      <c r="Z159" s="145" t="n">
        <v>5014388888.888889</v>
      </c>
      <c r="AA159" s="62" t="inlineStr">
        <is>
          <t>86% done</t>
        </is>
      </c>
    </row>
    <row r="160">
      <c r="A160" s="7" t="n">
        <v>155</v>
      </c>
      <c r="B160" s="7" t="inlineStr">
        <is>
          <t>Yr 12.9</t>
        </is>
      </c>
      <c r="W160" s="144" t="n">
        <v>62679861111.10947</v>
      </c>
      <c r="X160" s="144" t="n">
        <v>121860279337.5376</v>
      </c>
      <c r="Y160" s="60" t="n">
        <v>0.9720847906915585</v>
      </c>
      <c r="Z160" s="145" t="n">
        <v>5014388888.888889</v>
      </c>
      <c r="AA160" s="62" t="inlineStr">
        <is>
          <t>86% done</t>
        </is>
      </c>
    </row>
    <row r="161">
      <c r="A161" s="45" t="n">
        <v>156</v>
      </c>
      <c r="B161" s="45" t="inlineStr">
        <is>
          <t>Yr 13.0</t>
        </is>
      </c>
      <c r="W161" s="144" t="n">
        <v>60172666666.66502</v>
      </c>
      <c r="X161" s="144" t="n">
        <v>117252091379.7738</v>
      </c>
      <c r="Y161" s="60" t="n">
        <v>0.9742969513824969</v>
      </c>
      <c r="Z161" s="145" t="n">
        <v>5014388888.888889</v>
      </c>
      <c r="AA161" s="62" t="inlineStr">
        <is>
          <t>87% done</t>
        </is>
      </c>
    </row>
    <row r="162">
      <c r="A162" s="7" t="n">
        <v>157</v>
      </c>
      <c r="B162" s="7" t="inlineStr">
        <is>
          <t>Yr 13.1</t>
        </is>
      </c>
      <c r="W162" s="144" t="n">
        <v>57665472222.22058</v>
      </c>
      <c r="X162" s="144" t="n">
        <v>112628542795.4842</v>
      </c>
      <c r="Y162" s="60" t="n">
        <v>0.9765682864908923</v>
      </c>
      <c r="Z162" s="145" t="n">
        <v>5014388888.888889</v>
      </c>
      <c r="AA162" s="62" t="inlineStr">
        <is>
          <t>87% done</t>
        </is>
      </c>
    </row>
    <row r="163">
      <c r="A163" s="45" t="n">
        <v>158</v>
      </c>
      <c r="B163" s="45" t="inlineStr">
        <is>
          <t>Yr 13.2</t>
        </is>
      </c>
      <c r="W163" s="144" t="n">
        <v>55158277777.77614</v>
      </c>
      <c r="X163" s="144" t="n">
        <v>107989582382.5803</v>
      </c>
      <c r="Y163" s="60" t="n">
        <v>0.9789064011176436</v>
      </c>
      <c r="Z163" s="145" t="n">
        <v>5014388888.888889</v>
      </c>
      <c r="AA163" s="62" t="inlineStr">
        <is>
          <t>88% done</t>
        </is>
      </c>
    </row>
    <row r="164">
      <c r="A164" s="7" t="n">
        <v>159</v>
      </c>
      <c r="B164" s="7" t="inlineStr">
        <is>
          <t>Yr 13.2</t>
        </is>
      </c>
      <c r="W164" s="144" t="n">
        <v>52651083333.3317</v>
      </c>
      <c r="X164" s="144" t="n">
        <v>103335158768.3</v>
      </c>
      <c r="Y164" s="60" t="n">
        <v>0.9813203473334977</v>
      </c>
      <c r="Z164" s="145" t="n">
        <v>5014388888.888889</v>
      </c>
      <c r="AA164" s="62" t="inlineStr">
        <is>
          <t>88% done</t>
        </is>
      </c>
    </row>
    <row r="165">
      <c r="A165" s="45" t="n">
        <v>160</v>
      </c>
      <c r="B165" s="45" t="inlineStr">
        <is>
          <t>Yr 13.3</t>
        </is>
      </c>
      <c r="W165" s="144" t="n">
        <v>50143888888.88725</v>
      </c>
      <c r="X165" s="144" t="n">
        <v>98665220408.63876</v>
      </c>
      <c r="Y165" s="60" t="n">
        <v>0.9838209859158398</v>
      </c>
      <c r="Z165" s="145" t="n">
        <v>5014388888.888889</v>
      </c>
      <c r="AA165" s="62" t="inlineStr">
        <is>
          <t>89% done</t>
        </is>
      </c>
    </row>
    <row r="166">
      <c r="A166" s="7" t="n">
        <v>161</v>
      </c>
      <c r="B166" s="7" t="inlineStr">
        <is>
          <t>Yr 13.4</t>
        </is>
      </c>
      <c r="W166" s="144" t="n">
        <v>47636694444.44281</v>
      </c>
      <c r="X166" s="144" t="n">
        <v>93979715587.77867</v>
      </c>
      <c r="Y166" s="60" t="n">
        <v>0.9864214623181325</v>
      </c>
      <c r="Z166" s="145" t="n">
        <v>5014388888.888889</v>
      </c>
      <c r="AA166" s="62" t="inlineStr">
        <is>
          <t>89% done</t>
        </is>
      </c>
    </row>
    <row r="167">
      <c r="A167" s="45" t="n">
        <v>162</v>
      </c>
      <c r="B167" s="45" t="inlineStr">
        <is>
          <t>Yr 13.5</t>
        </is>
      </c>
      <c r="W167" s="144" t="n">
        <v>45129499999.99837</v>
      </c>
      <c r="X167" s="144" t="n">
        <v>89278592417.51572</v>
      </c>
      <c r="Y167" s="60" t="n">
        <v>0.9891378412958148</v>
      </c>
      <c r="Z167" s="145" t="n">
        <v>5014388888.888889</v>
      </c>
      <c r="AA167" s="62" t="inlineStr">
        <is>
          <t>90% done</t>
        </is>
      </c>
    </row>
    <row r="168">
      <c r="A168" s="7" t="n">
        <v>163</v>
      </c>
      <c r="B168" s="7" t="inlineStr">
        <is>
          <t>Yr 13.6</t>
        </is>
      </c>
      <c r="W168" s="144" t="n">
        <v>42622305555.55392</v>
      </c>
      <c r="X168" s="144" t="n">
        <v>84561798836.68521</v>
      </c>
      <c r="Y168" s="60" t="n">
        <v>0.9919899655177891</v>
      </c>
      <c r="Z168" s="145" t="n">
        <v>5014388888.888889</v>
      </c>
      <c r="AA168" s="62" t="inlineStr">
        <is>
          <t>91% done</t>
        </is>
      </c>
    </row>
    <row r="169">
      <c r="A169" s="45" t="n">
        <v>164</v>
      </c>
      <c r="B169" s="45" t="inlineStr">
        <is>
          <t>Yr 13.7</t>
        </is>
      </c>
      <c r="W169" s="144" t="n">
        <v>40115111111.10948</v>
      </c>
      <c r="X169" s="144" t="n">
        <v>79829282610.58528</v>
      </c>
      <c r="Y169" s="60" t="n">
        <v>0.9950026361571931</v>
      </c>
      <c r="Z169" s="145" t="n">
        <v>5014388888.888889</v>
      </c>
      <c r="AA169" s="62" t="inlineStr">
        <is>
          <t>91% done</t>
        </is>
      </c>
    </row>
    <row r="170">
      <c r="A170" s="7" t="n">
        <v>165</v>
      </c>
      <c r="B170" s="7" t="inlineStr">
        <is>
          <t>Yr 13.8</t>
        </is>
      </c>
      <c r="W170" s="144" t="n">
        <v>37607916666.66504</v>
      </c>
      <c r="X170" s="144" t="n">
        <v>75080991330.39835</v>
      </c>
      <c r="Y170" s="60" t="n">
        <v>0.9982072657184538</v>
      </c>
      <c r="Z170" s="145" t="n">
        <v>5014388888.888889</v>
      </c>
      <c r="AA170" s="62" t="inlineStr">
        <is>
          <t>92% done</t>
        </is>
      </c>
    </row>
    <row r="171">
      <c r="A171" s="45" t="n">
        <v>166</v>
      </c>
      <c r="B171" s="45" t="inlineStr">
        <is>
          <t>Yr 13.8</t>
        </is>
      </c>
      <c r="W171" s="144" t="n">
        <v>35100722222.2206</v>
      </c>
      <c r="X171" s="144" t="n">
        <v>70316872412.61079</v>
      </c>
      <c r="Y171" s="60" t="n">
        <v>1.001644239218766</v>
      </c>
      <c r="Z171" s="145" t="n">
        <v>5014388888.888889</v>
      </c>
      <c r="AA171" s="62" t="inlineStr">
        <is>
          <t>92% done</t>
        </is>
      </c>
    </row>
    <row r="172">
      <c r="A172" s="7" t="n">
        <v>167</v>
      </c>
      <c r="B172" s="7" t="inlineStr">
        <is>
          <t>Yr 13.9</t>
        </is>
      </c>
      <c r="W172" s="144" t="n">
        <v>32593527777.77615</v>
      </c>
      <c r="X172" s="144" t="n">
        <v>65536873098.43062</v>
      </c>
      <c r="Y172" s="60" t="n">
        <v>1.005366365145611</v>
      </c>
      <c r="Z172" s="145" t="n">
        <v>5014388888.888889</v>
      </c>
      <c r="AA172" s="62" t="inlineStr">
        <is>
          <t>93% done</t>
        </is>
      </c>
    </row>
    <row r="173">
      <c r="A173" s="45" t="n">
        <v>168</v>
      </c>
      <c r="B173" s="45" t="inlineStr">
        <is>
          <t>Yr 14.0</t>
        </is>
      </c>
      <c r="W173" s="144" t="n">
        <v>30086333333.33171</v>
      </c>
      <c r="X173" s="144" t="n">
        <v>60740940453.20317</v>
      </c>
      <c r="Y173" s="60" t="n">
        <v>1.009444051892993</v>
      </c>
      <c r="Z173" s="145" t="n">
        <v>5014388888.888889</v>
      </c>
      <c r="AA173" s="62" t="inlineStr">
        <is>
          <t>93% done</t>
        </is>
      </c>
    </row>
    <row r="174">
      <c r="A174" s="7" t="n">
        <v>169</v>
      </c>
      <c r="B174" s="7" t="inlineStr">
        <is>
          <t>Yr 14.1</t>
        </is>
      </c>
      <c r="W174" s="144" t="n">
        <v>27579138888.88727</v>
      </c>
      <c r="X174" s="144" t="n">
        <v>55929021365.82495</v>
      </c>
      <c r="Y174" s="60" t="n">
        <v>1.013973307708331</v>
      </c>
      <c r="Z174" s="145" t="n">
        <v>5014388888.888889</v>
      </c>
      <c r="AA174" s="62" t="inlineStr">
        <is>
          <t>94% done</t>
        </is>
      </c>
    </row>
    <row r="175">
      <c r="A175" s="45" t="n">
        <v>170</v>
      </c>
      <c r="B175" s="45" t="inlineStr">
        <is>
          <t>Yr 14.2</t>
        </is>
      </c>
      <c r="W175" s="144" t="n">
        <v>25071944444.44283</v>
      </c>
      <c r="X175" s="144" t="n">
        <v>51101062548.15547</v>
      </c>
      <c r="Y175" s="60" t="n">
        <v>1.019088540607427</v>
      </c>
      <c r="Z175" s="145" t="n">
        <v>5014388888.888889</v>
      </c>
      <c r="AA175" s="62" t="inlineStr">
        <is>
          <t>94% done</t>
        </is>
      </c>
    </row>
    <row r="176">
      <c r="A176" s="7" t="n">
        <v>171</v>
      </c>
      <c r="B176" s="7" t="inlineStr">
        <is>
          <t>Yr 14.2</t>
        </is>
      </c>
      <c r="W176" s="144" t="n">
        <v>22564749999.99838</v>
      </c>
      <c r="X176" s="144" t="n">
        <v>46257010534.42709</v>
      </c>
      <c r="Y176" s="60" t="n">
        <v>1.024983891566058</v>
      </c>
      <c r="Z176" s="145" t="n">
        <v>5014388888.888889</v>
      </c>
      <c r="AA176" s="62" t="inlineStr">
        <is>
          <t>95% done</t>
        </is>
      </c>
    </row>
    <row r="177">
      <c r="A177" s="45" t="n">
        <v>172</v>
      </c>
      <c r="B177" s="45" t="inlineStr">
        <is>
          <t>Yr 14.3</t>
        </is>
      </c>
      <c r="W177" s="144" t="n">
        <v>20057555555.55394</v>
      </c>
      <c r="X177" s="144" t="n">
        <v>41396811680.65295</v>
      </c>
      <c r="Y177" s="60" t="n">
        <v>1.031950567605188</v>
      </c>
      <c r="Z177" s="145" t="n">
        <v>5014388888.888889</v>
      </c>
      <c r="AA177" s="62" t="inlineStr">
        <is>
          <t>96% done</t>
        </is>
      </c>
    </row>
    <row r="178">
      <c r="A178" s="7" t="n">
        <v>173</v>
      </c>
      <c r="B178" s="7" t="inlineStr">
        <is>
          <t>Yr 14.4</t>
        </is>
      </c>
      <c r="W178" s="144" t="n">
        <v>17550361111.1095</v>
      </c>
      <c r="X178" s="144" t="n">
        <v>36520412164.03291</v>
      </c>
      <c r="Y178" s="60" t="n">
        <v>1.040446174663473</v>
      </c>
      <c r="Z178" s="145" t="n">
        <v>5014388888.888889</v>
      </c>
      <c r="AA178" s="62" t="inlineStr">
        <is>
          <t>96% done</t>
        </is>
      </c>
    </row>
    <row r="179">
      <c r="A179" s="45" t="n">
        <v>174</v>
      </c>
      <c r="B179" s="45" t="inlineStr">
        <is>
          <t>Yr 14.5</t>
        </is>
      </c>
      <c r="W179" s="144" t="n">
        <v>15043166666.66505</v>
      </c>
      <c r="X179" s="144" t="n">
        <v>31627757982.35746</v>
      </c>
      <c r="Y179" s="60" t="n">
        <v>1.051233383342188</v>
      </c>
      <c r="Z179" s="145" t="n">
        <v>5014388888.888889</v>
      </c>
      <c r="AA179" s="62" t="inlineStr">
        <is>
          <t>97% done</t>
        </is>
      </c>
    </row>
    <row r="180">
      <c r="A180" s="7" t="n">
        <v>175</v>
      </c>
      <c r="B180" s="7" t="inlineStr">
        <is>
          <t>Yr 14.6</t>
        </is>
      </c>
      <c r="W180" s="144" t="n">
        <v>12535972222.22061</v>
      </c>
      <c r="X180" s="144" t="n">
        <v>26718794953.40977</v>
      </c>
      <c r="Y180" s="60" t="n">
        <v>1.065684993543996</v>
      </c>
      <c r="Z180" s="145" t="n">
        <v>5014388888.888889</v>
      </c>
      <c r="AA180" s="62" t="inlineStr">
        <is>
          <t>97% done</t>
        </is>
      </c>
    </row>
    <row r="181">
      <c r="A181" s="45" t="n">
        <v>176</v>
      </c>
      <c r="B181" s="45" t="inlineStr">
        <is>
          <t>Yr 14.7</t>
        </is>
      </c>
      <c r="W181" s="144" t="n">
        <v>10028777777.77616</v>
      </c>
      <c r="X181" s="144" t="n">
        <v>21793468714.36558</v>
      </c>
      <c r="Y181" s="60" t="n">
        <v>1.086546596069765</v>
      </c>
      <c r="Z181" s="145" t="n">
        <v>5014388888.888889</v>
      </c>
      <c r="AA181" s="62" t="inlineStr">
        <is>
          <t>98% done</t>
        </is>
      </c>
    </row>
    <row r="182">
      <c r="A182" s="7" t="n">
        <v>177</v>
      </c>
      <c r="B182" s="7" t="inlineStr">
        <is>
          <t>Yr 14.8</t>
        </is>
      </c>
      <c r="W182" s="144" t="n">
        <v>7521583333.331718</v>
      </c>
      <c r="X182" s="144" t="n">
        <v>16851724721.19124</v>
      </c>
      <c r="Y182" s="60" t="n">
        <v>1.120224557408892</v>
      </c>
      <c r="Z182" s="145" t="n">
        <v>5014388888.888889</v>
      </c>
      <c r="AA182" s="62" t="inlineStr">
        <is>
          <t>98% done</t>
        </is>
      </c>
    </row>
    <row r="183">
      <c r="A183" s="45" t="n">
        <v>178</v>
      </c>
      <c r="B183" s="45" t="inlineStr">
        <is>
          <t>Yr 14.8</t>
        </is>
      </c>
      <c r="W183" s="144" t="n">
        <v>5014388888.887274</v>
      </c>
      <c r="X183" s="144" t="n">
        <v>11893508248.03966</v>
      </c>
      <c r="Y183" s="60" t="n">
        <v>1.185937958900402</v>
      </c>
      <c r="Z183" s="145" t="n">
        <v>5014388888.888889</v>
      </c>
      <c r="AA183" s="62" t="inlineStr">
        <is>
          <t>99% done</t>
        </is>
      </c>
    </row>
    <row r="184">
      <c r="A184" s="7" t="n">
        <v>179</v>
      </c>
      <c r="B184" s="7" t="inlineStr">
        <is>
          <t>Yr 14.9</t>
        </is>
      </c>
      <c r="W184" s="144" t="n">
        <v>2507194444.442829</v>
      </c>
      <c r="X184" s="144" t="n">
        <v>6918764386.644234</v>
      </c>
      <c r="Y184" s="60" t="n">
        <v>1.379782170860263</v>
      </c>
      <c r="Z184" s="145" t="n">
        <v>5014388888.888889</v>
      </c>
      <c r="AA184" s="62" t="inlineStr">
        <is>
          <t>99% done</t>
        </is>
      </c>
    </row>
    <row r="185">
      <c r="A185" s="45" t="n">
        <v>180</v>
      </c>
      <c r="B185" s="45" t="inlineStr">
        <is>
          <t>Yr 15.0</t>
        </is>
      </c>
      <c r="W185" s="146" t="n">
        <v>0</v>
      </c>
      <c r="X185" s="146" t="n">
        <v>1927438045.710825</v>
      </c>
      <c r="Y185" s="64" t="n">
        <v>0</v>
      </c>
      <c r="Z185" s="147" t="n">
        <v>5014388888.888889</v>
      </c>
      <c r="AA185" s="66" t="inlineStr">
        <is>
          <t>✓ COMPLETE</t>
        </is>
      </c>
    </row>
  </sheetData>
  <mergeCells count="7">
    <mergeCell ref="H3:L3"/>
    <mergeCell ref="A1:AA1"/>
    <mergeCell ref="A2:AA2"/>
    <mergeCell ref="R3:V3"/>
    <mergeCell ref="W3:AA3"/>
    <mergeCell ref="M3:Q3"/>
    <mergeCell ref="C3:G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103" min="1" max="1"/>
    <col width="10" customWidth="1" style="103" min="2" max="3"/>
    <col width="12" customWidth="1" style="103" min="4" max="5"/>
    <col width="14" customWidth="1" style="103" min="6" max="10"/>
  </cols>
  <sheetData>
    <row r="1" ht="17.25" customHeight="1" s="103">
      <c r="A1" s="109" t="inlineStr">
        <is>
          <t>L ≥ 35% Gate Analysis — Phase 1 Impact on Participation</t>
        </is>
      </c>
    </row>
    <row r="2">
      <c r="A2" s="108" t="inlineStr">
        <is>
          <t>E=2,000 credits/employee/mo | P=0 | Baseline vs. L≥35% hard gate (new enrollment capped to prevent L dropping below 35%)</t>
        </is>
      </c>
    </row>
    <row r="4" ht="26.25" customHeight="1" s="103">
      <c r="A4" s="19" t="inlineStr">
        <is>
          <t>Year</t>
        </is>
      </c>
      <c r="B4" s="19" t="inlineStr">
        <is>
          <t>L
Baseline</t>
        </is>
      </c>
      <c r="C4" s="19" t="inlineStr">
        <is>
          <t>L
Gated</t>
        </is>
      </c>
      <c r="D4" s="19" t="inlineStr">
        <is>
          <t>L
Difference</t>
        </is>
      </c>
      <c r="E4" s="19" t="inlineStr">
        <is>
          <t>Employees
Baseline</t>
        </is>
      </c>
      <c r="F4" s="19" t="inlineStr">
        <is>
          <t>Employees
Gated</t>
        </is>
      </c>
      <c r="G4" s="19" t="inlineStr">
        <is>
          <t>Employees
Lost to Gate</t>
        </is>
      </c>
      <c r="H4" s="19" t="inlineStr">
        <is>
          <t>Escrow J
Baseline</t>
        </is>
      </c>
      <c r="I4" s="19" t="inlineStr">
        <is>
          <t>Escrow J
Gated</t>
        </is>
      </c>
      <c r="J4" s="19" t="inlineStr">
        <is>
          <t>Cumulative
Waitlist</t>
        </is>
      </c>
    </row>
    <row r="5">
      <c r="A5" s="45" t="inlineStr">
        <is>
          <t>Year 1</t>
        </is>
      </c>
      <c r="B5" s="67" t="n">
        <v>0.456611347002685</v>
      </c>
      <c r="C5" s="49" t="n">
        <v>0.4570909689587445</v>
      </c>
      <c r="D5" s="49" t="n">
        <v>0.000479621956059495</v>
      </c>
      <c r="E5" s="68" t="n">
        <v>8000</v>
      </c>
      <c r="F5" s="69" t="n">
        <v>2500</v>
      </c>
      <c r="G5" s="70" t="n">
        <v>5500</v>
      </c>
      <c r="H5" s="139" t="n">
        <v>115066059.4446766</v>
      </c>
      <c r="I5" s="139" t="n">
        <v>54850916.27504934</v>
      </c>
      <c r="J5" s="68" t="n">
        <v>33000</v>
      </c>
    </row>
    <row r="6">
      <c r="A6" s="7" t="inlineStr">
        <is>
          <t>Year 2</t>
        </is>
      </c>
      <c r="B6" s="71" t="n">
        <v>0.459911055121811</v>
      </c>
      <c r="C6" s="49" t="n">
        <v>0.4454849900247133</v>
      </c>
      <c r="D6" s="49" t="n">
        <v>-0.01442606509709771</v>
      </c>
      <c r="E6" s="72" t="n">
        <v>36000</v>
      </c>
      <c r="F6" s="69" t="n">
        <v>2500</v>
      </c>
      <c r="G6" s="70" t="n">
        <v>33500</v>
      </c>
      <c r="H6" s="128" t="n">
        <v>607082592.7607905</v>
      </c>
      <c r="I6" s="128" t="n">
        <v>106916397.6059312</v>
      </c>
      <c r="J6" s="70" t="n">
        <v>270000</v>
      </c>
    </row>
    <row r="7">
      <c r="A7" s="45" t="inlineStr">
        <is>
          <t>Year 3</t>
        </is>
      </c>
      <c r="B7" s="67" t="n">
        <v>0.4572620237604675</v>
      </c>
      <c r="C7" s="49" t="n">
        <v>0.4271378590375904</v>
      </c>
      <c r="D7" s="49" t="n">
        <v>-0.03012416472287716</v>
      </c>
      <c r="E7" s="68" t="n">
        <v>66000</v>
      </c>
      <c r="F7" s="69" t="n">
        <v>2500</v>
      </c>
      <c r="G7" s="70" t="n">
        <v>63500</v>
      </c>
      <c r="H7" s="139" t="n">
        <v>1750399026.95507</v>
      </c>
      <c r="I7" s="139" t="n">
        <v>153769629.2535325</v>
      </c>
      <c r="J7" s="70" t="n">
        <v>867000</v>
      </c>
    </row>
    <row r="8">
      <c r="A8" s="7" t="inlineStr">
        <is>
          <t>Year 5</t>
        </is>
      </c>
      <c r="B8" s="71" t="n">
        <v>0.4343449787620949</v>
      </c>
      <c r="C8" s="49" t="n">
        <v>0.3849687857466496</v>
      </c>
      <c r="D8" s="49" t="n">
        <v>-0.04937619301544527</v>
      </c>
      <c r="E8" s="72" t="n">
        <v>131500</v>
      </c>
      <c r="F8" s="69" t="n">
        <v>2500</v>
      </c>
      <c r="G8" s="70" t="n">
        <v>129000</v>
      </c>
      <c r="H8" s="128" t="n">
        <v>5775050837.620813</v>
      </c>
      <c r="I8" s="128" t="n">
        <v>230981271.4479898</v>
      </c>
      <c r="J8" s="70" t="n">
        <v>3174000</v>
      </c>
    </row>
    <row r="9">
      <c r="A9" s="45" t="inlineStr">
        <is>
          <t>Year 7</t>
        </is>
      </c>
      <c r="B9" s="67" t="n">
        <v>0.4091695868911006</v>
      </c>
      <c r="C9" s="49" t="n">
        <v>0.3499999871114767</v>
      </c>
      <c r="D9" s="49" t="n">
        <v>-0.05916959977962388</v>
      </c>
      <c r="E9" s="68" t="n">
        <v>220500</v>
      </c>
      <c r="F9" s="69" t="n">
        <v>5845</v>
      </c>
      <c r="G9" s="70" t="n">
        <v>214655</v>
      </c>
      <c r="H9" s="139" t="n">
        <v>12358558202.4588</v>
      </c>
      <c r="I9" s="139" t="n">
        <v>317710388.3005203</v>
      </c>
      <c r="J9" s="70" t="n">
        <v>7324064</v>
      </c>
    </row>
    <row r="10">
      <c r="A10" s="7" t="inlineStr">
        <is>
          <t>Year 10</t>
        </is>
      </c>
      <c r="B10" s="71" t="n">
        <v>0.3719317509358657</v>
      </c>
      <c r="C10" s="49" t="n">
        <v>0.3499998930120272</v>
      </c>
      <c r="D10" s="49" t="n">
        <v>-0.0219318579238385</v>
      </c>
      <c r="E10" s="72" t="n">
        <v>399500</v>
      </c>
      <c r="F10" s="69" t="n">
        <v>14953</v>
      </c>
      <c r="G10" s="70" t="n">
        <v>384547</v>
      </c>
      <c r="H10" s="128" t="n">
        <v>27943976311.31346</v>
      </c>
      <c r="I10" s="128" t="n">
        <v>812811751.539691</v>
      </c>
      <c r="J10" s="70" t="n">
        <v>18202420</v>
      </c>
    </row>
    <row r="11">
      <c r="A11" s="45" t="inlineStr">
        <is>
          <t>Year 12</t>
        </is>
      </c>
      <c r="B11" s="73" t="n">
        <v>0.3446510204275249</v>
      </c>
      <c r="C11" s="49" t="n">
        <v>0.3499999465148225</v>
      </c>
      <c r="D11" s="49" t="n">
        <v>0.005348926087297645</v>
      </c>
      <c r="E11" s="68" t="n">
        <v>519500</v>
      </c>
      <c r="F11" s="69" t="n">
        <v>27971</v>
      </c>
      <c r="G11" s="70" t="n">
        <v>491529</v>
      </c>
      <c r="H11" s="139" t="n">
        <v>41180282524.76238</v>
      </c>
      <c r="I11" s="139" t="n">
        <v>1520417967.657608</v>
      </c>
      <c r="J11" s="70" t="n">
        <v>28784987</v>
      </c>
    </row>
    <row r="12">
      <c r="A12" s="7" t="inlineStr">
        <is>
          <t>Year 15</t>
        </is>
      </c>
      <c r="B12" s="74" t="n">
        <v>0.3037416660106823</v>
      </c>
      <c r="C12" s="49" t="n">
        <v>0.3499999793957917</v>
      </c>
      <c r="D12" s="49" t="n">
        <v>0.04625831338510944</v>
      </c>
      <c r="E12" s="72" t="n">
        <v>814500</v>
      </c>
      <c r="F12" s="69" t="n">
        <v>71560</v>
      </c>
      <c r="G12" s="70" t="n">
        <v>742940</v>
      </c>
      <c r="H12" s="128" t="n">
        <v>64737068760.18874</v>
      </c>
      <c r="I12" s="128" t="n">
        <v>3889756971.013236</v>
      </c>
      <c r="J12" s="70" t="n">
        <v>50504602</v>
      </c>
    </row>
    <row r="13">
      <c r="A13" s="45" t="inlineStr">
        <is>
          <t>Year 20</t>
        </is>
      </c>
      <c r="B13" s="73" t="n">
        <v>0.2401322388997037</v>
      </c>
      <c r="C13" s="49" t="n">
        <v>0.3499999901399407</v>
      </c>
      <c r="D13" s="49" t="n">
        <v>0.109867751240237</v>
      </c>
      <c r="E13" s="68" t="n">
        <v>1414500</v>
      </c>
      <c r="F13" s="69" t="n">
        <v>342454</v>
      </c>
      <c r="G13" s="70" t="n">
        <v>1072046</v>
      </c>
      <c r="H13" s="139" t="n">
        <v>115698594288.744</v>
      </c>
      <c r="I13" s="139" t="n">
        <v>18614648675.59558</v>
      </c>
      <c r="J13" s="70" t="n">
        <v>107156822</v>
      </c>
    </row>
    <row r="14">
      <c r="A14" s="7" t="inlineStr">
        <is>
          <t>Year 25</t>
        </is>
      </c>
      <c r="B14" s="74" t="n">
        <v>0.1620397507346489</v>
      </c>
      <c r="C14" s="49" t="n">
        <v>0.3499999982580828</v>
      </c>
      <c r="D14" s="49" t="n">
        <v>0.1879602475234338</v>
      </c>
      <c r="E14" s="72" t="n">
        <v>2014500</v>
      </c>
      <c r="F14" s="69" t="n">
        <v>1638836</v>
      </c>
      <c r="G14" s="70" t="n">
        <v>375664</v>
      </c>
      <c r="H14" s="128" t="n">
        <v>144943260714.1376</v>
      </c>
      <c r="I14" s="128" t="n">
        <v>89081442356.64999</v>
      </c>
      <c r="J14" s="70" t="n">
        <v>159993398</v>
      </c>
    </row>
    <row r="16">
      <c r="A16" s="112" t="inlineStr">
        <is>
          <t>Key Findings</t>
        </is>
      </c>
    </row>
    <row r="17">
      <c r="A17" s="111" t="inlineStr">
        <is>
          <t>• A hard L≥35% gate maintains solvency but severely restricts participation — especially in years 1–10 where the gate is most binding.</t>
        </is>
      </c>
    </row>
    <row r="18">
      <c r="A18" s="111" t="inlineStr">
        <is>
          <t>• Employees locked out of the system accumulate on the waitlist, representing latent demand that cannot be served until L naturally recovers through growth.</t>
        </is>
      </c>
    </row>
    <row r="19">
      <c r="A19" s="111" t="inlineStr">
        <is>
          <t>• By Year 10, the baseline has ~400K employees vs ~15K under the gate — a 96% reduction in participation to gain +5pp of L floor protection.</t>
        </is>
      </c>
    </row>
    <row r="20">
      <c r="A20" s="111" t="inlineStr">
        <is>
          <t>• Recommendation: Use the tiered gate (SS-3 through SS-6) rather than a hard 35% freeze. The tiered approach throttles growth gradually, preserving more participation while still protecting L.</t>
        </is>
      </c>
    </row>
  </sheetData>
  <mergeCells count="7">
    <mergeCell ref="A1:J1"/>
    <mergeCell ref="A17:J17"/>
    <mergeCell ref="A18:J18"/>
    <mergeCell ref="A2:J2"/>
    <mergeCell ref="A20:J20"/>
    <mergeCell ref="A16:J16"/>
    <mergeCell ref="A19:J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style="103" min="1" max="2"/>
    <col width="10" customWidth="1" style="103" min="3" max="4"/>
    <col width="12" customWidth="1" style="103" min="5" max="9"/>
    <col width="14" customWidth="1" style="103" min="10" max="10"/>
  </cols>
  <sheetData>
    <row r="1" ht="15.75" customHeight="1" s="103">
      <c r="A1" s="113" t="inlineStr">
        <is>
          <t>Month-by-Month Detail — Baseline vs L≥35% Gate</t>
        </is>
      </c>
    </row>
    <row r="3" ht="39" customHeight="1" s="103">
      <c r="A3" s="19" t="inlineStr">
        <is>
          <t>Month</t>
        </is>
      </c>
      <c r="B3" s="19" t="inlineStr">
        <is>
          <t>Year</t>
        </is>
      </c>
      <c r="C3" s="19" t="inlineStr">
        <is>
          <t>L Baseline</t>
        </is>
      </c>
      <c r="D3" s="19" t="inlineStr">
        <is>
          <t>L Gated</t>
        </is>
      </c>
      <c r="E3" s="19" t="inlineStr">
        <is>
          <t>Employees
Baseline</t>
        </is>
      </c>
      <c r="F3" s="19" t="inlineStr">
        <is>
          <t>Employees
Gated</t>
        </is>
      </c>
      <c r="G3" s="19" t="inlineStr">
        <is>
          <t>New Emp
Baseline</t>
        </is>
      </c>
      <c r="H3" s="19" t="inlineStr">
        <is>
          <t>New Emp
Gated (allowed)</t>
        </is>
      </c>
      <c r="I3" s="19" t="inlineStr">
        <is>
          <t>Waitlisted
This Month</t>
        </is>
      </c>
      <c r="J3" s="19" t="inlineStr">
        <is>
          <t>Cumul.
Waitlist</t>
        </is>
      </c>
    </row>
    <row r="4">
      <c r="A4" s="45" t="n">
        <v>1</v>
      </c>
      <c r="B4" s="45" t="inlineStr">
        <is>
          <t>Yr 0.1</t>
        </is>
      </c>
      <c r="C4" s="47" t="n">
        <v>0.45</v>
      </c>
      <c r="D4" s="32" t="n">
        <v>0.45</v>
      </c>
      <c r="E4" s="68" t="n">
        <v>2500</v>
      </c>
      <c r="F4" s="68" t="n">
        <v>2500</v>
      </c>
      <c r="G4" s="68" t="n">
        <v>2500</v>
      </c>
      <c r="H4" s="68" t="n">
        <v>2500</v>
      </c>
      <c r="I4" s="68" t="n">
        <v>0</v>
      </c>
      <c r="J4" s="68" t="n">
        <v>0</v>
      </c>
    </row>
    <row r="5">
      <c r="A5" s="7" t="n">
        <v>2</v>
      </c>
      <c r="B5" s="7" t="inlineStr">
        <is>
          <t>Yr 0.2</t>
        </is>
      </c>
      <c r="C5" s="22" t="n">
        <v>0.4506818181818182</v>
      </c>
      <c r="D5" s="32" t="n">
        <v>0.45075</v>
      </c>
      <c r="E5" s="72" t="n">
        <v>3000</v>
      </c>
      <c r="F5" s="72" t="n">
        <v>2500</v>
      </c>
      <c r="G5" s="72" t="n">
        <v>500</v>
      </c>
      <c r="H5" s="72" t="n">
        <v>0</v>
      </c>
      <c r="I5" s="72" t="n">
        <v>500</v>
      </c>
      <c r="J5" s="72" t="n">
        <v>500</v>
      </c>
    </row>
    <row r="6">
      <c r="A6" s="45" t="n">
        <v>3</v>
      </c>
      <c r="B6" s="45" t="inlineStr">
        <is>
          <t>Yr 0.2</t>
        </is>
      </c>
      <c r="C6" s="47" t="n">
        <v>0.4513347222222222</v>
      </c>
      <c r="D6" s="32" t="n">
        <v>0.4515016666666667</v>
      </c>
      <c r="E6" s="68" t="n">
        <v>3500</v>
      </c>
      <c r="F6" s="68" t="n">
        <v>2500</v>
      </c>
      <c r="G6" s="68" t="n">
        <v>500</v>
      </c>
      <c r="H6" s="68" t="n">
        <v>0</v>
      </c>
      <c r="I6" s="68" t="n">
        <v>1000</v>
      </c>
      <c r="J6" s="68" t="n">
        <v>1500</v>
      </c>
    </row>
    <row r="7">
      <c r="A7" s="7" t="n">
        <v>4</v>
      </c>
      <c r="B7" s="7" t="inlineStr">
        <is>
          <t>Yr 0.3</t>
        </is>
      </c>
      <c r="C7" s="22" t="n">
        <v>0.4519655801282051</v>
      </c>
      <c r="D7" s="32" t="n">
        <v>0.4522550041666667</v>
      </c>
      <c r="E7" s="72" t="n">
        <v>4000</v>
      </c>
      <c r="F7" s="72" t="n">
        <v>2500</v>
      </c>
      <c r="G7" s="72" t="n">
        <v>500</v>
      </c>
      <c r="H7" s="72" t="n">
        <v>0</v>
      </c>
      <c r="I7" s="70" t="n">
        <v>1500</v>
      </c>
      <c r="J7" s="72" t="n">
        <v>3000</v>
      </c>
    </row>
    <row r="8">
      <c r="A8" s="45" t="n">
        <v>5</v>
      </c>
      <c r="B8" s="45" t="inlineStr">
        <is>
          <t>Yr 0.4</t>
        </is>
      </c>
      <c r="C8" s="47" t="n">
        <v>0.4525792981031746</v>
      </c>
      <c r="D8" s="32" t="n">
        <v>0.4530100166777778</v>
      </c>
      <c r="E8" s="68" t="n">
        <v>4500</v>
      </c>
      <c r="F8" s="68" t="n">
        <v>2500</v>
      </c>
      <c r="G8" s="68" t="n">
        <v>500</v>
      </c>
      <c r="H8" s="68" t="n">
        <v>0</v>
      </c>
      <c r="I8" s="70" t="n">
        <v>2000</v>
      </c>
      <c r="J8" s="68" t="n">
        <v>5000</v>
      </c>
    </row>
    <row r="9">
      <c r="A9" s="7" t="n">
        <v>6</v>
      </c>
      <c r="B9" s="7" t="inlineStr">
        <is>
          <t>Yr 0.5</t>
        </is>
      </c>
      <c r="C9" s="22" t="n">
        <v>0.4531794744827365</v>
      </c>
      <c r="D9" s="32" t="n">
        <v>0.4537667083889197</v>
      </c>
      <c r="E9" s="72" t="n">
        <v>5000</v>
      </c>
      <c r="F9" s="72" t="n">
        <v>2500</v>
      </c>
      <c r="G9" s="72" t="n">
        <v>500</v>
      </c>
      <c r="H9" s="72" t="n">
        <v>0</v>
      </c>
      <c r="I9" s="70" t="n">
        <v>2500</v>
      </c>
      <c r="J9" s="72" t="n">
        <v>7500</v>
      </c>
    </row>
    <row r="10">
      <c r="A10" s="45" t="n">
        <v>7</v>
      </c>
      <c r="B10" s="45" t="inlineStr">
        <is>
          <t>Yr 0.6</t>
        </is>
      </c>
      <c r="C10" s="47" t="n">
        <v>0.4537688084445635</v>
      </c>
      <c r="D10" s="32" t="n">
        <v>0.4545250835001853</v>
      </c>
      <c r="E10" s="68" t="n">
        <v>5500</v>
      </c>
      <c r="F10" s="68" t="n">
        <v>2500</v>
      </c>
      <c r="G10" s="68" t="n">
        <v>500</v>
      </c>
      <c r="H10" s="68" t="n">
        <v>0</v>
      </c>
      <c r="I10" s="70" t="n">
        <v>3000</v>
      </c>
      <c r="J10" s="68" t="n">
        <v>10500</v>
      </c>
    </row>
    <row r="11">
      <c r="A11" s="7" t="n">
        <v>8</v>
      </c>
      <c r="B11" s="7" t="inlineStr">
        <is>
          <t>Yr 0.7</t>
        </is>
      </c>
      <c r="C11" s="22" t="n">
        <v>0.4543493644677236</v>
      </c>
      <c r="D11" s="32" t="n">
        <v>0.455285146222871</v>
      </c>
      <c r="E11" s="72" t="n">
        <v>6000</v>
      </c>
      <c r="F11" s="72" t="n">
        <v>2500</v>
      </c>
      <c r="G11" s="72" t="n">
        <v>500</v>
      </c>
      <c r="H11" s="72" t="n">
        <v>0</v>
      </c>
      <c r="I11" s="70" t="n">
        <v>3500</v>
      </c>
      <c r="J11" s="72" t="n">
        <v>14000</v>
      </c>
    </row>
    <row r="12">
      <c r="A12" s="45" t="n">
        <v>9</v>
      </c>
      <c r="B12" s="45" t="inlineStr">
        <is>
          <t>Yr 0.8</t>
        </is>
      </c>
      <c r="C12" s="47" t="n">
        <v>0.454922748638904</v>
      </c>
      <c r="D12" s="32" t="n">
        <v>0.4560469007795087</v>
      </c>
      <c r="E12" s="68" t="n">
        <v>6500</v>
      </c>
      <c r="F12" s="68" t="n">
        <v>2500</v>
      </c>
      <c r="G12" s="68" t="n">
        <v>500</v>
      </c>
      <c r="H12" s="68" t="n">
        <v>0</v>
      </c>
      <c r="I12" s="70" t="n">
        <v>4000</v>
      </c>
      <c r="J12" s="68" t="n">
        <v>18000</v>
      </c>
    </row>
    <row r="13">
      <c r="A13" s="7" t="n">
        <v>10</v>
      </c>
      <c r="B13" s="7" t="inlineStr">
        <is>
          <t>Yr 0.8</t>
        </is>
      </c>
      <c r="C13" s="22" t="n">
        <v>0.4554902292829867</v>
      </c>
      <c r="D13" s="32" t="n">
        <v>0.4568103514038963</v>
      </c>
      <c r="E13" s="72" t="n">
        <v>7000</v>
      </c>
      <c r="F13" s="72" t="n">
        <v>2500</v>
      </c>
      <c r="G13" s="72" t="n">
        <v>500</v>
      </c>
      <c r="H13" s="72" t="n">
        <v>0</v>
      </c>
      <c r="I13" s="70" t="n">
        <v>4500</v>
      </c>
      <c r="J13" s="72" t="n">
        <v>22500</v>
      </c>
    </row>
    <row r="14">
      <c r="A14" s="45" t="n">
        <v>11</v>
      </c>
      <c r="B14" s="45" t="inlineStr">
        <is>
          <t>Yr 0.9</t>
        </is>
      </c>
      <c r="C14" s="47" t="n">
        <v>0.4560528214044546</v>
      </c>
      <c r="D14" s="32" t="n">
        <v>0.4571209568865842</v>
      </c>
      <c r="E14" s="68" t="n">
        <v>7500</v>
      </c>
      <c r="F14" s="68" t="n">
        <v>2500</v>
      </c>
      <c r="G14" s="68" t="n">
        <v>500</v>
      </c>
      <c r="H14" s="68" t="n">
        <v>0</v>
      </c>
      <c r="I14" s="70" t="n">
        <v>5000</v>
      </c>
      <c r="J14" s="68" t="n">
        <v>27500</v>
      </c>
    </row>
    <row r="15">
      <c r="A15" s="7" t="n">
        <v>12</v>
      </c>
      <c r="B15" s="7" t="inlineStr">
        <is>
          <t>Yr 1.0</t>
        </is>
      </c>
      <c r="C15" s="22" t="n">
        <v>0.456611347002685</v>
      </c>
      <c r="D15" s="32" t="n">
        <v>0.4570909689587445</v>
      </c>
      <c r="E15" s="72" t="n">
        <v>8000</v>
      </c>
      <c r="F15" s="72" t="n">
        <v>2500</v>
      </c>
      <c r="G15" s="72" t="n">
        <v>500</v>
      </c>
      <c r="H15" s="72" t="n">
        <v>0</v>
      </c>
      <c r="I15" s="70" t="n">
        <v>5500</v>
      </c>
      <c r="J15" s="72" t="n">
        <v>33000</v>
      </c>
    </row>
    <row r="16">
      <c r="A16" s="45" t="n">
        <v>13</v>
      </c>
      <c r="B16" s="45" t="inlineStr">
        <is>
          <t>Yr 1.1</t>
        </is>
      </c>
      <c r="C16" s="47" t="n">
        <v>0.4571664789376184</v>
      </c>
      <c r="D16" s="32" t="n">
        <v>0.456798097404868</v>
      </c>
      <c r="E16" s="68" t="n">
        <v>8500</v>
      </c>
      <c r="F16" s="68" t="n">
        <v>2500</v>
      </c>
      <c r="G16" s="68" t="n">
        <v>500</v>
      </c>
      <c r="H16" s="68" t="n">
        <v>0</v>
      </c>
      <c r="I16" s="70" t="n">
        <v>6000</v>
      </c>
      <c r="J16" s="68" t="n">
        <v>39000</v>
      </c>
    </row>
    <row r="17">
      <c r="A17" s="7" t="n">
        <v>14</v>
      </c>
      <c r="B17" s="7" t="inlineStr">
        <is>
          <t>Yr 1.2</t>
        </is>
      </c>
      <c r="C17" s="22" t="n">
        <v>0.457531651573978</v>
      </c>
      <c r="D17" s="32" t="n">
        <v>0.4562978464631544</v>
      </c>
      <c r="E17" s="72" t="n">
        <v>11000</v>
      </c>
      <c r="F17" s="72" t="n">
        <v>2500</v>
      </c>
      <c r="G17" s="72" t="n">
        <v>2500</v>
      </c>
      <c r="H17" s="72" t="n">
        <v>0</v>
      </c>
      <c r="I17" s="70" t="n">
        <v>8500</v>
      </c>
      <c r="J17" s="72" t="n">
        <v>47500</v>
      </c>
    </row>
    <row r="18">
      <c r="A18" s="45" t="n">
        <v>15</v>
      </c>
      <c r="B18" s="45" t="inlineStr">
        <is>
          <t>Yr 1.2</t>
        </is>
      </c>
      <c r="C18" s="47" t="n">
        <v>0.4577831506149586</v>
      </c>
      <c r="D18" s="32" t="n">
        <v>0.4556309166657184</v>
      </c>
      <c r="E18" s="68" t="n">
        <v>13500</v>
      </c>
      <c r="F18" s="68" t="n">
        <v>2500</v>
      </c>
      <c r="G18" s="68" t="n">
        <v>2500</v>
      </c>
      <c r="H18" s="68" t="n">
        <v>0</v>
      </c>
      <c r="I18" s="70" t="n">
        <v>11000</v>
      </c>
      <c r="J18" s="68" t="n">
        <v>58500</v>
      </c>
    </row>
    <row r="19">
      <c r="A19" s="7" t="n">
        <v>16</v>
      </c>
      <c r="B19" s="7" t="inlineStr">
        <is>
          <t>Yr 1.3</t>
        </is>
      </c>
      <c r="C19" s="22" t="n">
        <v>0.4579792238145787</v>
      </c>
      <c r="D19" s="32" t="n">
        <v>0.4548278309886914</v>
      </c>
      <c r="E19" s="72" t="n">
        <v>16000</v>
      </c>
      <c r="F19" s="72" t="n">
        <v>2500</v>
      </c>
      <c r="G19" s="72" t="n">
        <v>2500</v>
      </c>
      <c r="H19" s="72" t="n">
        <v>0</v>
      </c>
      <c r="I19" s="70" t="n">
        <v>13500</v>
      </c>
      <c r="J19" s="72" t="n">
        <v>72000</v>
      </c>
    </row>
    <row r="20">
      <c r="A20" s="45" t="n">
        <v>17</v>
      </c>
      <c r="B20" s="45" t="inlineStr">
        <is>
          <t>Yr 1.4</t>
        </is>
      </c>
      <c r="C20" s="47" t="n">
        <v>0.4581582527008193</v>
      </c>
      <c r="D20" s="32" t="n">
        <v>0.4539119282434387</v>
      </c>
      <c r="E20" s="68" t="n">
        <v>18500</v>
      </c>
      <c r="F20" s="68" t="n">
        <v>2500</v>
      </c>
      <c r="G20" s="68" t="n">
        <v>2500</v>
      </c>
      <c r="H20" s="68" t="n">
        <v>0</v>
      </c>
      <c r="I20" s="70" t="n">
        <v>16000</v>
      </c>
      <c r="J20" s="68" t="n">
        <v>88000</v>
      </c>
    </row>
    <row r="21">
      <c r="A21" s="7" t="n">
        <v>18</v>
      </c>
      <c r="B21" s="7" t="inlineStr">
        <is>
          <t>Yr 1.5</t>
        </is>
      </c>
      <c r="C21" s="22" t="n">
        <v>0.4583429096856884</v>
      </c>
      <c r="D21" s="32" t="n">
        <v>0.4529013586706807</v>
      </c>
      <c r="E21" s="72" t="n">
        <v>21000</v>
      </c>
      <c r="F21" s="72" t="n">
        <v>2500</v>
      </c>
      <c r="G21" s="72" t="n">
        <v>2500</v>
      </c>
      <c r="H21" s="72" t="n">
        <v>0</v>
      </c>
      <c r="I21" s="70" t="n">
        <v>18500</v>
      </c>
      <c r="J21" s="72" t="n">
        <v>106500</v>
      </c>
    </row>
    <row r="22">
      <c r="A22" s="45" t="n">
        <v>19</v>
      </c>
      <c r="B22" s="45" t="inlineStr">
        <is>
          <t>Yr 1.6</t>
        </is>
      </c>
      <c r="C22" s="47" t="n">
        <v>0.4585452227815603</v>
      </c>
      <c r="D22" s="32" t="n">
        <v>0.4518104493469734</v>
      </c>
      <c r="E22" s="68" t="n">
        <v>23500</v>
      </c>
      <c r="F22" s="68" t="n">
        <v>2500</v>
      </c>
      <c r="G22" s="68" t="n">
        <v>2500</v>
      </c>
      <c r="H22" s="68" t="n">
        <v>0</v>
      </c>
      <c r="I22" s="70" t="n">
        <v>21000</v>
      </c>
      <c r="J22" s="68" t="n">
        <v>127500</v>
      </c>
    </row>
    <row r="23">
      <c r="A23" s="7" t="n">
        <v>20</v>
      </c>
      <c r="B23" s="7" t="inlineStr">
        <is>
          <t>Yr 1.7</t>
        </is>
      </c>
      <c r="C23" s="22" t="n">
        <v>0.4587706402988174</v>
      </c>
      <c r="D23" s="32" t="n">
        <v>0.4506506599692234</v>
      </c>
      <c r="E23" s="72" t="n">
        <v>26000</v>
      </c>
      <c r="F23" s="72" t="n">
        <v>2500</v>
      </c>
      <c r="G23" s="72" t="n">
        <v>2500</v>
      </c>
      <c r="H23" s="72" t="n">
        <v>0</v>
      </c>
      <c r="I23" s="70" t="n">
        <v>23500</v>
      </c>
      <c r="J23" s="72" t="n">
        <v>151000</v>
      </c>
    </row>
    <row r="24">
      <c r="A24" s="45" t="n">
        <v>21</v>
      </c>
      <c r="B24" s="45" t="inlineStr">
        <is>
          <t>Yr 1.8</t>
        </is>
      </c>
      <c r="C24" s="47" t="n">
        <v>0.4590208062268519</v>
      </c>
      <c r="D24" s="32" t="n">
        <v>0.4494312655578929</v>
      </c>
      <c r="E24" s="68" t="n">
        <v>28500</v>
      </c>
      <c r="F24" s="68" t="n">
        <v>2500</v>
      </c>
      <c r="G24" s="68" t="n">
        <v>2500</v>
      </c>
      <c r="H24" s="68" t="n">
        <v>0</v>
      </c>
      <c r="I24" s="70" t="n">
        <v>26000</v>
      </c>
      <c r="J24" s="68" t="n">
        <v>177000</v>
      </c>
    </row>
    <row r="25">
      <c r="A25" s="7" t="n">
        <v>22</v>
      </c>
      <c r="B25" s="7" t="inlineStr">
        <is>
          <t>Yr 1.8</t>
        </is>
      </c>
      <c r="C25" s="22" t="n">
        <v>0.4592953011356086</v>
      </c>
      <c r="D25" s="32" t="n">
        <v>0.4481598529684002</v>
      </c>
      <c r="E25" s="72" t="n">
        <v>31000</v>
      </c>
      <c r="F25" s="72" t="n">
        <v>2500</v>
      </c>
      <c r="G25" s="72" t="n">
        <v>2500</v>
      </c>
      <c r="H25" s="72" t="n">
        <v>0</v>
      </c>
      <c r="I25" s="70" t="n">
        <v>28500</v>
      </c>
      <c r="J25" s="72" t="n">
        <v>205500</v>
      </c>
    </row>
    <row r="26">
      <c r="A26" s="45" t="n">
        <v>23</v>
      </c>
      <c r="B26" s="45" t="inlineStr">
        <is>
          <t>Yr 1.9</t>
        </is>
      </c>
      <c r="C26" s="47" t="n">
        <v>0.4595926781144404</v>
      </c>
      <c r="D26" s="32" t="n">
        <v>0.4468426878777892</v>
      </c>
      <c r="E26" s="68" t="n">
        <v>33500</v>
      </c>
      <c r="F26" s="68" t="n">
        <v>2500</v>
      </c>
      <c r="G26" s="68" t="n">
        <v>2500</v>
      </c>
      <c r="H26" s="68" t="n">
        <v>0</v>
      </c>
      <c r="I26" s="70" t="n">
        <v>31000</v>
      </c>
      <c r="J26" s="68" t="n">
        <v>236500</v>
      </c>
    </row>
    <row r="27">
      <c r="A27" s="7" t="n">
        <v>24</v>
      </c>
      <c r="B27" s="7" t="inlineStr">
        <is>
          <t>Yr 2.0</t>
        </is>
      </c>
      <c r="C27" s="22" t="n">
        <v>0.459911055121811</v>
      </c>
      <c r="D27" s="32" t="n">
        <v>0.4454849900247133</v>
      </c>
      <c r="E27" s="72" t="n">
        <v>36000</v>
      </c>
      <c r="F27" s="72" t="n">
        <v>2500</v>
      </c>
      <c r="G27" s="72" t="n">
        <v>2500</v>
      </c>
      <c r="H27" s="72" t="n">
        <v>0</v>
      </c>
      <c r="I27" s="70" t="n">
        <v>33500</v>
      </c>
      <c r="J27" s="72" t="n">
        <v>270000</v>
      </c>
    </row>
    <row r="28">
      <c r="A28" s="45" t="n">
        <v>25</v>
      </c>
      <c r="B28" s="45" t="inlineStr">
        <is>
          <t>Yr 2.1</t>
        </is>
      </c>
      <c r="C28" s="47" t="n">
        <v>0.4602484405721346</v>
      </c>
      <c r="D28" s="32" t="n">
        <v>0.4440911423918038</v>
      </c>
      <c r="E28" s="68" t="n">
        <v>38500</v>
      </c>
      <c r="F28" s="68" t="n">
        <v>2500</v>
      </c>
      <c r="G28" s="68" t="n">
        <v>2500</v>
      </c>
      <c r="H28" s="68" t="n">
        <v>0</v>
      </c>
      <c r="I28" s="70" t="n">
        <v>36000</v>
      </c>
      <c r="J28" s="68" t="n">
        <v>306000</v>
      </c>
    </row>
    <row r="29">
      <c r="A29" s="7" t="n">
        <v>26</v>
      </c>
      <c r="B29" s="7" t="inlineStr">
        <is>
          <t>Yr 2.2</t>
        </is>
      </c>
      <c r="C29" s="22" t="n">
        <v>0.4606029031794897</v>
      </c>
      <c r="D29" s="32" t="n">
        <v>0.4426648521151697</v>
      </c>
      <c r="E29" s="72" t="n">
        <v>41000</v>
      </c>
      <c r="F29" s="72" t="n">
        <v>2500</v>
      </c>
      <c r="G29" s="72" t="n">
        <v>2500</v>
      </c>
      <c r="H29" s="72" t="n">
        <v>0</v>
      </c>
      <c r="I29" s="70" t="n">
        <v>38500</v>
      </c>
      <c r="J29" s="72" t="n">
        <v>344500</v>
      </c>
    </row>
    <row r="30">
      <c r="A30" s="45" t="n">
        <v>27</v>
      </c>
      <c r="B30" s="45" t="inlineStr">
        <is>
          <t>Yr 2.2</t>
        </is>
      </c>
      <c r="C30" s="47" t="n">
        <v>0.4607739775162054</v>
      </c>
      <c r="D30" s="32" t="n">
        <v>0.4412092756362121</v>
      </c>
      <c r="E30" s="68" t="n">
        <v>43500</v>
      </c>
      <c r="F30" s="68" t="n">
        <v>2500</v>
      </c>
      <c r="G30" s="68" t="n">
        <v>2500</v>
      </c>
      <c r="H30" s="68" t="n">
        <v>0</v>
      </c>
      <c r="I30" s="70" t="n">
        <v>41000</v>
      </c>
      <c r="J30" s="68" t="n">
        <v>385500</v>
      </c>
    </row>
    <row r="31">
      <c r="A31" s="7" t="n">
        <v>28</v>
      </c>
      <c r="B31" s="7" t="inlineStr">
        <is>
          <t>Yr 2.3</t>
        </is>
      </c>
      <c r="C31" s="22" t="n">
        <v>0.4607843297011834</v>
      </c>
      <c r="D31" s="32" t="n">
        <v>0.439727117035178</v>
      </c>
      <c r="E31" s="72" t="n">
        <v>46000</v>
      </c>
      <c r="F31" s="72" t="n">
        <v>2500</v>
      </c>
      <c r="G31" s="72" t="n">
        <v>2500</v>
      </c>
      <c r="H31" s="72" t="n">
        <v>0</v>
      </c>
      <c r="I31" s="70" t="n">
        <v>43500</v>
      </c>
      <c r="J31" s="72" t="n">
        <v>429000</v>
      </c>
    </row>
    <row r="32">
      <c r="A32" s="45" t="n">
        <v>29</v>
      </c>
      <c r="B32" s="45" t="inlineStr">
        <is>
          <t>Yr 2.4</t>
        </is>
      </c>
      <c r="C32" s="47" t="n">
        <v>0.460658115901297</v>
      </c>
      <c r="D32" s="32" t="n">
        <v>0.4382207060198254</v>
      </c>
      <c r="E32" s="68" t="n">
        <v>48500</v>
      </c>
      <c r="F32" s="68" t="n">
        <v>2500</v>
      </c>
      <c r="G32" s="68" t="n">
        <v>2500</v>
      </c>
      <c r="H32" s="68" t="n">
        <v>0</v>
      </c>
      <c r="I32" s="70" t="n">
        <v>46000</v>
      </c>
      <c r="J32" s="68" t="n">
        <v>475000</v>
      </c>
    </row>
    <row r="33">
      <c r="A33" s="7" t="n">
        <v>30</v>
      </c>
      <c r="B33" s="7" t="inlineStr">
        <is>
          <t>Yr 2.5</t>
        </is>
      </c>
      <c r="C33" s="22" t="n">
        <v>0.4604152372890226</v>
      </c>
      <c r="D33" s="32" t="n">
        <v>0.4366920603163395</v>
      </c>
      <c r="E33" s="72" t="n">
        <v>51000</v>
      </c>
      <c r="F33" s="72" t="n">
        <v>2500</v>
      </c>
      <c r="G33" s="72" t="n">
        <v>2500</v>
      </c>
      <c r="H33" s="72" t="n">
        <v>0</v>
      </c>
      <c r="I33" s="70" t="n">
        <v>48500</v>
      </c>
      <c r="J33" s="72" t="n">
        <v>523500</v>
      </c>
    </row>
    <row r="34">
      <c r="A34" s="45" t="n">
        <v>31</v>
      </c>
      <c r="B34" s="45" t="inlineStr">
        <is>
          <t>Yr 2.6</t>
        </is>
      </c>
      <c r="C34" s="47" t="n">
        <v>0.4600721593801712</v>
      </c>
      <c r="D34" s="32" t="n">
        <v>0.4351429359845749</v>
      </c>
      <c r="E34" s="68" t="n">
        <v>53500</v>
      </c>
      <c r="F34" s="68" t="n">
        <v>2500</v>
      </c>
      <c r="G34" s="68" t="n">
        <v>2500</v>
      </c>
      <c r="H34" s="68" t="n">
        <v>0</v>
      </c>
      <c r="I34" s="70" t="n">
        <v>51000</v>
      </c>
      <c r="J34" s="68" t="n">
        <v>574500</v>
      </c>
    </row>
    <row r="35">
      <c r="A35" s="7" t="n">
        <v>32</v>
      </c>
      <c r="B35" s="7" t="inlineStr">
        <is>
          <t>Yr 2.7</t>
        </is>
      </c>
      <c r="C35" s="22" t="n">
        <v>0.4596425679033774</v>
      </c>
      <c r="D35" s="32" t="n">
        <v>0.4335748682991737</v>
      </c>
      <c r="E35" s="72" t="n">
        <v>56000</v>
      </c>
      <c r="F35" s="72" t="n">
        <v>2500</v>
      </c>
      <c r="G35" s="72" t="n">
        <v>2500</v>
      </c>
      <c r="H35" s="72" t="n">
        <v>0</v>
      </c>
      <c r="I35" s="70" t="n">
        <v>53500</v>
      </c>
      <c r="J35" s="72" t="n">
        <v>628000</v>
      </c>
    </row>
    <row r="36">
      <c r="A36" s="45" t="n">
        <v>33</v>
      </c>
      <c r="B36" s="45" t="inlineStr">
        <is>
          <t>Yr 2.8</t>
        </is>
      </c>
      <c r="C36" s="47" t="n">
        <v>0.4591378924146682</v>
      </c>
      <c r="D36" s="32" t="n">
        <v>0.4319892051977416</v>
      </c>
      <c r="E36" s="68" t="n">
        <v>58500</v>
      </c>
      <c r="F36" s="68" t="n">
        <v>2500</v>
      </c>
      <c r="G36" s="68" t="n">
        <v>2500</v>
      </c>
      <c r="H36" s="68" t="n">
        <v>0</v>
      </c>
      <c r="I36" s="70" t="n">
        <v>56000</v>
      </c>
      <c r="J36" s="68" t="n">
        <v>684000</v>
      </c>
    </row>
    <row r="37">
      <c r="A37" s="7" t="n">
        <v>34</v>
      </c>
      <c r="B37" s="7" t="inlineStr">
        <is>
          <t>Yr 2.8</t>
        </is>
      </c>
      <c r="C37" s="22" t="n">
        <v>0.4585677242911936</v>
      </c>
      <c r="D37" s="32" t="n">
        <v>0.430387134826389</v>
      </c>
      <c r="E37" s="72" t="n">
        <v>61000</v>
      </c>
      <c r="F37" s="72" t="n">
        <v>2500</v>
      </c>
      <c r="G37" s="72" t="n">
        <v>2500</v>
      </c>
      <c r="H37" s="72" t="n">
        <v>0</v>
      </c>
      <c r="I37" s="70" t="n">
        <v>58500</v>
      </c>
      <c r="J37" s="72" t="n">
        <v>742500</v>
      </c>
    </row>
    <row r="38">
      <c r="A38" s="45" t="n">
        <v>35</v>
      </c>
      <c r="B38" s="45" t="inlineStr">
        <is>
          <t>Yr 2.9</t>
        </is>
      </c>
      <c r="C38" s="47" t="n">
        <v>0.4579401509432838</v>
      </c>
      <c r="D38" s="32" t="n">
        <v>0.4287697083631681</v>
      </c>
      <c r="E38" s="68" t="n">
        <v>63500</v>
      </c>
      <c r="F38" s="68" t="n">
        <v>2500</v>
      </c>
      <c r="G38" s="68" t="n">
        <v>2500</v>
      </c>
      <c r="H38" s="68" t="n">
        <v>0</v>
      </c>
      <c r="I38" s="70" t="n">
        <v>61000</v>
      </c>
      <c r="J38" s="68" t="n">
        <v>803500</v>
      </c>
    </row>
    <row r="39">
      <c r="A39" s="7" t="n">
        <v>36</v>
      </c>
      <c r="B39" s="7" t="inlineStr">
        <is>
          <t>Yr 3.0</t>
        </is>
      </c>
      <c r="C39" s="22" t="n">
        <v>0.4572620237604675</v>
      </c>
      <c r="D39" s="32" t="n">
        <v>0.4271378590375904</v>
      </c>
      <c r="E39" s="72" t="n">
        <v>66000</v>
      </c>
      <c r="F39" s="72" t="n">
        <v>2500</v>
      </c>
      <c r="G39" s="72" t="n">
        <v>2500</v>
      </c>
      <c r="H39" s="72" t="n">
        <v>0</v>
      </c>
      <c r="I39" s="70" t="n">
        <v>63500</v>
      </c>
      <c r="J39" s="72" t="n">
        <v>867000</v>
      </c>
    </row>
    <row r="40">
      <c r="A40" s="45" t="n">
        <v>37</v>
      </c>
      <c r="B40" s="45" t="inlineStr">
        <is>
          <t>Yr 3.1</t>
        </is>
      </c>
      <c r="C40" s="47" t="n">
        <v>0.4565391736660784</v>
      </c>
      <c r="D40" s="32" t="n">
        <v>0.4254924180658855</v>
      </c>
      <c r="E40" s="68" t="n">
        <v>68500</v>
      </c>
      <c r="F40" s="68" t="n">
        <v>2500</v>
      </c>
      <c r="G40" s="68" t="n">
        <v>2500</v>
      </c>
      <c r="H40" s="68" t="n">
        <v>0</v>
      </c>
      <c r="I40" s="70" t="n">
        <v>66000</v>
      </c>
      <c r="J40" s="68" t="n">
        <v>933000</v>
      </c>
    </row>
    <row r="41">
      <c r="A41" s="7" t="n">
        <v>38</v>
      </c>
      <c r="B41" s="7" t="inlineStr">
        <is>
          <t>Yr 3.2</t>
        </is>
      </c>
      <c r="C41" s="22" t="n">
        <v>0.4557765851982477</v>
      </c>
      <c r="D41" s="32" t="n">
        <v>0.423834128070155</v>
      </c>
      <c r="E41" s="72" t="n">
        <v>71000</v>
      </c>
      <c r="F41" s="72" t="n">
        <v>2500</v>
      </c>
      <c r="G41" s="72" t="n">
        <v>2500</v>
      </c>
      <c r="H41" s="72" t="n">
        <v>0</v>
      </c>
      <c r="I41" s="70" t="n">
        <v>68500</v>
      </c>
      <c r="J41" s="72" t="n">
        <v>1001500</v>
      </c>
    </row>
    <row r="42">
      <c r="A42" s="45" t="n">
        <v>39</v>
      </c>
      <c r="B42" s="45" t="inlineStr">
        <is>
          <t>Yr 3.2</t>
        </is>
      </c>
      <c r="C42" s="47" t="n">
        <v>0.4549785376827164</v>
      </c>
      <c r="D42" s="32" t="n">
        <v>0.4221636544330284</v>
      </c>
      <c r="E42" s="68" t="n">
        <v>73500</v>
      </c>
      <c r="F42" s="68" t="n">
        <v>2500</v>
      </c>
      <c r="G42" s="68" t="n">
        <v>2500</v>
      </c>
      <c r="H42" s="68" t="n">
        <v>0</v>
      </c>
      <c r="I42" s="70" t="n">
        <v>71000</v>
      </c>
      <c r="J42" s="68" t="n">
        <v>1072500</v>
      </c>
    </row>
    <row r="43">
      <c r="A43" s="7" t="n">
        <v>40</v>
      </c>
      <c r="B43" s="7" t="inlineStr">
        <is>
          <t>Yr 3.3</t>
        </is>
      </c>
      <c r="C43" s="22" t="n">
        <v>0.4541487202132752</v>
      </c>
      <c r="D43" s="32" t="n">
        <v>0.4204815949491101</v>
      </c>
      <c r="E43" s="72" t="n">
        <v>76000</v>
      </c>
      <c r="F43" s="72" t="n">
        <v>2500</v>
      </c>
      <c r="G43" s="72" t="n">
        <v>2500</v>
      </c>
      <c r="H43" s="72" t="n">
        <v>0</v>
      </c>
      <c r="I43" s="70" t="n">
        <v>73500</v>
      </c>
      <c r="J43" s="72" t="n">
        <v>1146000</v>
      </c>
    </row>
    <row r="44">
      <c r="A44" s="45" t="n">
        <v>41</v>
      </c>
      <c r="B44" s="45" t="inlineStr">
        <is>
          <t>Yr 3.4</t>
        </is>
      </c>
      <c r="C44" s="47" t="n">
        <v>0.4532903257106027</v>
      </c>
      <c r="D44" s="32" t="n">
        <v>0.4187884880640069</v>
      </c>
      <c r="E44" s="68" t="n">
        <v>78500</v>
      </c>
      <c r="F44" s="68" t="n">
        <v>2500</v>
      </c>
      <c r="G44" s="68" t="n">
        <v>2500</v>
      </c>
      <c r="H44" s="68" t="n">
        <v>0</v>
      </c>
      <c r="I44" s="70" t="n">
        <v>76000</v>
      </c>
      <c r="J44" s="68" t="n">
        <v>1222000</v>
      </c>
    </row>
    <row r="45">
      <c r="A45" s="7" t="n">
        <v>42</v>
      </c>
      <c r="B45" s="7" t="inlineStr">
        <is>
          <t>Yr 3.5</t>
        </is>
      </c>
      <c r="C45" s="22" t="n">
        <v>0.4524061282046998</v>
      </c>
      <c r="D45" s="32" t="n">
        <v>0.4170848199363421</v>
      </c>
      <c r="E45" s="72" t="n">
        <v>81000</v>
      </c>
      <c r="F45" s="72" t="n">
        <v>2500</v>
      </c>
      <c r="G45" s="72" t="n">
        <v>2500</v>
      </c>
      <c r="H45" s="72" t="n">
        <v>0</v>
      </c>
      <c r="I45" s="70" t="n">
        <v>78500</v>
      </c>
      <c r="J45" s="72" t="n">
        <v>1300500</v>
      </c>
    </row>
    <row r="46">
      <c r="A46" s="45" t="n">
        <v>43</v>
      </c>
      <c r="B46" s="45" t="inlineStr">
        <is>
          <t>Yr 3.6</t>
        </is>
      </c>
      <c r="C46" s="47" t="n">
        <v>0.4514985466100366</v>
      </c>
      <c r="D46" s="32" t="n">
        <v>0.4153710305143594</v>
      </c>
      <c r="E46" s="68" t="n">
        <v>83500</v>
      </c>
      <c r="F46" s="68" t="n">
        <v>2500</v>
      </c>
      <c r="G46" s="68" t="n">
        <v>2500</v>
      </c>
      <c r="H46" s="68" t="n">
        <v>0</v>
      </c>
      <c r="I46" s="70" t="n">
        <v>81000</v>
      </c>
      <c r="J46" s="68" t="n">
        <v>1381500</v>
      </c>
    </row>
    <row r="47">
      <c r="A47" s="7" t="n">
        <v>44</v>
      </c>
      <c r="B47" s="7" t="inlineStr">
        <is>
          <t>Yr 3.7</t>
        </is>
      </c>
      <c r="C47" s="22" t="n">
        <v>0.4505696975801179</v>
      </c>
      <c r="D47" s="32" t="n">
        <v>0.4136475187838904</v>
      </c>
      <c r="E47" s="72" t="n">
        <v>86000</v>
      </c>
      <c r="F47" s="72" t="n">
        <v>2500</v>
      </c>
      <c r="G47" s="72" t="n">
        <v>2500</v>
      </c>
      <c r="H47" s="72" t="n">
        <v>0</v>
      </c>
      <c r="I47" s="70" t="n">
        <v>83500</v>
      </c>
      <c r="J47" s="72" t="n">
        <v>1465000</v>
      </c>
    </row>
    <row r="48">
      <c r="A48" s="45" t="n">
        <v>45</v>
      </c>
      <c r="B48" s="45" t="inlineStr">
        <is>
          <t>Yr 3.8</t>
        </is>
      </c>
      <c r="C48" s="47" t="n">
        <v>0.4496214394956305</v>
      </c>
      <c r="D48" s="32" t="n">
        <v>0.4119146473165811</v>
      </c>
      <c r="E48" s="68" t="n">
        <v>88500</v>
      </c>
      <c r="F48" s="68" t="n">
        <v>2500</v>
      </c>
      <c r="G48" s="68" t="n">
        <v>2500</v>
      </c>
      <c r="H48" s="68" t="n">
        <v>0</v>
      </c>
      <c r="I48" s="70" t="n">
        <v>86000</v>
      </c>
      <c r="J48" s="68" t="n">
        <v>1551000</v>
      </c>
    </row>
    <row r="49">
      <c r="A49" s="7" t="n">
        <v>46</v>
      </c>
      <c r="B49" s="7" t="inlineStr">
        <is>
          <t>Yr 3.8</t>
        </is>
      </c>
      <c r="C49" s="22" t="n">
        <v>0.4486554092237017</v>
      </c>
      <c r="D49" s="32" t="n">
        <v>0.4101727462248617</v>
      </c>
      <c r="E49" s="72" t="n">
        <v>91000</v>
      </c>
      <c r="F49" s="72" t="n">
        <v>2500</v>
      </c>
      <c r="G49" s="72" t="n">
        <v>2500</v>
      </c>
      <c r="H49" s="72" t="n">
        <v>0</v>
      </c>
      <c r="I49" s="70" t="n">
        <v>88500</v>
      </c>
      <c r="J49" s="72" t="n">
        <v>1639500</v>
      </c>
    </row>
    <row r="50">
      <c r="A50" s="45" t="n">
        <v>47</v>
      </c>
      <c r="B50" s="45" t="inlineStr">
        <is>
          <t>Yr 3.9</t>
        </is>
      </c>
      <c r="C50" s="47" t="n">
        <v>0.4476730529588355</v>
      </c>
      <c r="D50" s="32" t="n">
        <v>0.4084221166120167</v>
      </c>
      <c r="E50" s="68" t="n">
        <v>93500</v>
      </c>
      <c r="F50" s="68" t="n">
        <v>2500</v>
      </c>
      <c r="G50" s="68" t="n">
        <v>2500</v>
      </c>
      <c r="H50" s="68" t="n">
        <v>0</v>
      </c>
      <c r="I50" s="70" t="n">
        <v>91000</v>
      </c>
      <c r="J50" s="68" t="n">
        <v>1730500</v>
      </c>
    </row>
    <row r="51">
      <c r="A51" s="7" t="n">
        <v>48</v>
      </c>
      <c r="B51" s="7" t="inlineStr">
        <is>
          <t>Yr 4.0</t>
        </is>
      </c>
      <c r="C51" s="22" t="n">
        <v>0.4466756521986391</v>
      </c>
      <c r="D51" s="32" t="n">
        <v>0.4066630335909861</v>
      </c>
      <c r="E51" s="72" t="n">
        <v>96000</v>
      </c>
      <c r="F51" s="72" t="n">
        <v>2500</v>
      </c>
      <c r="G51" s="72" t="n">
        <v>2500</v>
      </c>
      <c r="H51" s="72" t="n">
        <v>0</v>
      </c>
      <c r="I51" s="70" t="n">
        <v>93500</v>
      </c>
      <c r="J51" s="72" t="n">
        <v>1824000</v>
      </c>
    </row>
    <row r="52">
      <c r="A52" s="45" t="n">
        <v>49</v>
      </c>
      <c r="B52" s="45" t="inlineStr">
        <is>
          <t>Yr 4.1</t>
        </is>
      </c>
      <c r="C52" s="47" t="n">
        <v>0.4456643457039909</v>
      </c>
      <c r="D52" s="32" t="n">
        <v>0.4048957489335079</v>
      </c>
      <c r="E52" s="68" t="n">
        <v>98500</v>
      </c>
      <c r="F52" s="68" t="n">
        <v>2500</v>
      </c>
      <c r="G52" s="68" t="n">
        <v>2500</v>
      </c>
      <c r="H52" s="68" t="n">
        <v>0</v>
      </c>
      <c r="I52" s="70" t="n">
        <v>96000</v>
      </c>
      <c r="J52" s="68" t="n">
        <v>1920000</v>
      </c>
    </row>
    <row r="53">
      <c r="A53" s="7" t="n">
        <v>50</v>
      </c>
      <c r="B53" s="7" t="inlineStr">
        <is>
          <t>Yr 4.2</t>
        </is>
      </c>
      <c r="C53" s="22" t="n">
        <v>0.4446518925003434</v>
      </c>
      <c r="D53" s="32" t="n">
        <v>0.4031204934013539</v>
      </c>
      <c r="E53" s="72" t="n">
        <v>101500</v>
      </c>
      <c r="F53" s="72" t="n">
        <v>2500</v>
      </c>
      <c r="G53" s="72" t="n">
        <v>3000</v>
      </c>
      <c r="H53" s="72" t="n">
        <v>0</v>
      </c>
      <c r="I53" s="70" t="n">
        <v>99000</v>
      </c>
      <c r="J53" s="72" t="n">
        <v>2019000</v>
      </c>
    </row>
    <row r="54">
      <c r="A54" s="45" t="n">
        <v>51</v>
      </c>
      <c r="B54" s="45" t="inlineStr">
        <is>
          <t>Yr 4.2</t>
        </is>
      </c>
      <c r="C54" s="47" t="n">
        <v>0.4436375078403997</v>
      </c>
      <c r="D54" s="32" t="n">
        <v>0.4013374788032926</v>
      </c>
      <c r="E54" s="68" t="n">
        <v>104500</v>
      </c>
      <c r="F54" s="68" t="n">
        <v>2500</v>
      </c>
      <c r="G54" s="68" t="n">
        <v>3000</v>
      </c>
      <c r="H54" s="68" t="n">
        <v>0</v>
      </c>
      <c r="I54" s="70" t="n">
        <v>102000</v>
      </c>
      <c r="J54" s="68" t="n">
        <v>2121000</v>
      </c>
    </row>
    <row r="55">
      <c r="A55" s="7" t="n">
        <v>52</v>
      </c>
      <c r="B55" s="7" t="inlineStr">
        <is>
          <t>Yr 4.3</t>
        </is>
      </c>
      <c r="C55" s="22" t="n">
        <v>0.4426205430816649</v>
      </c>
      <c r="D55" s="32" t="n">
        <v>0.3995468998147015</v>
      </c>
      <c r="E55" s="72" t="n">
        <v>107500</v>
      </c>
      <c r="F55" s="72" t="n">
        <v>2500</v>
      </c>
      <c r="G55" s="72" t="n">
        <v>3000</v>
      </c>
      <c r="H55" s="72" t="n">
        <v>0</v>
      </c>
      <c r="I55" s="70" t="n">
        <v>105000</v>
      </c>
      <c r="J55" s="72" t="n">
        <v>2226000</v>
      </c>
    </row>
    <row r="56">
      <c r="A56" s="45" t="n">
        <v>53</v>
      </c>
      <c r="B56" s="45" t="inlineStr">
        <is>
          <t>Yr 4.4</t>
        </is>
      </c>
      <c r="C56" s="47" t="n">
        <v>0.4416004646930484</v>
      </c>
      <c r="D56" s="32" t="n">
        <v>0.3977489355911766</v>
      </c>
      <c r="E56" s="68" t="n">
        <v>110500</v>
      </c>
      <c r="F56" s="68" t="n">
        <v>2500</v>
      </c>
      <c r="G56" s="68" t="n">
        <v>3000</v>
      </c>
      <c r="H56" s="68" t="n">
        <v>0</v>
      </c>
      <c r="I56" s="70" t="n">
        <v>108000</v>
      </c>
      <c r="J56" s="68" t="n">
        <v>2334000</v>
      </c>
    </row>
    <row r="57">
      <c r="A57" s="7" t="n">
        <v>54</v>
      </c>
      <c r="B57" s="7" t="inlineStr">
        <is>
          <t>Yr 4.5</t>
        </is>
      </c>
      <c r="C57" s="22" t="n">
        <v>0.4405768364286648</v>
      </c>
      <c r="D57" s="32" t="n">
        <v>0.395943751202842</v>
      </c>
      <c r="E57" s="72" t="n">
        <v>113500</v>
      </c>
      <c r="F57" s="72" t="n">
        <v>2500</v>
      </c>
      <c r="G57" s="72" t="n">
        <v>3000</v>
      </c>
      <c r="H57" s="72" t="n">
        <v>0</v>
      </c>
      <c r="I57" s="70" t="n">
        <v>111000</v>
      </c>
      <c r="J57" s="72" t="n">
        <v>2445000</v>
      </c>
    </row>
    <row r="58">
      <c r="A58" s="45" t="n">
        <v>55</v>
      </c>
      <c r="B58" s="45" t="inlineStr">
        <is>
          <t>Yr 4.6</t>
        </is>
      </c>
      <c r="C58" s="47" t="n">
        <v>0.4395493042014618</v>
      </c>
      <c r="D58" s="32" t="n">
        <v>0.3941314989121815</v>
      </c>
      <c r="E58" s="68" t="n">
        <v>116500</v>
      </c>
      <c r="F58" s="68" t="n">
        <v>2500</v>
      </c>
      <c r="G58" s="68" t="n">
        <v>3000</v>
      </c>
      <c r="H58" s="68" t="n">
        <v>0</v>
      </c>
      <c r="I58" s="70" t="n">
        <v>114000</v>
      </c>
      <c r="J58" s="68" t="n">
        <v>2559000</v>
      </c>
    </row>
    <row r="59">
      <c r="A59" s="7" t="n">
        <v>56</v>
      </c>
      <c r="B59" s="7" t="inlineStr">
        <is>
          <t>Yr 4.7</t>
        </is>
      </c>
      <c r="C59" s="22" t="n">
        <v>0.438517583253494</v>
      </c>
      <c r="D59" s="32" t="n">
        <v>0.3923123193149503</v>
      </c>
      <c r="E59" s="72" t="n">
        <v>119500</v>
      </c>
      <c r="F59" s="72" t="n">
        <v>2500</v>
      </c>
      <c r="G59" s="72" t="n">
        <v>3000</v>
      </c>
      <c r="H59" s="72" t="n">
        <v>0</v>
      </c>
      <c r="I59" s="70" t="n">
        <v>117000</v>
      </c>
      <c r="J59" s="72" t="n">
        <v>2676000</v>
      </c>
    </row>
    <row r="60">
      <c r="A60" s="45" t="n">
        <v>57</v>
      </c>
      <c r="B60" s="45" t="inlineStr">
        <is>
          <t>Yr 4.8</t>
        </is>
      </c>
      <c r="C60" s="47" t="n">
        <v>0.4374814472769481</v>
      </c>
      <c r="D60" s="32" t="n">
        <v>0.3904863423609826</v>
      </c>
      <c r="E60" s="68" t="n">
        <v>122500</v>
      </c>
      <c r="F60" s="68" t="n">
        <v>2500</v>
      </c>
      <c r="G60" s="68" t="n">
        <v>3000</v>
      </c>
      <c r="H60" s="68" t="n">
        <v>0</v>
      </c>
      <c r="I60" s="70" t="n">
        <v>120000</v>
      </c>
      <c r="J60" s="68" t="n">
        <v>2796000</v>
      </c>
    </row>
    <row r="61">
      <c r="A61" s="7" t="n">
        <v>58</v>
      </c>
      <c r="B61" s="7" t="inlineStr">
        <is>
          <t>Yr 4.8</t>
        </is>
      </c>
      <c r="C61" s="22" t="n">
        <v>0.4364407191904014</v>
      </c>
      <c r="D61" s="32" t="n">
        <v>0.3886536882693896</v>
      </c>
      <c r="E61" s="72" t="n">
        <v>125500</v>
      </c>
      <c r="F61" s="72" t="n">
        <v>2500</v>
      </c>
      <c r="G61" s="72" t="n">
        <v>3000</v>
      </c>
      <c r="H61" s="72" t="n">
        <v>0</v>
      </c>
      <c r="I61" s="70" t="n">
        <v>123000</v>
      </c>
      <c r="J61" s="72" t="n">
        <v>2919000</v>
      </c>
    </row>
    <row r="62">
      <c r="A62" s="45" t="n">
        <v>59</v>
      </c>
      <c r="B62" s="45" t="inlineStr">
        <is>
          <t>Yr 4.9</t>
        </is>
      </c>
      <c r="C62" s="47" t="n">
        <v>0.4353952633186284</v>
      </c>
      <c r="D62" s="32" t="n">
        <v>0.3868144683506781</v>
      </c>
      <c r="E62" s="68" t="n">
        <v>128500</v>
      </c>
      <c r="F62" s="68" t="n">
        <v>2500</v>
      </c>
      <c r="G62" s="68" t="n">
        <v>3000</v>
      </c>
      <c r="H62" s="68" t="n">
        <v>0</v>
      </c>
      <c r="I62" s="70" t="n">
        <v>126000</v>
      </c>
      <c r="J62" s="68" t="n">
        <v>3045000</v>
      </c>
    </row>
    <row r="63">
      <c r="A63" s="7" t="n">
        <v>60</v>
      </c>
      <c r="B63" s="7" t="inlineStr">
        <is>
          <t>Yr 5.0</t>
        </is>
      </c>
      <c r="C63" s="22" t="n">
        <v>0.4343449787620949</v>
      </c>
      <c r="D63" s="32" t="n">
        <v>0.3849687857466496</v>
      </c>
      <c r="E63" s="72" t="n">
        <v>131500</v>
      </c>
      <c r="F63" s="72" t="n">
        <v>2500</v>
      </c>
      <c r="G63" s="72" t="n">
        <v>3000</v>
      </c>
      <c r="H63" s="72" t="n">
        <v>0</v>
      </c>
      <c r="I63" s="70" t="n">
        <v>129000</v>
      </c>
      <c r="J63" s="72" t="n">
        <v>3174000</v>
      </c>
    </row>
    <row r="64">
      <c r="A64" s="45" t="n">
        <v>61</v>
      </c>
      <c r="B64" s="45" t="inlineStr">
        <is>
          <t>Yr 5.1</t>
        </is>
      </c>
      <c r="C64" s="47" t="n">
        <v>0.4332897937747253</v>
      </c>
      <c r="D64" s="32" t="n">
        <v>0.3831167360975132</v>
      </c>
      <c r="E64" s="68" t="n">
        <v>134500</v>
      </c>
      <c r="F64" s="68" t="n">
        <v>2500</v>
      </c>
      <c r="G64" s="68" t="n">
        <v>3000</v>
      </c>
      <c r="H64" s="68" t="n">
        <v>0</v>
      </c>
      <c r="I64" s="70" t="n">
        <v>132000</v>
      </c>
      <c r="J64" s="68" t="n">
        <v>3306000</v>
      </c>
    </row>
    <row r="65">
      <c r="A65" s="7" t="n">
        <v>62</v>
      </c>
      <c r="B65" s="7" t="inlineStr">
        <is>
          <t>Yr 5.2</t>
        </is>
      </c>
      <c r="C65" s="22" t="n">
        <v>0.432238387583054</v>
      </c>
      <c r="D65" s="32" t="n">
        <v>0.3812584081444322</v>
      </c>
      <c r="E65" s="72" t="n">
        <v>138000</v>
      </c>
      <c r="F65" s="72" t="n">
        <v>2500</v>
      </c>
      <c r="G65" s="72" t="n">
        <v>3500</v>
      </c>
      <c r="H65" s="72" t="n">
        <v>0</v>
      </c>
      <c r="I65" s="70" t="n">
        <v>135500</v>
      </c>
      <c r="J65" s="72" t="n">
        <v>3441500</v>
      </c>
    </row>
    <row r="66">
      <c r="A66" s="45" t="n">
        <v>63</v>
      </c>
      <c r="B66" s="45" t="inlineStr">
        <is>
          <t>Yr 5.2</t>
        </is>
      </c>
      <c r="C66" s="47" t="n">
        <v>0.431189721458604</v>
      </c>
      <c r="D66" s="32" t="n">
        <v>0.379393884274677</v>
      </c>
      <c r="E66" s="68" t="n">
        <v>141500</v>
      </c>
      <c r="F66" s="68" t="n">
        <v>2500</v>
      </c>
      <c r="G66" s="68" t="n">
        <v>3500</v>
      </c>
      <c r="H66" s="68" t="n">
        <v>0</v>
      </c>
      <c r="I66" s="70" t="n">
        <v>139000</v>
      </c>
      <c r="J66" s="68" t="n">
        <v>3580500</v>
      </c>
    </row>
    <row r="67">
      <c r="A67" s="7" t="n">
        <v>64</v>
      </c>
      <c r="B67" s="7" t="inlineStr">
        <is>
          <t>Yr 5.3</t>
        </is>
      </c>
      <c r="C67" s="22" t="n">
        <v>0.4301428799231615</v>
      </c>
      <c r="D67" s="32" t="n">
        <v>0.3775232410156614</v>
      </c>
      <c r="E67" s="72" t="n">
        <v>145000</v>
      </c>
      <c r="F67" s="72" t="n">
        <v>2500</v>
      </c>
      <c r="G67" s="72" t="n">
        <v>3500</v>
      </c>
      <c r="H67" s="72" t="n">
        <v>0</v>
      </c>
      <c r="I67" s="70" t="n">
        <v>142500</v>
      </c>
      <c r="J67" s="72" t="n">
        <v>3723000</v>
      </c>
    </row>
    <row r="68">
      <c r="A68" s="45" t="n">
        <v>65</v>
      </c>
      <c r="B68" s="45" t="inlineStr">
        <is>
          <t>Yr 5.4</t>
        </is>
      </c>
      <c r="C68" s="47" t="n">
        <v>0.4290970570302472</v>
      </c>
      <c r="D68" s="32" t="n">
        <v>0.3756465494833693</v>
      </c>
      <c r="E68" s="68" t="n">
        <v>148500</v>
      </c>
      <c r="F68" s="68" t="n">
        <v>2500</v>
      </c>
      <c r="G68" s="68" t="n">
        <v>3500</v>
      </c>
      <c r="H68" s="68" t="n">
        <v>0</v>
      </c>
      <c r="I68" s="70" t="n">
        <v>146000</v>
      </c>
      <c r="J68" s="68" t="n">
        <v>3869000</v>
      </c>
    </row>
    <row r="69">
      <c r="A69" s="7" t="n">
        <v>66</v>
      </c>
      <c r="B69" s="7" t="inlineStr">
        <is>
          <t>Yr 5.5</t>
        </is>
      </c>
      <c r="C69" s="22" t="n">
        <v>0.4280515440903947</v>
      </c>
      <c r="D69" s="32" t="n">
        <v>0.3737638757900061</v>
      </c>
      <c r="E69" s="72" t="n">
        <v>152000</v>
      </c>
      <c r="F69" s="72" t="n">
        <v>2500</v>
      </c>
      <c r="G69" s="72" t="n">
        <v>3500</v>
      </c>
      <c r="H69" s="72" t="n">
        <v>0</v>
      </c>
      <c r="I69" s="70" t="n">
        <v>149500</v>
      </c>
      <c r="J69" s="72" t="n">
        <v>4018500</v>
      </c>
    </row>
    <row r="70">
      <c r="A70" s="45" t="n">
        <v>67</v>
      </c>
      <c r="B70" s="45" t="inlineStr">
        <is>
          <t>Yr 5.6</t>
        </is>
      </c>
      <c r="C70" s="47" t="n">
        <v>0.4270057187104187</v>
      </c>
      <c r="D70" s="32" t="n">
        <v>0.3718752814151374</v>
      </c>
      <c r="E70" s="68" t="n">
        <v>155500</v>
      </c>
      <c r="F70" s="68" t="n">
        <v>2500</v>
      </c>
      <c r="G70" s="68" t="n">
        <v>3500</v>
      </c>
      <c r="H70" s="68" t="n">
        <v>0</v>
      </c>
      <c r="I70" s="70" t="n">
        <v>153000</v>
      </c>
      <c r="J70" s="68" t="n">
        <v>4171500</v>
      </c>
    </row>
    <row r="71">
      <c r="A71" s="7" t="n">
        <v>68</v>
      </c>
      <c r="B71" s="7" t="inlineStr">
        <is>
          <t>Yr 5.7</t>
        </is>
      </c>
      <c r="C71" s="22" t="n">
        <v>0.425959035022111</v>
      </c>
      <c r="D71" s="32" t="n">
        <v>0.3699808235440723</v>
      </c>
      <c r="E71" s="72" t="n">
        <v>159000</v>
      </c>
      <c r="F71" s="72" t="n">
        <v>2500</v>
      </c>
      <c r="G71" s="72" t="n">
        <v>3500</v>
      </c>
      <c r="H71" s="72" t="n">
        <v>0</v>
      </c>
      <c r="I71" s="70" t="n">
        <v>156500</v>
      </c>
      <c r="J71" s="72" t="n">
        <v>4328000</v>
      </c>
    </row>
    <row r="72">
      <c r="A72" s="45" t="n">
        <v>69</v>
      </c>
      <c r="B72" s="45" t="inlineStr">
        <is>
          <t>Yr 5.8</t>
        </is>
      </c>
      <c r="C72" s="47" t="n">
        <v>0.4249110149829174</v>
      </c>
      <c r="D72" s="32" t="n">
        <v>0.3680805553768151</v>
      </c>
      <c r="E72" s="68" t="n">
        <v>162500</v>
      </c>
      <c r="F72" s="68" t="n">
        <v>2500</v>
      </c>
      <c r="G72" s="68" t="n">
        <v>3500</v>
      </c>
      <c r="H72" s="68" t="n">
        <v>0</v>
      </c>
      <c r="I72" s="70" t="n">
        <v>160000</v>
      </c>
      <c r="J72" s="68" t="n">
        <v>4488000</v>
      </c>
    </row>
    <row r="73">
      <c r="A73" s="7" t="n">
        <v>70</v>
      </c>
      <c r="B73" s="7" t="inlineStr">
        <is>
          <t>Yr 5.8</t>
        </is>
      </c>
      <c r="C73" s="22" t="n">
        <v>0.4238612406393135</v>
      </c>
      <c r="D73" s="32" t="n">
        <v>0.3661745264105272</v>
      </c>
      <c r="E73" s="72" t="n">
        <v>166000</v>
      </c>
      <c r="F73" s="72" t="n">
        <v>2500</v>
      </c>
      <c r="G73" s="72" t="n">
        <v>3500</v>
      </c>
      <c r="H73" s="72" t="n">
        <v>0</v>
      </c>
      <c r="I73" s="70" t="n">
        <v>163500</v>
      </c>
      <c r="J73" s="72" t="n">
        <v>4651500</v>
      </c>
    </row>
    <row r="74">
      <c r="A74" s="45" t="n">
        <v>71</v>
      </c>
      <c r="B74" s="45" t="inlineStr">
        <is>
          <t>Yr 5.9</t>
        </is>
      </c>
      <c r="C74" s="47" t="n">
        <v>0.4228093472522282</v>
      </c>
      <c r="D74" s="32" t="n">
        <v>0.3642627826981131</v>
      </c>
      <c r="E74" s="68" t="n">
        <v>169500</v>
      </c>
      <c r="F74" s="68" t="n">
        <v>2500</v>
      </c>
      <c r="G74" s="68" t="n">
        <v>3500</v>
      </c>
      <c r="H74" s="68" t="n">
        <v>0</v>
      </c>
      <c r="I74" s="70" t="n">
        <v>167000</v>
      </c>
      <c r="J74" s="68" t="n">
        <v>4818500</v>
      </c>
    </row>
    <row r="75">
      <c r="A75" s="7" t="n">
        <v>72</v>
      </c>
      <c r="B75" s="7" t="inlineStr">
        <is>
          <t>Yr 6.0</t>
        </is>
      </c>
      <c r="C75" s="22" t="n">
        <v>0.4217550171925659</v>
      </c>
      <c r="D75" s="32" t="n">
        <v>0.3623453670852488</v>
      </c>
      <c r="E75" s="72" t="n">
        <v>173000</v>
      </c>
      <c r="F75" s="72" t="n">
        <v>2500</v>
      </c>
      <c r="G75" s="72" t="n">
        <v>3500</v>
      </c>
      <c r="H75" s="72" t="n">
        <v>0</v>
      </c>
      <c r="I75" s="70" t="n">
        <v>170500</v>
      </c>
      <c r="J75" s="72" t="n">
        <v>4989000</v>
      </c>
    </row>
    <row r="76">
      <c r="A76" s="45" t="n">
        <v>73</v>
      </c>
      <c r="B76" s="45" t="inlineStr">
        <is>
          <t>Yr 6.1</t>
        </is>
      </c>
      <c r="C76" s="47" t="n">
        <v>0.4206979745233563</v>
      </c>
      <c r="D76" s="32" t="n">
        <v>0.360422319427923</v>
      </c>
      <c r="E76" s="68" t="n">
        <v>176500</v>
      </c>
      <c r="F76" s="68" t="n">
        <v>2500</v>
      </c>
      <c r="G76" s="68" t="n">
        <v>3500</v>
      </c>
      <c r="H76" s="68" t="n">
        <v>0</v>
      </c>
      <c r="I76" s="70" t="n">
        <v>174000</v>
      </c>
      <c r="J76" s="68" t="n">
        <v>5163000</v>
      </c>
    </row>
    <row r="77">
      <c r="A77" s="7" t="n">
        <v>74</v>
      </c>
      <c r="B77" s="7" t="inlineStr">
        <is>
          <t>Yr 6.2</t>
        </is>
      </c>
      <c r="C77" s="22" t="n">
        <v>0.4196447990512697</v>
      </c>
      <c r="D77" s="32" t="n">
        <v>0.3584936767923312</v>
      </c>
      <c r="E77" s="72" t="n">
        <v>180500</v>
      </c>
      <c r="F77" s="72" t="n">
        <v>2500</v>
      </c>
      <c r="G77" s="72" t="n">
        <v>4000</v>
      </c>
      <c r="H77" s="72" t="n">
        <v>0</v>
      </c>
      <c r="I77" s="70" t="n">
        <v>178000</v>
      </c>
      <c r="J77" s="72" t="n">
        <v>5341000</v>
      </c>
    </row>
    <row r="78">
      <c r="A78" s="45" t="n">
        <v>75</v>
      </c>
      <c r="B78" s="45" t="inlineStr">
        <is>
          <t>Yr 6.2</t>
        </is>
      </c>
      <c r="C78" s="47" t="n">
        <v>0.4185946093609738</v>
      </c>
      <c r="D78" s="32" t="n">
        <v>0.3565594736387727</v>
      </c>
      <c r="E78" s="68" t="n">
        <v>184500</v>
      </c>
      <c r="F78" s="68" t="n">
        <v>2500</v>
      </c>
      <c r="G78" s="68" t="n">
        <v>4000</v>
      </c>
      <c r="H78" s="68" t="n">
        <v>0</v>
      </c>
      <c r="I78" s="70" t="n">
        <v>182000</v>
      </c>
      <c r="J78" s="68" t="n">
        <v>5523000</v>
      </c>
    </row>
    <row r="79">
      <c r="A79" s="7" t="n">
        <v>76</v>
      </c>
      <c r="B79" s="7" t="inlineStr">
        <is>
          <t>Yr 6.3</t>
        </is>
      </c>
      <c r="C79" s="22" t="n">
        <v>0.4175466121622354</v>
      </c>
      <c r="D79" s="32" t="n">
        <v>0.3546197419910216</v>
      </c>
      <c r="E79" s="72" t="n">
        <v>188500</v>
      </c>
      <c r="F79" s="72" t="n">
        <v>2500</v>
      </c>
      <c r="G79" s="72" t="n">
        <v>4000</v>
      </c>
      <c r="H79" s="72" t="n">
        <v>0</v>
      </c>
      <c r="I79" s="70" t="n">
        <v>186000</v>
      </c>
      <c r="J79" s="72" t="n">
        <v>5709000</v>
      </c>
    </row>
    <row r="80">
      <c r="A80" s="45" t="n">
        <v>77</v>
      </c>
      <c r="B80" s="45" t="inlineStr">
        <is>
          <t>Yr 6.4</t>
        </is>
      </c>
      <c r="C80" s="47" t="n">
        <v>0.4165000941249572</v>
      </c>
      <c r="D80" s="32" t="n">
        <v>0.352674511592494</v>
      </c>
      <c r="E80" s="68" t="n">
        <v>192500</v>
      </c>
      <c r="F80" s="68" t="n">
        <v>2500</v>
      </c>
      <c r="G80" s="68" t="n">
        <v>4000</v>
      </c>
      <c r="H80" s="68" t="n">
        <v>0</v>
      </c>
      <c r="I80" s="70" t="n">
        <v>190000</v>
      </c>
      <c r="J80" s="68" t="n">
        <v>5899000</v>
      </c>
    </row>
    <row r="81">
      <c r="A81" s="7" t="n">
        <v>78</v>
      </c>
      <c r="B81" s="7" t="inlineStr">
        <is>
          <t>Yr 6.5</t>
        </is>
      </c>
      <c r="C81" s="22" t="n">
        <v>0.4154544144041641</v>
      </c>
      <c r="D81" s="32" t="n">
        <v>0.3507238100503946</v>
      </c>
      <c r="E81" s="72" t="n">
        <v>196500</v>
      </c>
      <c r="F81" s="72" t="n">
        <v>2500</v>
      </c>
      <c r="G81" s="72" t="n">
        <v>4000</v>
      </c>
      <c r="H81" s="72" t="n">
        <v>0</v>
      </c>
      <c r="I81" s="70" t="n">
        <v>194000</v>
      </c>
      <c r="J81" s="72" t="n">
        <v>6093000</v>
      </c>
    </row>
    <row r="82">
      <c r="A82" s="45" t="n">
        <v>79</v>
      </c>
      <c r="B82" s="45" t="inlineStr">
        <is>
          <t>Yr 6.6</t>
        </is>
      </c>
      <c r="C82" s="47" t="n">
        <v>0.4144089978114041</v>
      </c>
      <c r="D82" s="36" t="n">
        <v>0.3499996156019224</v>
      </c>
      <c r="E82" s="68" t="n">
        <v>200500</v>
      </c>
      <c r="F82" s="68" t="n">
        <v>4178</v>
      </c>
      <c r="G82" s="68" t="n">
        <v>4000</v>
      </c>
      <c r="H82" s="68" t="n">
        <v>1678</v>
      </c>
      <c r="I82" s="70" t="n">
        <v>196322</v>
      </c>
      <c r="J82" s="68" t="n">
        <v>6289322</v>
      </c>
    </row>
    <row r="83">
      <c r="A83" s="7" t="n">
        <v>80</v>
      </c>
      <c r="B83" s="7" t="inlineStr">
        <is>
          <t>Yr 6.7</t>
        </is>
      </c>
      <c r="C83" s="22" t="n">
        <v>0.4133633285881209</v>
      </c>
      <c r="D83" s="36" t="n">
        <v>0.3499998900162436</v>
      </c>
      <c r="E83" s="72" t="n">
        <v>204500</v>
      </c>
      <c r="F83" s="72" t="n">
        <v>5266</v>
      </c>
      <c r="G83" s="72" t="n">
        <v>4000</v>
      </c>
      <c r="H83" s="72" t="n">
        <v>1088</v>
      </c>
      <c r="I83" s="70" t="n">
        <v>199234</v>
      </c>
      <c r="J83" s="72" t="n">
        <v>6488556</v>
      </c>
    </row>
    <row r="84">
      <c r="A84" s="45" t="n">
        <v>81</v>
      </c>
      <c r="B84" s="45" t="inlineStr">
        <is>
          <t>Yr 6.8</t>
        </is>
      </c>
      <c r="C84" s="47" t="n">
        <v>0.4123169447368099</v>
      </c>
      <c r="D84" s="36" t="n">
        <v>0.3499993111181864</v>
      </c>
      <c r="E84" s="68" t="n">
        <v>208500</v>
      </c>
      <c r="F84" s="68" t="n">
        <v>5404</v>
      </c>
      <c r="G84" s="68" t="n">
        <v>4000</v>
      </c>
      <c r="H84" s="68" t="n">
        <v>138</v>
      </c>
      <c r="I84" s="70" t="n">
        <v>203096</v>
      </c>
      <c r="J84" s="68" t="n">
        <v>6691652</v>
      </c>
    </row>
    <row r="85">
      <c r="A85" s="7" t="n">
        <v>82</v>
      </c>
      <c r="B85" s="7" t="inlineStr">
        <is>
          <t>Yr 6.8</t>
        </is>
      </c>
      <c r="C85" s="22" t="n">
        <v>0.411269432866849</v>
      </c>
      <c r="D85" s="36" t="n">
        <v>0.3499995247095007</v>
      </c>
      <c r="E85" s="72" t="n">
        <v>212500</v>
      </c>
      <c r="F85" s="72" t="n">
        <v>5548</v>
      </c>
      <c r="G85" s="72" t="n">
        <v>4000</v>
      </c>
      <c r="H85" s="72" t="n">
        <v>144</v>
      </c>
      <c r="I85" s="70" t="n">
        <v>206952</v>
      </c>
      <c r="J85" s="72" t="n">
        <v>6898604</v>
      </c>
    </row>
    <row r="86">
      <c r="A86" s="45" t="n">
        <v>83</v>
      </c>
      <c r="B86" s="45" t="inlineStr">
        <is>
          <t>Yr 6.9</t>
        </is>
      </c>
      <c r="C86" s="47" t="n">
        <v>0.4102204235135593</v>
      </c>
      <c r="D86" s="36" t="n">
        <v>0.3499999439887137</v>
      </c>
      <c r="E86" s="68" t="n">
        <v>216500</v>
      </c>
      <c r="F86" s="68" t="n">
        <v>5695</v>
      </c>
      <c r="G86" s="68" t="n">
        <v>4000</v>
      </c>
      <c r="H86" s="68" t="n">
        <v>147</v>
      </c>
      <c r="I86" s="70" t="n">
        <v>210805</v>
      </c>
      <c r="J86" s="68" t="n">
        <v>7109409</v>
      </c>
    </row>
    <row r="87">
      <c r="A87" s="7" t="n">
        <v>84</v>
      </c>
      <c r="B87" s="7" t="inlineStr">
        <is>
          <t>Yr 7.0</t>
        </is>
      </c>
      <c r="C87" s="22" t="n">
        <v>0.4091695868911006</v>
      </c>
      <c r="D87" s="36" t="n">
        <v>0.3499999871114767</v>
      </c>
      <c r="E87" s="72" t="n">
        <v>220500</v>
      </c>
      <c r="F87" s="72" t="n">
        <v>5845</v>
      </c>
      <c r="G87" s="72" t="n">
        <v>4000</v>
      </c>
      <c r="H87" s="72" t="n">
        <v>150</v>
      </c>
      <c r="I87" s="70" t="n">
        <v>214655</v>
      </c>
      <c r="J87" s="72" t="n">
        <v>7324064</v>
      </c>
    </row>
    <row r="88">
      <c r="A88" s="45" t="n">
        <v>85</v>
      </c>
      <c r="B88" s="45" t="inlineStr">
        <is>
          <t>Yr 7.1</t>
        </is>
      </c>
      <c r="C88" s="47" t="n">
        <v>0.4081166290420872</v>
      </c>
      <c r="D88" s="36" t="n">
        <v>0.3499997026296914</v>
      </c>
      <c r="E88" s="68" t="n">
        <v>224500</v>
      </c>
      <c r="F88" s="68" t="n">
        <v>5999</v>
      </c>
      <c r="G88" s="68" t="n">
        <v>4000</v>
      </c>
      <c r="H88" s="68" t="n">
        <v>154</v>
      </c>
      <c r="I88" s="70" t="n">
        <v>218501</v>
      </c>
      <c r="J88" s="68" t="n">
        <v>7542565</v>
      </c>
    </row>
    <row r="89">
      <c r="A89" s="7" t="n">
        <v>86</v>
      </c>
      <c r="B89" s="7" t="inlineStr">
        <is>
          <t>Yr 7.2</t>
        </is>
      </c>
      <c r="C89" s="22" t="n">
        <v>0.4070722738222534</v>
      </c>
      <c r="D89" s="36" t="n">
        <v>0.349999677954411</v>
      </c>
      <c r="E89" s="72" t="n">
        <v>229500</v>
      </c>
      <c r="F89" s="72" t="n">
        <v>6158</v>
      </c>
      <c r="G89" s="72" t="n">
        <v>5000</v>
      </c>
      <c r="H89" s="72" t="n">
        <v>159</v>
      </c>
      <c r="I89" s="70" t="n">
        <v>223342</v>
      </c>
      <c r="J89" s="72" t="n">
        <v>7765907</v>
      </c>
    </row>
    <row r="90">
      <c r="A90" s="45" t="n">
        <v>87</v>
      </c>
      <c r="B90" s="45" t="inlineStr">
        <is>
          <t>Yr 7.2</t>
        </is>
      </c>
      <c r="C90" s="47" t="n">
        <v>0.4060353294642024</v>
      </c>
      <c r="D90" s="36" t="n">
        <v>0.3499997741686477</v>
      </c>
      <c r="E90" s="68" t="n">
        <v>234500</v>
      </c>
      <c r="F90" s="68" t="n">
        <v>6321</v>
      </c>
      <c r="G90" s="68" t="n">
        <v>5000</v>
      </c>
      <c r="H90" s="68" t="n">
        <v>163</v>
      </c>
      <c r="I90" s="70" t="n">
        <v>228179</v>
      </c>
      <c r="J90" s="68" t="n">
        <v>7994086</v>
      </c>
    </row>
    <row r="91">
      <c r="A91" s="7" t="n">
        <v>88</v>
      </c>
      <c r="B91" s="7" t="inlineStr">
        <is>
          <t>Yr 7.3</t>
        </is>
      </c>
      <c r="C91" s="22" t="n">
        <v>0.4050047007246173</v>
      </c>
      <c r="D91" s="36" t="n">
        <v>0.3499998043938407</v>
      </c>
      <c r="E91" s="72" t="n">
        <v>239500</v>
      </c>
      <c r="F91" s="72" t="n">
        <v>6488</v>
      </c>
      <c r="G91" s="72" t="n">
        <v>5000</v>
      </c>
      <c r="H91" s="72" t="n">
        <v>167</v>
      </c>
      <c r="I91" s="70" t="n">
        <v>233012</v>
      </c>
      <c r="J91" s="72" t="n">
        <v>8227098</v>
      </c>
    </row>
    <row r="92">
      <c r="A92" s="45" t="n">
        <v>89</v>
      </c>
      <c r="B92" s="45" t="inlineStr">
        <is>
          <t>Yr 7.4</t>
        </is>
      </c>
      <c r="C92" s="47" t="n">
        <v>0.4039793821633721</v>
      </c>
      <c r="D92" s="36" t="n">
        <v>0.3499995406454904</v>
      </c>
      <c r="E92" s="68" t="n">
        <v>244500</v>
      </c>
      <c r="F92" s="68" t="n">
        <v>6659</v>
      </c>
      <c r="G92" s="68" t="n">
        <v>5000</v>
      </c>
      <c r="H92" s="68" t="n">
        <v>171</v>
      </c>
      <c r="I92" s="70" t="n">
        <v>237841</v>
      </c>
      <c r="J92" s="68" t="n">
        <v>8464939</v>
      </c>
    </row>
    <row r="93">
      <c r="A93" s="7" t="n">
        <v>90</v>
      </c>
      <c r="B93" s="7" t="inlineStr">
        <is>
          <t>Yr 7.5</t>
        </is>
      </c>
      <c r="C93" s="22" t="n">
        <v>0.4029584517370464</v>
      </c>
      <c r="D93" s="36" t="n">
        <v>0.3499998128574731</v>
      </c>
      <c r="E93" s="72" t="n">
        <v>249500</v>
      </c>
      <c r="F93" s="72" t="n">
        <v>6836</v>
      </c>
      <c r="G93" s="72" t="n">
        <v>5000</v>
      </c>
      <c r="H93" s="72" t="n">
        <v>177</v>
      </c>
      <c r="I93" s="70" t="n">
        <v>242664</v>
      </c>
      <c r="J93" s="72" t="n">
        <v>8707603</v>
      </c>
    </row>
    <row r="94">
      <c r="A94" s="45" t="n">
        <v>91</v>
      </c>
      <c r="B94" s="45" t="inlineStr">
        <is>
          <t>Yr 7.6</t>
        </is>
      </c>
      <c r="C94" s="47" t="n">
        <v>0.4019410647226196</v>
      </c>
      <c r="D94" s="36" t="n">
        <v>0.349999687976386</v>
      </c>
      <c r="E94" s="68" t="n">
        <v>254500</v>
      </c>
      <c r="F94" s="68" t="n">
        <v>7016</v>
      </c>
      <c r="G94" s="68" t="n">
        <v>5000</v>
      </c>
      <c r="H94" s="68" t="n">
        <v>180</v>
      </c>
      <c r="I94" s="70" t="n">
        <v>247484</v>
      </c>
      <c r="J94" s="68" t="n">
        <v>8955087</v>
      </c>
    </row>
    <row r="95">
      <c r="A95" s="7" t="n">
        <v>92</v>
      </c>
      <c r="B95" s="7" t="inlineStr">
        <is>
          <t>Yr 7.7</t>
        </is>
      </c>
      <c r="C95" s="22" t="n">
        <v>0.4009264479790308</v>
      </c>
      <c r="D95" s="36" t="n">
        <v>0.3499998386497396</v>
      </c>
      <c r="E95" s="72" t="n">
        <v>259500</v>
      </c>
      <c r="F95" s="72" t="n">
        <v>7202</v>
      </c>
      <c r="G95" s="72" t="n">
        <v>5000</v>
      </c>
      <c r="H95" s="72" t="n">
        <v>186</v>
      </c>
      <c r="I95" s="70" t="n">
        <v>252298</v>
      </c>
      <c r="J95" s="72" t="n">
        <v>9207385</v>
      </c>
    </row>
    <row r="96">
      <c r="A96" s="45" t="n">
        <v>93</v>
      </c>
      <c r="B96" s="45" t="inlineStr">
        <is>
          <t>Yr 7.8</t>
        </is>
      </c>
      <c r="C96" s="47" t="n">
        <v>0.3999138945478804</v>
      </c>
      <c r="D96" s="36" t="n">
        <v>0.3499997813072867</v>
      </c>
      <c r="E96" s="68" t="n">
        <v>264500</v>
      </c>
      <c r="F96" s="68" t="n">
        <v>7392</v>
      </c>
      <c r="G96" s="68" t="n">
        <v>5000</v>
      </c>
      <c r="H96" s="68" t="n">
        <v>190</v>
      </c>
      <c r="I96" s="70" t="n">
        <v>257108</v>
      </c>
      <c r="J96" s="68" t="n">
        <v>9464493</v>
      </c>
    </row>
    <row r="97">
      <c r="A97" s="7" t="n">
        <v>94</v>
      </c>
      <c r="B97" s="7" t="inlineStr">
        <is>
          <t>Yr 7.8</t>
        </is>
      </c>
      <c r="C97" s="22" t="n">
        <v>0.3989027585895554</v>
      </c>
      <c r="D97" s="36" t="n">
        <v>0.3499995197608889</v>
      </c>
      <c r="E97" s="72" t="n">
        <v>269500</v>
      </c>
      <c r="F97" s="72" t="n">
        <v>7587</v>
      </c>
      <c r="G97" s="72" t="n">
        <v>5000</v>
      </c>
      <c r="H97" s="72" t="n">
        <v>195</v>
      </c>
      <c r="I97" s="70" t="n">
        <v>261913</v>
      </c>
      <c r="J97" s="72" t="n">
        <v>9726406</v>
      </c>
    </row>
    <row r="98">
      <c r="A98" s="45" t="n">
        <v>95</v>
      </c>
      <c r="B98" s="45" t="inlineStr">
        <is>
          <t>Yr 7.9</t>
        </is>
      </c>
      <c r="C98" s="47" t="n">
        <v>0.3978924506472427</v>
      </c>
      <c r="D98" s="36" t="n">
        <v>0.3499999538758928</v>
      </c>
      <c r="E98" s="68" t="n">
        <v>274500</v>
      </c>
      <c r="F98" s="68" t="n">
        <v>7789</v>
      </c>
      <c r="G98" s="68" t="n">
        <v>5000</v>
      </c>
      <c r="H98" s="68" t="n">
        <v>202</v>
      </c>
      <c r="I98" s="70" t="n">
        <v>266711</v>
      </c>
      <c r="J98" s="68" t="n">
        <v>9993117</v>
      </c>
    </row>
    <row r="99">
      <c r="A99" s="7" t="n">
        <v>96</v>
      </c>
      <c r="B99" s="7" t="inlineStr">
        <is>
          <t>Yr 8.0</t>
        </is>
      </c>
      <c r="C99" s="22" t="n">
        <v>0.396882433228446</v>
      </c>
      <c r="D99" s="36" t="n">
        <v>0.3499999393416081</v>
      </c>
      <c r="E99" s="72" t="n">
        <v>279500</v>
      </c>
      <c r="F99" s="72" t="n">
        <v>7994</v>
      </c>
      <c r="G99" s="72" t="n">
        <v>5000</v>
      </c>
      <c r="H99" s="72" t="n">
        <v>205</v>
      </c>
      <c r="I99" s="70" t="n">
        <v>271506</v>
      </c>
      <c r="J99" s="72" t="n">
        <v>10264623</v>
      </c>
    </row>
    <row r="100">
      <c r="A100" s="45" t="n">
        <v>97</v>
      </c>
      <c r="B100" s="45" t="inlineStr">
        <is>
          <t>Yr 8.1</t>
        </is>
      </c>
      <c r="C100" s="47" t="n">
        <v>0.3958722166915714</v>
      </c>
      <c r="D100" s="36" t="n">
        <v>0.3499997727752155</v>
      </c>
      <c r="E100" s="68" t="n">
        <v>284500</v>
      </c>
      <c r="F100" s="68" t="n">
        <v>8205</v>
      </c>
      <c r="G100" s="68" t="n">
        <v>5000</v>
      </c>
      <c r="H100" s="68" t="n">
        <v>211</v>
      </c>
      <c r="I100" s="70" t="n">
        <v>276295</v>
      </c>
      <c r="J100" s="68" t="n">
        <v>10540918</v>
      </c>
    </row>
    <row r="101">
      <c r="A101" s="7" t="n">
        <v>98</v>
      </c>
      <c r="B101" s="7" t="inlineStr">
        <is>
          <t>Yr 8.2</t>
        </is>
      </c>
      <c r="C101" s="22" t="n">
        <v>0.3948613554237444</v>
      </c>
      <c r="D101" s="36" t="n">
        <v>0.3499996525087602</v>
      </c>
      <c r="E101" s="72" t="n">
        <v>289500</v>
      </c>
      <c r="F101" s="72" t="n">
        <v>8422</v>
      </c>
      <c r="G101" s="72" t="n">
        <v>5000</v>
      </c>
      <c r="H101" s="72" t="n">
        <v>217</v>
      </c>
      <c r="I101" s="70" t="n">
        <v>281078</v>
      </c>
      <c r="J101" s="72" t="n">
        <v>10821996</v>
      </c>
    </row>
    <row r="102">
      <c r="A102" s="45" t="n">
        <v>99</v>
      </c>
      <c r="B102" s="45" t="inlineStr">
        <is>
          <t>Yr 8.2</t>
        </is>
      </c>
      <c r="C102" s="47" t="n">
        <v>0.3938494442951362</v>
      </c>
      <c r="D102" s="36" t="n">
        <v>0.3499996891302259</v>
      </c>
      <c r="E102" s="68" t="n">
        <v>294500</v>
      </c>
      <c r="F102" s="68" t="n">
        <v>8645</v>
      </c>
      <c r="G102" s="68" t="n">
        <v>5000</v>
      </c>
      <c r="H102" s="68" t="n">
        <v>223</v>
      </c>
      <c r="I102" s="70" t="n">
        <v>285855</v>
      </c>
      <c r="J102" s="68" t="n">
        <v>11107851</v>
      </c>
    </row>
    <row r="103">
      <c r="A103" s="7" t="n">
        <v>100</v>
      </c>
      <c r="B103" s="7" t="inlineStr">
        <is>
          <t>Yr 8.3</t>
        </is>
      </c>
      <c r="C103" s="22" t="n">
        <v>0.3928361153746087</v>
      </c>
      <c r="D103" s="36" t="n">
        <v>0.3499999152714355</v>
      </c>
      <c r="E103" s="72" t="n">
        <v>299500</v>
      </c>
      <c r="F103" s="72" t="n">
        <v>8874</v>
      </c>
      <c r="G103" s="72" t="n">
        <v>5000</v>
      </c>
      <c r="H103" s="72" t="n">
        <v>229</v>
      </c>
      <c r="I103" s="70" t="n">
        <v>290626</v>
      </c>
      <c r="J103" s="72" t="n">
        <v>11398477</v>
      </c>
    </row>
    <row r="104">
      <c r="A104" s="45" t="n">
        <v>101</v>
      </c>
      <c r="B104" s="45" t="inlineStr">
        <is>
          <t>Yr 8.4</t>
        </is>
      </c>
      <c r="C104" s="47" t="n">
        <v>0.3918210348913476</v>
      </c>
      <c r="D104" s="36" t="n">
        <v>0.3499998846587478</v>
      </c>
      <c r="E104" s="68" t="n">
        <v>304500</v>
      </c>
      <c r="F104" s="68" t="n">
        <v>9108</v>
      </c>
      <c r="G104" s="68" t="n">
        <v>5000</v>
      </c>
      <c r="H104" s="68" t="n">
        <v>234</v>
      </c>
      <c r="I104" s="70" t="n">
        <v>295392</v>
      </c>
      <c r="J104" s="68" t="n">
        <v>11693869</v>
      </c>
    </row>
    <row r="105">
      <c r="A105" s="7" t="n">
        <v>102</v>
      </c>
      <c r="B105" s="7" t="inlineStr">
        <is>
          <t>Yr 8.5</t>
        </is>
      </c>
      <c r="C105" s="22" t="n">
        <v>0.3908039004272629</v>
      </c>
      <c r="D105" s="36" t="n">
        <v>0.3499999409769046</v>
      </c>
      <c r="E105" s="72" t="n">
        <v>309500</v>
      </c>
      <c r="F105" s="72" t="n">
        <v>9349</v>
      </c>
      <c r="G105" s="72" t="n">
        <v>5000</v>
      </c>
      <c r="H105" s="72" t="n">
        <v>241</v>
      </c>
      <c r="I105" s="70" t="n">
        <v>300151</v>
      </c>
      <c r="J105" s="72" t="n">
        <v>11994020</v>
      </c>
    </row>
    <row r="106">
      <c r="A106" s="45" t="n">
        <v>103</v>
      </c>
      <c r="B106" s="45" t="inlineStr">
        <is>
          <t>Yr 8.6</t>
        </is>
      </c>
      <c r="C106" s="47" t="n">
        <v>0.3897844383252407</v>
      </c>
      <c r="D106" s="36" t="n">
        <v>0.3499999333586959</v>
      </c>
      <c r="E106" s="68" t="n">
        <v>314500</v>
      </c>
      <c r="F106" s="68" t="n">
        <v>9596</v>
      </c>
      <c r="G106" s="68" t="n">
        <v>5000</v>
      </c>
      <c r="H106" s="68" t="n">
        <v>247</v>
      </c>
      <c r="I106" s="70" t="n">
        <v>304904</v>
      </c>
      <c r="J106" s="68" t="n">
        <v>12298924</v>
      </c>
    </row>
    <row r="107">
      <c r="A107" s="7" t="n">
        <v>104</v>
      </c>
      <c r="B107" s="7" t="inlineStr">
        <is>
          <t>Yr 8.7</t>
        </is>
      </c>
      <c r="C107" s="22" t="n">
        <v>0.3887624012987771</v>
      </c>
      <c r="D107" s="36" t="n">
        <v>0.3499996655247077</v>
      </c>
      <c r="E107" s="72" t="n">
        <v>319500</v>
      </c>
      <c r="F107" s="72" t="n">
        <v>9849</v>
      </c>
      <c r="G107" s="72" t="n">
        <v>5000</v>
      </c>
      <c r="H107" s="72" t="n">
        <v>253</v>
      </c>
      <c r="I107" s="70" t="n">
        <v>309651</v>
      </c>
      <c r="J107" s="72" t="n">
        <v>12608575</v>
      </c>
    </row>
    <row r="108">
      <c r="A108" s="45" t="n">
        <v>105</v>
      </c>
      <c r="B108" s="45" t="inlineStr">
        <is>
          <t>Yr 8.8</t>
        </is>
      </c>
      <c r="C108" s="47" t="n">
        <v>0.3877375662290806</v>
      </c>
      <c r="D108" s="36" t="n">
        <v>0.349999641208845</v>
      </c>
      <c r="E108" s="68" t="n">
        <v>324500</v>
      </c>
      <c r="F108" s="68" t="n">
        <v>10110</v>
      </c>
      <c r="G108" s="68" t="n">
        <v>5000</v>
      </c>
      <c r="H108" s="68" t="n">
        <v>261</v>
      </c>
      <c r="I108" s="70" t="n">
        <v>314390</v>
      </c>
      <c r="J108" s="68" t="n">
        <v>12922965</v>
      </c>
    </row>
    <row r="109">
      <c r="A109" s="7" t="n">
        <v>106</v>
      </c>
      <c r="B109" s="7" t="inlineStr">
        <is>
          <t>Yr 8.8</t>
        </is>
      </c>
      <c r="C109" s="22" t="n">
        <v>0.386709732136343</v>
      </c>
      <c r="D109" s="36" t="n">
        <v>0.3499998788633121</v>
      </c>
      <c r="E109" s="72" t="n">
        <v>329500</v>
      </c>
      <c r="F109" s="72" t="n">
        <v>10378</v>
      </c>
      <c r="G109" s="72" t="n">
        <v>5000</v>
      </c>
      <c r="H109" s="72" t="n">
        <v>268</v>
      </c>
      <c r="I109" s="70" t="n">
        <v>319122</v>
      </c>
      <c r="J109" s="72" t="n">
        <v>13242087</v>
      </c>
    </row>
    <row r="110">
      <c r="A110" s="45" t="n">
        <v>107</v>
      </c>
      <c r="B110" s="45" t="inlineStr">
        <is>
          <t>Yr 8.9</t>
        </is>
      </c>
      <c r="C110" s="47" t="n">
        <v>0.3856787183125578</v>
      </c>
      <c r="D110" s="36" t="n">
        <v>0.3499999787129678</v>
      </c>
      <c r="E110" s="68" t="n">
        <v>334500</v>
      </c>
      <c r="F110" s="68" t="n">
        <v>10652</v>
      </c>
      <c r="G110" s="68" t="n">
        <v>5000</v>
      </c>
      <c r="H110" s="68" t="n">
        <v>274</v>
      </c>
      <c r="I110" s="70" t="n">
        <v>323848</v>
      </c>
      <c r="J110" s="68" t="n">
        <v>13565935</v>
      </c>
    </row>
    <row r="111">
      <c r="A111" s="7" t="n">
        <v>108</v>
      </c>
      <c r="B111" s="7" t="inlineStr">
        <is>
          <t>Yr 9.0</t>
        </is>
      </c>
      <c r="C111" s="22" t="n">
        <v>0.384644362603946</v>
      </c>
      <c r="D111" s="36" t="n">
        <v>0.3499998672952129</v>
      </c>
      <c r="E111" s="72" t="n">
        <v>339500</v>
      </c>
      <c r="F111" s="72" t="n">
        <v>10933</v>
      </c>
      <c r="G111" s="72" t="n">
        <v>5000</v>
      </c>
      <c r="H111" s="72" t="n">
        <v>281</v>
      </c>
      <c r="I111" s="70" t="n">
        <v>328567</v>
      </c>
      <c r="J111" s="72" t="n">
        <v>13894502</v>
      </c>
    </row>
    <row r="112">
      <c r="A112" s="45" t="n">
        <v>109</v>
      </c>
      <c r="B112" s="45" t="inlineStr">
        <is>
          <t>Yr 9.1</t>
        </is>
      </c>
      <c r="C112" s="47" t="n">
        <v>0.3836065198317584</v>
      </c>
      <c r="D112" s="36" t="n">
        <v>0.3499997501743632</v>
      </c>
      <c r="E112" s="68" t="n">
        <v>344500</v>
      </c>
      <c r="F112" s="68" t="n">
        <v>11222</v>
      </c>
      <c r="G112" s="68" t="n">
        <v>5000</v>
      </c>
      <c r="H112" s="68" t="n">
        <v>289</v>
      </c>
      <c r="I112" s="70" t="n">
        <v>333278</v>
      </c>
      <c r="J112" s="68" t="n">
        <v>14227780</v>
      </c>
    </row>
    <row r="113">
      <c r="A113" s="7" t="n">
        <v>110</v>
      </c>
      <c r="B113" s="7" t="inlineStr">
        <is>
          <t>Yr 9.2</t>
        </is>
      </c>
      <c r="C113" s="22" t="n">
        <v>0.3825650603409156</v>
      </c>
      <c r="D113" s="36" t="n">
        <v>0.3499997446178146</v>
      </c>
      <c r="E113" s="72" t="n">
        <v>349500</v>
      </c>
      <c r="F113" s="72" t="n">
        <v>11519</v>
      </c>
      <c r="G113" s="72" t="n">
        <v>5000</v>
      </c>
      <c r="H113" s="72" t="n">
        <v>297</v>
      </c>
      <c r="I113" s="70" t="n">
        <v>337981</v>
      </c>
      <c r="J113" s="72" t="n">
        <v>14565761</v>
      </c>
    </row>
    <row r="114">
      <c r="A114" s="45" t="n">
        <v>111</v>
      </c>
      <c r="B114" s="45" t="inlineStr">
        <is>
          <t>Yr 9.2</t>
        </is>
      </c>
      <c r="C114" s="47" t="n">
        <v>0.3815198686666337</v>
      </c>
      <c r="D114" s="36" t="n">
        <v>0.3499998894176556</v>
      </c>
      <c r="E114" s="68" t="n">
        <v>354500</v>
      </c>
      <c r="F114" s="68" t="n">
        <v>11824</v>
      </c>
      <c r="G114" s="68" t="n">
        <v>5000</v>
      </c>
      <c r="H114" s="68" t="n">
        <v>305</v>
      </c>
      <c r="I114" s="70" t="n">
        <v>342676</v>
      </c>
      <c r="J114" s="68" t="n">
        <v>14908437</v>
      </c>
    </row>
    <row r="115">
      <c r="A115" s="7" t="n">
        <v>112</v>
      </c>
      <c r="B115" s="7" t="inlineStr">
        <is>
          <t>Yr 9.3</t>
        </is>
      </c>
      <c r="C115" s="22" t="n">
        <v>0.3804708423098456</v>
      </c>
      <c r="D115" s="36" t="n">
        <v>0.3499998462783729</v>
      </c>
      <c r="E115" s="72" t="n">
        <v>359500</v>
      </c>
      <c r="F115" s="72" t="n">
        <v>12136</v>
      </c>
      <c r="G115" s="72" t="n">
        <v>5000</v>
      </c>
      <c r="H115" s="72" t="n">
        <v>312</v>
      </c>
      <c r="I115" s="70" t="n">
        <v>347364</v>
      </c>
      <c r="J115" s="72" t="n">
        <v>15255801</v>
      </c>
    </row>
    <row r="116">
      <c r="A116" s="45" t="n">
        <v>113</v>
      </c>
      <c r="B116" s="45" t="inlineStr">
        <is>
          <t>Yr 9.4</t>
        </is>
      </c>
      <c r="C116" s="47" t="n">
        <v>0.379417890612868</v>
      </c>
      <c r="D116" s="36" t="n">
        <v>0.3499998542181731</v>
      </c>
      <c r="E116" s="68" t="n">
        <v>364500</v>
      </c>
      <c r="F116" s="68" t="n">
        <v>12457</v>
      </c>
      <c r="G116" s="68" t="n">
        <v>5000</v>
      </c>
      <c r="H116" s="68" t="n">
        <v>321</v>
      </c>
      <c r="I116" s="70" t="n">
        <v>352043</v>
      </c>
      <c r="J116" s="68" t="n">
        <v>15607844</v>
      </c>
    </row>
    <row r="117">
      <c r="A117" s="7" t="n">
        <v>114</v>
      </c>
      <c r="B117" s="7" t="inlineStr">
        <is>
          <t>Yr 9.5</t>
        </is>
      </c>
      <c r="C117" s="22" t="n">
        <v>0.378360933727373</v>
      </c>
      <c r="D117" s="36" t="n">
        <v>0.3499997675258149</v>
      </c>
      <c r="E117" s="72" t="n">
        <v>369500</v>
      </c>
      <c r="F117" s="72" t="n">
        <v>12786</v>
      </c>
      <c r="G117" s="72" t="n">
        <v>5000</v>
      </c>
      <c r="H117" s="72" t="n">
        <v>329</v>
      </c>
      <c r="I117" s="70" t="n">
        <v>356714</v>
      </c>
      <c r="J117" s="72" t="n">
        <v>15964558</v>
      </c>
    </row>
    <row r="118">
      <c r="A118" s="45" t="n">
        <v>115</v>
      </c>
      <c r="B118" s="45" t="inlineStr">
        <is>
          <t>Yr 9.6</t>
        </is>
      </c>
      <c r="C118" s="47" t="n">
        <v>0.3772999016673048</v>
      </c>
      <c r="D118" s="36" t="n">
        <v>0.3499999637705818</v>
      </c>
      <c r="E118" s="68" t="n">
        <v>374500</v>
      </c>
      <c r="F118" s="68" t="n">
        <v>13125</v>
      </c>
      <c r="G118" s="68" t="n">
        <v>5000</v>
      </c>
      <c r="H118" s="68" t="n">
        <v>339</v>
      </c>
      <c r="I118" s="70" t="n">
        <v>361375</v>
      </c>
      <c r="J118" s="68" t="n">
        <v>16325933</v>
      </c>
    </row>
    <row r="119">
      <c r="A119" s="7" t="n">
        <v>116</v>
      </c>
      <c r="B119" s="7" t="inlineStr">
        <is>
          <t>Yr 9.7</t>
        </is>
      </c>
      <c r="C119" s="22" t="n">
        <v>0.376234733439925</v>
      </c>
      <c r="D119" s="36" t="n">
        <v>0.3499998782315619</v>
      </c>
      <c r="E119" s="72" t="n">
        <v>379500</v>
      </c>
      <c r="F119" s="72" t="n">
        <v>13471</v>
      </c>
      <c r="G119" s="72" t="n">
        <v>5000</v>
      </c>
      <c r="H119" s="72" t="n">
        <v>346</v>
      </c>
      <c r="I119" s="70" t="n">
        <v>366029</v>
      </c>
      <c r="J119" s="72" t="n">
        <v>16691962</v>
      </c>
    </row>
    <row r="120">
      <c r="A120" s="45" t="n">
        <v>117</v>
      </c>
      <c r="B120" s="45" t="inlineStr">
        <is>
          <t>Yr 9.8</t>
        </is>
      </c>
      <c r="C120" s="47" t="n">
        <v>0.3751653762486928</v>
      </c>
      <c r="D120" s="36" t="n">
        <v>0.3499997617616743</v>
      </c>
      <c r="E120" s="68" t="n">
        <v>384500</v>
      </c>
      <c r="F120" s="68" t="n">
        <v>13827</v>
      </c>
      <c r="G120" s="68" t="n">
        <v>5000</v>
      </c>
      <c r="H120" s="68" t="n">
        <v>356</v>
      </c>
      <c r="I120" s="70" t="n">
        <v>370673</v>
      </c>
      <c r="J120" s="68" t="n">
        <v>17062635</v>
      </c>
    </row>
    <row r="121">
      <c r="A121" s="7" t="n">
        <v>118</v>
      </c>
      <c r="B121" s="7" t="inlineStr">
        <is>
          <t>Yr 9.8</t>
        </is>
      </c>
      <c r="C121" s="22" t="n">
        <v>0.3740917847621601</v>
      </c>
      <c r="D121" s="36" t="n">
        <v>0.3499997716607723</v>
      </c>
      <c r="E121" s="72" t="n">
        <v>389500</v>
      </c>
      <c r="F121" s="72" t="n">
        <v>14193</v>
      </c>
      <c r="G121" s="72" t="n">
        <v>5000</v>
      </c>
      <c r="H121" s="72" t="n">
        <v>366</v>
      </c>
      <c r="I121" s="70" t="n">
        <v>375307</v>
      </c>
      <c r="J121" s="72" t="n">
        <v>17437942</v>
      </c>
    </row>
    <row r="122">
      <c r="A122" s="45" t="n">
        <v>119</v>
      </c>
      <c r="B122" s="45" t="inlineStr">
        <is>
          <t>Yr 9.9</t>
        </is>
      </c>
      <c r="C122" s="47" t="n">
        <v>0.3730139204435202</v>
      </c>
      <c r="D122" s="36" t="n">
        <v>0.3499999818827862</v>
      </c>
      <c r="E122" s="68" t="n">
        <v>394500</v>
      </c>
      <c r="F122" s="68" t="n">
        <v>14569</v>
      </c>
      <c r="G122" s="68" t="n">
        <v>5000</v>
      </c>
      <c r="H122" s="68" t="n">
        <v>376</v>
      </c>
      <c r="I122" s="70" t="n">
        <v>379931</v>
      </c>
      <c r="J122" s="68" t="n">
        <v>17817873</v>
      </c>
    </row>
    <row r="123">
      <c r="A123" s="7" t="n">
        <v>120</v>
      </c>
      <c r="B123" s="7" t="inlineStr">
        <is>
          <t>Yr 10.0</t>
        </is>
      </c>
      <c r="C123" s="22" t="n">
        <v>0.3719317509358657</v>
      </c>
      <c r="D123" s="36" t="n">
        <v>0.3499998930120272</v>
      </c>
      <c r="E123" s="72" t="n">
        <v>399500</v>
      </c>
      <c r="F123" s="72" t="n">
        <v>14953</v>
      </c>
      <c r="G123" s="72" t="n">
        <v>5000</v>
      </c>
      <c r="H123" s="72" t="n">
        <v>384</v>
      </c>
      <c r="I123" s="70" t="n">
        <v>384547</v>
      </c>
      <c r="J123" s="72" t="n">
        <v>18202420</v>
      </c>
    </row>
    <row r="124">
      <c r="A124" s="45" t="n">
        <v>121</v>
      </c>
      <c r="B124" s="45" t="inlineStr">
        <is>
          <t>Yr 10.1</t>
        </is>
      </c>
      <c r="C124" s="47" t="n">
        <v>0.3708452494986038</v>
      </c>
      <c r="D124" s="36" t="n">
        <v>0.3499999765260725</v>
      </c>
      <c r="E124" s="68" t="n">
        <v>404500</v>
      </c>
      <c r="F124" s="68" t="n">
        <v>15349</v>
      </c>
      <c r="G124" s="68" t="n">
        <v>5000</v>
      </c>
      <c r="H124" s="68" t="n">
        <v>396</v>
      </c>
      <c r="I124" s="70" t="n">
        <v>389151</v>
      </c>
      <c r="J124" s="68" t="n">
        <v>18591571</v>
      </c>
    </row>
    <row r="125">
      <c r="A125" s="7" t="n">
        <v>122</v>
      </c>
      <c r="B125" s="7" t="inlineStr">
        <is>
          <t>Yr 10.2</t>
        </is>
      </c>
      <c r="C125" s="22" t="n">
        <v>0.3697543944908392</v>
      </c>
      <c r="D125" s="36" t="n">
        <v>0.3499998716076407</v>
      </c>
      <c r="E125" s="72" t="n">
        <v>409500</v>
      </c>
      <c r="F125" s="72" t="n">
        <v>15754</v>
      </c>
      <c r="G125" s="72" t="n">
        <v>5000</v>
      </c>
      <c r="H125" s="72" t="n">
        <v>405</v>
      </c>
      <c r="I125" s="70" t="n">
        <v>393746</v>
      </c>
      <c r="J125" s="72" t="n">
        <v>18985317</v>
      </c>
    </row>
    <row r="126">
      <c r="A126" s="45" t="n">
        <v>123</v>
      </c>
      <c r="B126" s="45" t="inlineStr">
        <is>
          <t>Yr 10.2</t>
        </is>
      </c>
      <c r="C126" s="47" t="n">
        <v>0.368659168897872</v>
      </c>
      <c r="D126" s="36" t="n">
        <v>0.3499998906902854</v>
      </c>
      <c r="E126" s="68" t="n">
        <v>414500</v>
      </c>
      <c r="F126" s="68" t="n">
        <v>16171</v>
      </c>
      <c r="G126" s="68" t="n">
        <v>5000</v>
      </c>
      <c r="H126" s="68" t="n">
        <v>417</v>
      </c>
      <c r="I126" s="70" t="n">
        <v>398329</v>
      </c>
      <c r="J126" s="68" t="n">
        <v>19383646</v>
      </c>
    </row>
    <row r="127">
      <c r="A127" s="7" t="n">
        <v>124</v>
      </c>
      <c r="B127" s="7" t="inlineStr">
        <is>
          <t>Yr 10.3</t>
        </is>
      </c>
      <c r="C127" s="22" t="n">
        <v>0.3675595598972687</v>
      </c>
      <c r="D127" s="36" t="n">
        <v>0.349999794358654</v>
      </c>
      <c r="E127" s="72" t="n">
        <v>419500</v>
      </c>
      <c r="F127" s="72" t="n">
        <v>16598</v>
      </c>
      <c r="G127" s="72" t="n">
        <v>5000</v>
      </c>
      <c r="H127" s="72" t="n">
        <v>427</v>
      </c>
      <c r="I127" s="70" t="n">
        <v>402902</v>
      </c>
      <c r="J127" s="72" t="n">
        <v>19786548</v>
      </c>
    </row>
    <row r="128">
      <c r="A128" s="45" t="n">
        <v>125</v>
      </c>
      <c r="B128" s="45" t="inlineStr">
        <is>
          <t>Yr 10.4</t>
        </is>
      </c>
      <c r="C128" s="47" t="n">
        <v>0.3664555584612517</v>
      </c>
      <c r="D128" s="36" t="n">
        <v>0.3499999662866207</v>
      </c>
      <c r="E128" s="68" t="n">
        <v>424500</v>
      </c>
      <c r="F128" s="68" t="n">
        <v>17038</v>
      </c>
      <c r="G128" s="68" t="n">
        <v>5000</v>
      </c>
      <c r="H128" s="68" t="n">
        <v>440</v>
      </c>
      <c r="I128" s="70" t="n">
        <v>407462</v>
      </c>
      <c r="J128" s="68" t="n">
        <v>20194010</v>
      </c>
    </row>
    <row r="129">
      <c r="A129" s="7" t="n">
        <v>126</v>
      </c>
      <c r="B129" s="7" t="inlineStr">
        <is>
          <t>Yr 10.5</t>
        </is>
      </c>
      <c r="C129" s="22" t="n">
        <v>0.365347158992417</v>
      </c>
      <c r="D129" s="36" t="n">
        <v>0.3499998246743751</v>
      </c>
      <c r="E129" s="72" t="n">
        <v>429500</v>
      </c>
      <c r="F129" s="72" t="n">
        <v>17487</v>
      </c>
      <c r="G129" s="72" t="n">
        <v>5000</v>
      </c>
      <c r="H129" s="72" t="n">
        <v>449</v>
      </c>
      <c r="I129" s="70" t="n">
        <v>412013</v>
      </c>
      <c r="J129" s="72" t="n">
        <v>20606023</v>
      </c>
    </row>
    <row r="130">
      <c r="A130" s="45" t="n">
        <v>127</v>
      </c>
      <c r="B130" s="45" t="inlineStr">
        <is>
          <t>Yr 10.6</t>
        </is>
      </c>
      <c r="C130" s="47" t="n">
        <v>0.364234358990037</v>
      </c>
      <c r="D130" s="36" t="n">
        <v>0.3499998355558898</v>
      </c>
      <c r="E130" s="68" t="n">
        <v>434500</v>
      </c>
      <c r="F130" s="68" t="n">
        <v>17950</v>
      </c>
      <c r="G130" s="68" t="n">
        <v>5000</v>
      </c>
      <c r="H130" s="68" t="n">
        <v>463</v>
      </c>
      <c r="I130" s="70" t="n">
        <v>416550</v>
      </c>
      <c r="J130" s="68" t="n">
        <v>21022573</v>
      </c>
    </row>
    <row r="131">
      <c r="A131" s="7" t="n">
        <v>128</v>
      </c>
      <c r="B131" s="7" t="inlineStr">
        <is>
          <t>Yr 10.7</t>
        </is>
      </c>
      <c r="C131" s="22" t="n">
        <v>0.3631171587444255</v>
      </c>
      <c r="D131" s="36" t="n">
        <v>0.3499999392081677</v>
      </c>
      <c r="E131" s="72" t="n">
        <v>439500</v>
      </c>
      <c r="F131" s="72" t="n">
        <v>18425</v>
      </c>
      <c r="G131" s="72" t="n">
        <v>5000</v>
      </c>
      <c r="H131" s="72" t="n">
        <v>475</v>
      </c>
      <c r="I131" s="70" t="n">
        <v>421075</v>
      </c>
      <c r="J131" s="72" t="n">
        <v>21443648</v>
      </c>
    </row>
    <row r="132">
      <c r="A132" s="45" t="n">
        <v>129</v>
      </c>
      <c r="B132" s="45" t="inlineStr">
        <is>
          <t>Yr 10.8</t>
        </is>
      </c>
      <c r="C132" s="47" t="n">
        <v>0.3619955610570538</v>
      </c>
      <c r="D132" s="36" t="n">
        <v>0.3499998211823502</v>
      </c>
      <c r="E132" s="68" t="n">
        <v>444500</v>
      </c>
      <c r="F132" s="68" t="n">
        <v>18911</v>
      </c>
      <c r="G132" s="68" t="n">
        <v>5000</v>
      </c>
      <c r="H132" s="68" t="n">
        <v>486</v>
      </c>
      <c r="I132" s="70" t="n">
        <v>425589</v>
      </c>
      <c r="J132" s="68" t="n">
        <v>21869237</v>
      </c>
    </row>
    <row r="133">
      <c r="A133" s="7" t="n">
        <v>130</v>
      </c>
      <c r="B133" s="7" t="inlineStr">
        <is>
          <t>Yr 10.8</t>
        </is>
      </c>
      <c r="C133" s="22" t="n">
        <v>0.3608695709842953</v>
      </c>
      <c r="D133" s="36" t="n">
        <v>0.3499999116725627</v>
      </c>
      <c r="E133" s="72" t="n">
        <v>449500</v>
      </c>
      <c r="F133" s="72" t="n">
        <v>19412</v>
      </c>
      <c r="G133" s="72" t="n">
        <v>5000</v>
      </c>
      <c r="H133" s="72" t="n">
        <v>501</v>
      </c>
      <c r="I133" s="70" t="n">
        <v>430088</v>
      </c>
      <c r="J133" s="72" t="n">
        <v>22299325</v>
      </c>
    </row>
    <row r="134">
      <c r="A134" s="45" t="n">
        <v>131</v>
      </c>
      <c r="B134" s="45" t="inlineStr">
        <is>
          <t>Yr 10.9</t>
        </is>
      </c>
      <c r="C134" s="47" t="n">
        <v>0.3597391956028486</v>
      </c>
      <c r="D134" s="36" t="n">
        <v>0.3499999621353647</v>
      </c>
      <c r="E134" s="68" t="n">
        <v>454500</v>
      </c>
      <c r="F134" s="68" t="n">
        <v>19925</v>
      </c>
      <c r="G134" s="68" t="n">
        <v>5000</v>
      </c>
      <c r="H134" s="68" t="n">
        <v>513</v>
      </c>
      <c r="I134" s="70" t="n">
        <v>434575</v>
      </c>
      <c r="J134" s="68" t="n">
        <v>22733900</v>
      </c>
    </row>
    <row r="135">
      <c r="A135" s="7" t="n">
        <v>132</v>
      </c>
      <c r="B135" s="7" t="inlineStr">
        <is>
          <t>Yr 11.0</t>
        </is>
      </c>
      <c r="C135" s="22" t="n">
        <v>0.3586044437950547</v>
      </c>
      <c r="D135" s="36" t="n">
        <v>0.3499998727331257</v>
      </c>
      <c r="E135" s="72" t="n">
        <v>459500</v>
      </c>
      <c r="F135" s="72" t="n">
        <v>20451</v>
      </c>
      <c r="G135" s="72" t="n">
        <v>5000</v>
      </c>
      <c r="H135" s="72" t="n">
        <v>526</v>
      </c>
      <c r="I135" s="70" t="n">
        <v>439049</v>
      </c>
      <c r="J135" s="72" t="n">
        <v>23172949</v>
      </c>
    </row>
    <row r="136">
      <c r="A136" s="45" t="n">
        <v>133</v>
      </c>
      <c r="B136" s="45" t="inlineStr">
        <is>
          <t>Yr 11.1</t>
        </is>
      </c>
      <c r="C136" s="47" t="n">
        <v>0.3574653260524677</v>
      </c>
      <c r="D136" s="36" t="n">
        <v>0.3499998484007467</v>
      </c>
      <c r="E136" s="68" t="n">
        <v>464500</v>
      </c>
      <c r="F136" s="68" t="n">
        <v>20992</v>
      </c>
      <c r="G136" s="68" t="n">
        <v>5000</v>
      </c>
      <c r="H136" s="68" t="n">
        <v>541</v>
      </c>
      <c r="I136" s="70" t="n">
        <v>443508</v>
      </c>
      <c r="J136" s="68" t="n">
        <v>23616457</v>
      </c>
    </row>
    <row r="137">
      <c r="A137" s="7" t="n">
        <v>134</v>
      </c>
      <c r="B137" s="7" t="inlineStr">
        <is>
          <t>Yr 11.2</t>
        </is>
      </c>
      <c r="C137" s="22" t="n">
        <v>0.3563218542961742</v>
      </c>
      <c r="D137" s="36" t="n">
        <v>0.3499998320900602</v>
      </c>
      <c r="E137" s="72" t="n">
        <v>469500</v>
      </c>
      <c r="F137" s="72" t="n">
        <v>21547</v>
      </c>
      <c r="G137" s="72" t="n">
        <v>5000</v>
      </c>
      <c r="H137" s="72" t="n">
        <v>555</v>
      </c>
      <c r="I137" s="70" t="n">
        <v>447953</v>
      </c>
      <c r="J137" s="72" t="n">
        <v>24064410</v>
      </c>
    </row>
    <row r="138">
      <c r="A138" s="45" t="n">
        <v>135</v>
      </c>
      <c r="B138" s="45" t="inlineStr">
        <is>
          <t>Yr 11.2</t>
        </is>
      </c>
      <c r="C138" s="47" t="n">
        <v>0.3551740417124838</v>
      </c>
      <c r="D138" s="36" t="n">
        <v>0.3499998785693501</v>
      </c>
      <c r="E138" s="68" t="n">
        <v>474500</v>
      </c>
      <c r="F138" s="68" t="n">
        <v>22117</v>
      </c>
      <c r="G138" s="68" t="n">
        <v>5000</v>
      </c>
      <c r="H138" s="68" t="n">
        <v>570</v>
      </c>
      <c r="I138" s="70" t="n">
        <v>452383</v>
      </c>
      <c r="J138" s="68" t="n">
        <v>24516793</v>
      </c>
    </row>
    <row r="139">
      <c r="A139" s="7" t="n">
        <v>136</v>
      </c>
      <c r="B139" s="7" t="inlineStr">
        <is>
          <t>Yr 11.3</t>
        </is>
      </c>
      <c r="C139" s="22" t="n">
        <v>0.3540219026027222</v>
      </c>
      <c r="D139" s="36" t="n">
        <v>0.3499999718773082</v>
      </c>
      <c r="E139" s="72" t="n">
        <v>479500</v>
      </c>
      <c r="F139" s="72" t="n">
        <v>22702</v>
      </c>
      <c r="G139" s="72" t="n">
        <v>5000</v>
      </c>
      <c r="H139" s="72" t="n">
        <v>585</v>
      </c>
      <c r="I139" s="70" t="n">
        <v>456798</v>
      </c>
      <c r="J139" s="72" t="n">
        <v>24973591</v>
      </c>
    </row>
    <row r="140">
      <c r="A140" s="45" t="n">
        <v>137</v>
      </c>
      <c r="B140" s="45" t="inlineStr">
        <is>
          <t>Yr 11.4</t>
        </is>
      </c>
      <c r="C140" s="47" t="n">
        <v>0.3528654522459687</v>
      </c>
      <c r="D140" s="36" t="n">
        <v>0.3499998735835583</v>
      </c>
      <c r="E140" s="68" t="n">
        <v>484500</v>
      </c>
      <c r="F140" s="68" t="n">
        <v>23301</v>
      </c>
      <c r="G140" s="68" t="n">
        <v>5000</v>
      </c>
      <c r="H140" s="68" t="n">
        <v>599</v>
      </c>
      <c r="I140" s="70" t="n">
        <v>461199</v>
      </c>
      <c r="J140" s="68" t="n">
        <v>25434790</v>
      </c>
    </row>
    <row r="141">
      <c r="A141" s="7" t="n">
        <v>138</v>
      </c>
      <c r="B141" s="7" t="inlineStr">
        <is>
          <t>Yr 11.5</t>
        </is>
      </c>
      <c r="C141" s="22" t="n">
        <v>0.3517047067736703</v>
      </c>
      <c r="D141" s="36" t="n">
        <v>0.3499999356562014</v>
      </c>
      <c r="E141" s="72" t="n">
        <v>489500</v>
      </c>
      <c r="F141" s="72" t="n">
        <v>23918</v>
      </c>
      <c r="G141" s="72" t="n">
        <v>5000</v>
      </c>
      <c r="H141" s="72" t="n">
        <v>617</v>
      </c>
      <c r="I141" s="70" t="n">
        <v>465582</v>
      </c>
      <c r="J141" s="72" t="n">
        <v>25900372</v>
      </c>
    </row>
    <row r="142">
      <c r="A142" s="45" t="n">
        <v>139</v>
      </c>
      <c r="B142" s="45" t="inlineStr">
        <is>
          <t>Yr 11.6</t>
        </is>
      </c>
      <c r="C142" s="47" t="n">
        <v>0.3505396830551566</v>
      </c>
      <c r="D142" s="36" t="n">
        <v>0.3499999468962868</v>
      </c>
      <c r="E142" s="68" t="n">
        <v>494500</v>
      </c>
      <c r="F142" s="68" t="n">
        <v>24550</v>
      </c>
      <c r="G142" s="68" t="n">
        <v>5000</v>
      </c>
      <c r="H142" s="68" t="n">
        <v>632</v>
      </c>
      <c r="I142" s="70" t="n">
        <v>469950</v>
      </c>
      <c r="J142" s="68" t="n">
        <v>26370322</v>
      </c>
    </row>
    <row r="143">
      <c r="A143" s="7" t="n">
        <v>140</v>
      </c>
      <c r="B143" s="7" t="inlineStr">
        <is>
          <t>Yr 11.7</t>
        </is>
      </c>
      <c r="C143" s="75" t="n">
        <v>0.3493703985931578</v>
      </c>
      <c r="D143" s="36" t="n">
        <v>0.3499999542241738</v>
      </c>
      <c r="E143" s="72" t="n">
        <v>499500</v>
      </c>
      <c r="F143" s="72" t="n">
        <v>25199</v>
      </c>
      <c r="G143" s="72" t="n">
        <v>5000</v>
      </c>
      <c r="H143" s="72" t="n">
        <v>649</v>
      </c>
      <c r="I143" s="70" t="n">
        <v>474301</v>
      </c>
      <c r="J143" s="72" t="n">
        <v>26844623</v>
      </c>
    </row>
    <row r="144">
      <c r="A144" s="45" t="n">
        <v>141</v>
      </c>
      <c r="B144" s="45" t="inlineStr">
        <is>
          <t>Yr 11.8</t>
        </is>
      </c>
      <c r="C144" s="75" t="n">
        <v>0.3481968714285043</v>
      </c>
      <c r="D144" s="36" t="n">
        <v>0.3499999351730272</v>
      </c>
      <c r="E144" s="68" t="n">
        <v>504500</v>
      </c>
      <c r="F144" s="68" t="n">
        <v>25865</v>
      </c>
      <c r="G144" s="68" t="n">
        <v>5000</v>
      </c>
      <c r="H144" s="68" t="n">
        <v>666</v>
      </c>
      <c r="I144" s="70" t="n">
        <v>478635</v>
      </c>
      <c r="J144" s="68" t="n">
        <v>27323258</v>
      </c>
    </row>
    <row r="145">
      <c r="A145" s="7" t="n">
        <v>142</v>
      </c>
      <c r="B145" s="7" t="inlineStr">
        <is>
          <t>Yr 11.8</t>
        </is>
      </c>
      <c r="C145" s="75" t="n">
        <v>0.3470191200532508</v>
      </c>
      <c r="D145" s="36" t="n">
        <v>0.3499999469802232</v>
      </c>
      <c r="E145" s="72" t="n">
        <v>509500</v>
      </c>
      <c r="F145" s="72" t="n">
        <v>26549</v>
      </c>
      <c r="G145" s="72" t="n">
        <v>5000</v>
      </c>
      <c r="H145" s="72" t="n">
        <v>684</v>
      </c>
      <c r="I145" s="70" t="n">
        <v>482951</v>
      </c>
      <c r="J145" s="72" t="n">
        <v>27806209</v>
      </c>
    </row>
    <row r="146">
      <c r="A146" s="45" t="n">
        <v>143</v>
      </c>
      <c r="B146" s="45" t="inlineStr">
        <is>
          <t>Yr 11.9</t>
        </is>
      </c>
      <c r="C146" s="75" t="n">
        <v>0.3458371633315337</v>
      </c>
      <c r="D146" s="36" t="n">
        <v>0.3499999760553144</v>
      </c>
      <c r="E146" s="68" t="n">
        <v>514500</v>
      </c>
      <c r="F146" s="68" t="n">
        <v>27251</v>
      </c>
      <c r="G146" s="68" t="n">
        <v>5000</v>
      </c>
      <c r="H146" s="68" t="n">
        <v>702</v>
      </c>
      <c r="I146" s="70" t="n">
        <v>487249</v>
      </c>
      <c r="J146" s="68" t="n">
        <v>28293458</v>
      </c>
    </row>
    <row r="147">
      <c r="A147" s="7" t="n">
        <v>144</v>
      </c>
      <c r="B147" s="7" t="inlineStr">
        <is>
          <t>Yr 12.0</t>
        </is>
      </c>
      <c r="C147" s="75" t="n">
        <v>0.3446510204275249</v>
      </c>
      <c r="D147" s="36" t="n">
        <v>0.3499999465148225</v>
      </c>
      <c r="E147" s="72" t="n">
        <v>519500</v>
      </c>
      <c r="F147" s="72" t="n">
        <v>27971</v>
      </c>
      <c r="G147" s="72" t="n">
        <v>5000</v>
      </c>
      <c r="H147" s="72" t="n">
        <v>720</v>
      </c>
      <c r="I147" s="70" t="n">
        <v>491529</v>
      </c>
      <c r="J147" s="72" t="n">
        <v>28784987</v>
      </c>
    </row>
    <row r="148">
      <c r="A148" s="45" t="n">
        <v>145</v>
      </c>
      <c r="B148" s="45" t="inlineStr">
        <is>
          <t>Yr 12.1</t>
        </is>
      </c>
      <c r="C148" s="75" t="n">
        <v>0.3434607107398979</v>
      </c>
      <c r="D148" s="36" t="n">
        <v>0.3499999882369537</v>
      </c>
      <c r="E148" s="68" t="n">
        <v>524500</v>
      </c>
      <c r="F148" s="68" t="n">
        <v>28711</v>
      </c>
      <c r="G148" s="68" t="n">
        <v>5000</v>
      </c>
      <c r="H148" s="68" t="n">
        <v>740</v>
      </c>
      <c r="I148" s="70" t="n">
        <v>495789</v>
      </c>
      <c r="J148" s="68" t="n">
        <v>29280776</v>
      </c>
    </row>
    <row r="149">
      <c r="A149" s="7" t="n">
        <v>146</v>
      </c>
      <c r="B149" s="7" t="inlineStr">
        <is>
          <t>Yr 12.2</t>
        </is>
      </c>
      <c r="C149" s="75" t="n">
        <v>0.3422662538422704</v>
      </c>
      <c r="D149" s="36" t="n">
        <v>0.3499998978992834</v>
      </c>
      <c r="E149" s="72" t="n">
        <v>529500</v>
      </c>
      <c r="F149" s="72" t="n">
        <v>29469</v>
      </c>
      <c r="G149" s="72" t="n">
        <v>5000</v>
      </c>
      <c r="H149" s="72" t="n">
        <v>758</v>
      </c>
      <c r="I149" s="70" t="n">
        <v>500031</v>
      </c>
      <c r="J149" s="72" t="n">
        <v>29780807</v>
      </c>
    </row>
    <row r="150">
      <c r="A150" s="45" t="n">
        <v>147</v>
      </c>
      <c r="B150" s="45" t="inlineStr">
        <is>
          <t>Yr 12.2</t>
        </is>
      </c>
      <c r="C150" s="75" t="n">
        <v>0.3410676694291323</v>
      </c>
      <c r="D150" s="36" t="n">
        <v>0.3499999273024963</v>
      </c>
      <c r="E150" s="68" t="n">
        <v>534500</v>
      </c>
      <c r="F150" s="68" t="n">
        <v>30249</v>
      </c>
      <c r="G150" s="68" t="n">
        <v>5000</v>
      </c>
      <c r="H150" s="68" t="n">
        <v>780</v>
      </c>
      <c r="I150" s="70" t="n">
        <v>504251</v>
      </c>
      <c r="J150" s="68" t="n">
        <v>30285058</v>
      </c>
    </row>
    <row r="151">
      <c r="A151" s="7" t="n">
        <v>148</v>
      </c>
      <c r="B151" s="7" t="inlineStr">
        <is>
          <t>Yr 12.3</t>
        </is>
      </c>
      <c r="C151" s="75" t="n">
        <v>0.3398649772668044</v>
      </c>
      <c r="D151" s="36" t="n">
        <v>0.3499999930897327</v>
      </c>
      <c r="E151" s="72" t="n">
        <v>539500</v>
      </c>
      <c r="F151" s="72" t="n">
        <v>31049</v>
      </c>
      <c r="G151" s="72" t="n">
        <v>5000</v>
      </c>
      <c r="H151" s="72" t="n">
        <v>800</v>
      </c>
      <c r="I151" s="70" t="n">
        <v>508451</v>
      </c>
      <c r="J151" s="72" t="n">
        <v>30793509</v>
      </c>
    </row>
    <row r="152">
      <c r="A152" s="45" t="n">
        <v>149</v>
      </c>
      <c r="B152" s="45" t="inlineStr">
        <is>
          <t>Yr 12.4</t>
        </is>
      </c>
      <c r="C152" s="75" t="n">
        <v>0.3386581971490162</v>
      </c>
      <c r="D152" s="36" t="n">
        <v>0.349999957820387</v>
      </c>
      <c r="E152" s="68" t="n">
        <v>544500</v>
      </c>
      <c r="F152" s="68" t="n">
        <v>31869</v>
      </c>
      <c r="G152" s="68" t="n">
        <v>5000</v>
      </c>
      <c r="H152" s="68" t="n">
        <v>820</v>
      </c>
      <c r="I152" s="70" t="n">
        <v>512631</v>
      </c>
      <c r="J152" s="68" t="n">
        <v>31306140</v>
      </c>
    </row>
    <row r="153">
      <c r="A153" s="7" t="n">
        <v>150</v>
      </c>
      <c r="B153" s="7" t="inlineStr">
        <is>
          <t>Yr 12.5</t>
        </is>
      </c>
      <c r="C153" s="75" t="n">
        <v>0.3374473488567191</v>
      </c>
      <c r="D153" s="36" t="n">
        <v>0.3499999797659735</v>
      </c>
      <c r="E153" s="72" t="n">
        <v>549500</v>
      </c>
      <c r="F153" s="72" t="n">
        <v>32712</v>
      </c>
      <c r="G153" s="72" t="n">
        <v>5000</v>
      </c>
      <c r="H153" s="72" t="n">
        <v>843</v>
      </c>
      <c r="I153" s="70" t="n">
        <v>516788</v>
      </c>
      <c r="J153" s="72" t="n">
        <v>31822928</v>
      </c>
    </row>
    <row r="154">
      <c r="A154" s="45" t="n">
        <v>151</v>
      </c>
      <c r="B154" s="45" t="inlineStr">
        <is>
          <t>Yr 12.6</t>
        </is>
      </c>
      <c r="C154" s="75" t="n">
        <v>0.3362324521217859</v>
      </c>
      <c r="D154" s="36" t="n">
        <v>0.3499999116957446</v>
      </c>
      <c r="E154" s="68" t="n">
        <v>554500</v>
      </c>
      <c r="F154" s="68" t="n">
        <v>33576</v>
      </c>
      <c r="G154" s="68" t="n">
        <v>5000</v>
      </c>
      <c r="H154" s="68" t="n">
        <v>864</v>
      </c>
      <c r="I154" s="70" t="n">
        <v>520924</v>
      </c>
      <c r="J154" s="68" t="n">
        <v>32343852</v>
      </c>
    </row>
    <row r="155">
      <c r="A155" s="7" t="n">
        <v>152</v>
      </c>
      <c r="B155" s="7" t="inlineStr">
        <is>
          <t>Yr 12.7</t>
        </is>
      </c>
      <c r="C155" s="75" t="n">
        <v>0.3350135265942746</v>
      </c>
      <c r="D155" s="36" t="n">
        <v>0.3499999941449452</v>
      </c>
      <c r="E155" s="72" t="n">
        <v>559500</v>
      </c>
      <c r="F155" s="72" t="n">
        <v>34465</v>
      </c>
      <c r="G155" s="72" t="n">
        <v>5000</v>
      </c>
      <c r="H155" s="72" t="n">
        <v>889</v>
      </c>
      <c r="I155" s="70" t="n">
        <v>525035</v>
      </c>
      <c r="J155" s="72" t="n">
        <v>32868887</v>
      </c>
    </row>
    <row r="156">
      <c r="A156" s="45" t="n">
        <v>153</v>
      </c>
      <c r="B156" s="45" t="inlineStr">
        <is>
          <t>Yr 12.8</t>
        </is>
      </c>
      <c r="C156" s="75" t="n">
        <v>0.3337905918129614</v>
      </c>
      <c r="D156" s="36" t="n">
        <v>0.349999951927132</v>
      </c>
      <c r="E156" s="68" t="n">
        <v>564500</v>
      </c>
      <c r="F156" s="68" t="n">
        <v>35375</v>
      </c>
      <c r="G156" s="68" t="n">
        <v>5000</v>
      </c>
      <c r="H156" s="68" t="n">
        <v>910</v>
      </c>
      <c r="I156" s="70" t="n">
        <v>529125</v>
      </c>
      <c r="J156" s="68" t="n">
        <v>33398012</v>
      </c>
    </row>
    <row r="157">
      <c r="A157" s="7" t="n">
        <v>154</v>
      </c>
      <c r="B157" s="7" t="inlineStr">
        <is>
          <t>Yr 12.8</t>
        </is>
      </c>
      <c r="C157" s="75" t="n">
        <v>0.3325636671788706</v>
      </c>
      <c r="D157" s="36" t="n">
        <v>0.3499999939133647</v>
      </c>
      <c r="E157" s="72" t="n">
        <v>569500</v>
      </c>
      <c r="F157" s="72" t="n">
        <v>36311</v>
      </c>
      <c r="G157" s="72" t="n">
        <v>5000</v>
      </c>
      <c r="H157" s="72" t="n">
        <v>936</v>
      </c>
      <c r="I157" s="70" t="n">
        <v>533189</v>
      </c>
      <c r="J157" s="72" t="n">
        <v>33931201</v>
      </c>
    </row>
    <row r="158">
      <c r="A158" s="45" t="n">
        <v>155</v>
      </c>
      <c r="B158" s="45" t="inlineStr">
        <is>
          <t>Yr 12.9</t>
        </is>
      </c>
      <c r="C158" s="75" t="n">
        <v>0.3313327719315531</v>
      </c>
      <c r="D158" s="36" t="n">
        <v>0.3499999391117248</v>
      </c>
      <c r="E158" s="68" t="n">
        <v>574500</v>
      </c>
      <c r="F158" s="68" t="n">
        <v>37270</v>
      </c>
      <c r="G158" s="68" t="n">
        <v>5000</v>
      </c>
      <c r="H158" s="68" t="n">
        <v>959</v>
      </c>
      <c r="I158" s="70" t="n">
        <v>537230</v>
      </c>
      <c r="J158" s="68" t="n">
        <v>34468431</v>
      </c>
    </row>
    <row r="159">
      <c r="A159" s="7" t="n">
        <v>156</v>
      </c>
      <c r="B159" s="7" t="inlineStr">
        <is>
          <t>Yr 13.0</t>
        </is>
      </c>
      <c r="C159" s="75" t="n">
        <v>0.3300979251278821</v>
      </c>
      <c r="D159" s="36" t="n">
        <v>0.3499999554060106</v>
      </c>
      <c r="E159" s="72" t="n">
        <v>579500</v>
      </c>
      <c r="F159" s="72" t="n">
        <v>38256</v>
      </c>
      <c r="G159" s="72" t="n">
        <v>5000</v>
      </c>
      <c r="H159" s="72" t="n">
        <v>986</v>
      </c>
      <c r="I159" s="70" t="n">
        <v>541244</v>
      </c>
      <c r="J159" s="72" t="n">
        <v>35009675</v>
      </c>
    </row>
    <row r="160">
      <c r="A160" s="45" t="n">
        <v>157</v>
      </c>
      <c r="B160" s="45" t="inlineStr">
        <is>
          <t>Yr 13.1</t>
        </is>
      </c>
      <c r="C160" s="75" t="n">
        <v>0.3288591456231573</v>
      </c>
      <c r="D160" s="36" t="n">
        <v>0.3499999361857539</v>
      </c>
      <c r="E160" s="68" t="n">
        <v>584500</v>
      </c>
      <c r="F160" s="68" t="n">
        <v>39267</v>
      </c>
      <c r="G160" s="68" t="n">
        <v>5000</v>
      </c>
      <c r="H160" s="68" t="n">
        <v>1011</v>
      </c>
      <c r="I160" s="70" t="n">
        <v>545233</v>
      </c>
      <c r="J160" s="68" t="n">
        <v>35554908</v>
      </c>
    </row>
    <row r="161">
      <c r="A161" s="7" t="n">
        <v>158</v>
      </c>
      <c r="B161" s="7" t="inlineStr">
        <is>
          <t>Yr 13.2</t>
        </is>
      </c>
      <c r="C161" s="75" t="n">
        <v>0.3276386667843687</v>
      </c>
      <c r="D161" s="36" t="n">
        <v>0.3499999092922251</v>
      </c>
      <c r="E161" s="72" t="n">
        <v>594500</v>
      </c>
      <c r="F161" s="72" t="n">
        <v>40305</v>
      </c>
      <c r="G161" s="72" t="n">
        <v>10000</v>
      </c>
      <c r="H161" s="72" t="n">
        <v>1038</v>
      </c>
      <c r="I161" s="70" t="n">
        <v>554195</v>
      </c>
      <c r="J161" s="72" t="n">
        <v>36109103</v>
      </c>
    </row>
    <row r="162">
      <c r="A162" s="45" t="n">
        <v>159</v>
      </c>
      <c r="B162" s="45" t="inlineStr">
        <is>
          <t>Yr 13.2</t>
        </is>
      </c>
      <c r="C162" s="75" t="n">
        <v>0.3264355054719774</v>
      </c>
      <c r="D162" s="36" t="n">
        <v>0.3499999257565865</v>
      </c>
      <c r="E162" s="68" t="n">
        <v>604500</v>
      </c>
      <c r="F162" s="68" t="n">
        <v>41371</v>
      </c>
      <c r="G162" s="68" t="n">
        <v>10000</v>
      </c>
      <c r="H162" s="68" t="n">
        <v>1066</v>
      </c>
      <c r="I162" s="70" t="n">
        <v>563129</v>
      </c>
      <c r="J162" s="68" t="n">
        <v>36672232</v>
      </c>
    </row>
    <row r="163">
      <c r="A163" s="7" t="n">
        <v>160</v>
      </c>
      <c r="B163" s="7" t="inlineStr">
        <is>
          <t>Yr 13.3</t>
        </is>
      </c>
      <c r="C163" s="75" t="n">
        <v>0.3252487088815413</v>
      </c>
      <c r="D163" s="36" t="n">
        <v>0.3499999664475679</v>
      </c>
      <c r="E163" s="72" t="n">
        <v>614500</v>
      </c>
      <c r="F163" s="72" t="n">
        <v>42465</v>
      </c>
      <c r="G163" s="72" t="n">
        <v>10000</v>
      </c>
      <c r="H163" s="72" t="n">
        <v>1094</v>
      </c>
      <c r="I163" s="70" t="n">
        <v>572035</v>
      </c>
      <c r="J163" s="72" t="n">
        <v>37244267</v>
      </c>
    </row>
    <row r="164">
      <c r="A164" s="45" t="n">
        <v>161</v>
      </c>
      <c r="B164" s="45" t="inlineStr">
        <is>
          <t>Yr 13.4</t>
        </is>
      </c>
      <c r="C164" s="75" t="n">
        <v>0.3240773546229279</v>
      </c>
      <c r="D164" s="36" t="n">
        <v>0.3499999505589573</v>
      </c>
      <c r="E164" s="68" t="n">
        <v>624500</v>
      </c>
      <c r="F164" s="68" t="n">
        <v>43587</v>
      </c>
      <c r="G164" s="68" t="n">
        <v>10000</v>
      </c>
      <c r="H164" s="68" t="n">
        <v>1122</v>
      </c>
      <c r="I164" s="70" t="n">
        <v>580913</v>
      </c>
      <c r="J164" s="68" t="n">
        <v>37825180</v>
      </c>
    </row>
    <row r="165">
      <c r="A165" s="7" t="n">
        <v>162</v>
      </c>
      <c r="B165" s="7" t="inlineStr">
        <is>
          <t>Yr 13.5</t>
        </is>
      </c>
      <c r="C165" s="75" t="n">
        <v>0.3229205506786526</v>
      </c>
      <c r="D165" s="36" t="n">
        <v>0.349999993888736</v>
      </c>
      <c r="E165" s="72" t="n">
        <v>634500</v>
      </c>
      <c r="F165" s="72" t="n">
        <v>44740</v>
      </c>
      <c r="G165" s="72" t="n">
        <v>10000</v>
      </c>
      <c r="H165" s="72" t="n">
        <v>1153</v>
      </c>
      <c r="I165" s="70" t="n">
        <v>589760</v>
      </c>
      <c r="J165" s="72" t="n">
        <v>38414940</v>
      </c>
    </row>
    <row r="166">
      <c r="A166" s="45" t="n">
        <v>163</v>
      </c>
      <c r="B166" s="45" t="inlineStr">
        <is>
          <t>Yr 13.6</t>
        </is>
      </c>
      <c r="C166" s="75" t="n">
        <v>0.3217774352543009</v>
      </c>
      <c r="D166" s="36" t="n">
        <v>0.3499999715919635</v>
      </c>
      <c r="E166" s="68" t="n">
        <v>644500</v>
      </c>
      <c r="F166" s="68" t="n">
        <v>45922</v>
      </c>
      <c r="G166" s="68" t="n">
        <v>10000</v>
      </c>
      <c r="H166" s="68" t="n">
        <v>1182</v>
      </c>
      <c r="I166" s="70" t="n">
        <v>598578</v>
      </c>
      <c r="J166" s="68" t="n">
        <v>39013518</v>
      </c>
    </row>
    <row r="167">
      <c r="A167" s="7" t="n">
        <v>164</v>
      </c>
      <c r="B167" s="7" t="inlineStr">
        <is>
          <t>Yr 13.7</t>
        </is>
      </c>
      <c r="C167" s="75" t="n">
        <v>0.320647176533174</v>
      </c>
      <c r="D167" s="36" t="n">
        <v>0.349999948007075</v>
      </c>
      <c r="E167" s="72" t="n">
        <v>654500</v>
      </c>
      <c r="F167" s="72" t="n">
        <v>47136</v>
      </c>
      <c r="G167" s="72" t="n">
        <v>10000</v>
      </c>
      <c r="H167" s="72" t="n">
        <v>1214</v>
      </c>
      <c r="I167" s="70" t="n">
        <v>607364</v>
      </c>
      <c r="J167" s="72" t="n">
        <v>39620882</v>
      </c>
    </row>
    <row r="168">
      <c r="A168" s="45" t="n">
        <v>165</v>
      </c>
      <c r="B168" s="45" t="inlineStr">
        <is>
          <t>Yr 13.8</t>
        </is>
      </c>
      <c r="C168" s="75" t="n">
        <v>0.3195289723464801</v>
      </c>
      <c r="D168" s="36" t="n">
        <v>0.3499999931840875</v>
      </c>
      <c r="E168" s="68" t="n">
        <v>664500</v>
      </c>
      <c r="F168" s="68" t="n">
        <v>48383</v>
      </c>
      <c r="G168" s="68" t="n">
        <v>10000</v>
      </c>
      <c r="H168" s="68" t="n">
        <v>1247</v>
      </c>
      <c r="I168" s="70" t="n">
        <v>616117</v>
      </c>
      <c r="J168" s="68" t="n">
        <v>40236999</v>
      </c>
    </row>
    <row r="169">
      <c r="A169" s="7" t="n">
        <v>166</v>
      </c>
      <c r="B169" s="7" t="inlineStr">
        <is>
          <t>Yr 13.8</t>
        </is>
      </c>
      <c r="C169" s="75" t="n">
        <v>0.3184220497695967</v>
      </c>
      <c r="D169" s="36" t="n">
        <v>0.34999995418104</v>
      </c>
      <c r="E169" s="72" t="n">
        <v>674500</v>
      </c>
      <c r="F169" s="72" t="n">
        <v>49661</v>
      </c>
      <c r="G169" s="72" t="n">
        <v>10000</v>
      </c>
      <c r="H169" s="72" t="n">
        <v>1278</v>
      </c>
      <c r="I169" s="70" t="n">
        <v>624839</v>
      </c>
      <c r="J169" s="72" t="n">
        <v>40861838</v>
      </c>
    </row>
    <row r="170">
      <c r="A170" s="45" t="n">
        <v>167</v>
      </c>
      <c r="B170" s="45" t="inlineStr">
        <is>
          <t>Yr 13.9</t>
        </is>
      </c>
      <c r="C170" s="75" t="n">
        <v>0.3173256646541424</v>
      </c>
      <c r="D170" s="36" t="n">
        <v>0.3499999993393423</v>
      </c>
      <c r="E170" s="68" t="n">
        <v>684500</v>
      </c>
      <c r="F170" s="68" t="n">
        <v>50975</v>
      </c>
      <c r="G170" s="68" t="n">
        <v>10000</v>
      </c>
      <c r="H170" s="68" t="n">
        <v>1314</v>
      </c>
      <c r="I170" s="70" t="n">
        <v>633525</v>
      </c>
      <c r="J170" s="68" t="n">
        <v>41495363</v>
      </c>
    </row>
    <row r="171">
      <c r="A171" s="7" t="n">
        <v>168</v>
      </c>
      <c r="B171" s="7" t="inlineStr">
        <is>
          <t>Yr 14.0</t>
        </is>
      </c>
      <c r="C171" s="75" t="n">
        <v>0.3162391011048443</v>
      </c>
      <c r="D171" s="36" t="n">
        <v>0.3499999984517414</v>
      </c>
      <c r="E171" s="72" t="n">
        <v>694500</v>
      </c>
      <c r="F171" s="72" t="n">
        <v>52322</v>
      </c>
      <c r="G171" s="72" t="n">
        <v>10000</v>
      </c>
      <c r="H171" s="72" t="n">
        <v>1347</v>
      </c>
      <c r="I171" s="70" t="n">
        <v>642178</v>
      </c>
      <c r="J171" s="72" t="n">
        <v>42137541</v>
      </c>
    </row>
    <row r="172">
      <c r="A172" s="45" t="n">
        <v>169</v>
      </c>
      <c r="B172" s="45" t="inlineStr">
        <is>
          <t>Yr 14.1</t>
        </is>
      </c>
      <c r="C172" s="75" t="n">
        <v>0.3151616709094574</v>
      </c>
      <c r="D172" s="36" t="n">
        <v>0.3499999819411289</v>
      </c>
      <c r="E172" s="68" t="n">
        <v>704500</v>
      </c>
      <c r="F172" s="68" t="n">
        <v>53705</v>
      </c>
      <c r="G172" s="68" t="n">
        <v>10000</v>
      </c>
      <c r="H172" s="68" t="n">
        <v>1383</v>
      </c>
      <c r="I172" s="70" t="n">
        <v>650795</v>
      </c>
      <c r="J172" s="68" t="n">
        <v>42788336</v>
      </c>
    </row>
    <row r="173">
      <c r="A173" s="7" t="n">
        <v>170</v>
      </c>
      <c r="B173" s="7" t="inlineStr">
        <is>
          <t>Yr 14.2</t>
        </is>
      </c>
      <c r="C173" s="75" t="n">
        <v>0.3140927129292955</v>
      </c>
      <c r="D173" s="36" t="n">
        <v>0.3499999806344407</v>
      </c>
      <c r="E173" s="72" t="n">
        <v>714500</v>
      </c>
      <c r="F173" s="72" t="n">
        <v>55125</v>
      </c>
      <c r="G173" s="72" t="n">
        <v>10000</v>
      </c>
      <c r="H173" s="72" t="n">
        <v>1420</v>
      </c>
      <c r="I173" s="70" t="n">
        <v>659375</v>
      </c>
      <c r="J173" s="72" t="n">
        <v>43447711</v>
      </c>
    </row>
    <row r="174">
      <c r="A174" s="45" t="n">
        <v>171</v>
      </c>
      <c r="B174" s="45" t="inlineStr">
        <is>
          <t>Yr 14.2</t>
        </is>
      </c>
      <c r="C174" s="75" t="n">
        <v>0.313031592457273</v>
      </c>
      <c r="D174" s="36" t="n">
        <v>0.3499999577796239</v>
      </c>
      <c r="E174" s="68" t="n">
        <v>724500</v>
      </c>
      <c r="F174" s="68" t="n">
        <v>56582</v>
      </c>
      <c r="G174" s="68" t="n">
        <v>10000</v>
      </c>
      <c r="H174" s="68" t="n">
        <v>1457</v>
      </c>
      <c r="I174" s="70" t="n">
        <v>667918</v>
      </c>
      <c r="J174" s="68" t="n">
        <v>44115629</v>
      </c>
    </row>
    <row r="175">
      <c r="A175" s="7" t="n">
        <v>172</v>
      </c>
      <c r="B175" s="7" t="inlineStr">
        <is>
          <t>Yr 14.3</t>
        </is>
      </c>
      <c r="C175" s="75" t="n">
        <v>0.311977700549728</v>
      </c>
      <c r="D175" s="36" t="n">
        <v>0.3499999459432435</v>
      </c>
      <c r="E175" s="72" t="n">
        <v>734500</v>
      </c>
      <c r="F175" s="72" t="n">
        <v>58078</v>
      </c>
      <c r="G175" s="72" t="n">
        <v>10000</v>
      </c>
      <c r="H175" s="72" t="n">
        <v>1496</v>
      </c>
      <c r="I175" s="70" t="n">
        <v>676422</v>
      </c>
      <c r="J175" s="72" t="n">
        <v>44792051</v>
      </c>
    </row>
    <row r="176">
      <c r="A176" s="45" t="n">
        <v>173</v>
      </c>
      <c r="B176" s="45" t="inlineStr">
        <is>
          <t>Yr 14.4</t>
        </is>
      </c>
      <c r="C176" s="75" t="n">
        <v>0.310930453337705</v>
      </c>
      <c r="D176" s="36" t="n">
        <v>0.3499999725787489</v>
      </c>
      <c r="E176" s="68" t="n">
        <v>744500</v>
      </c>
      <c r="F176" s="68" t="n">
        <v>59614</v>
      </c>
      <c r="G176" s="68" t="n">
        <v>10000</v>
      </c>
      <c r="H176" s="68" t="n">
        <v>1536</v>
      </c>
      <c r="I176" s="70" t="n">
        <v>684886</v>
      </c>
      <c r="J176" s="68" t="n">
        <v>45476937</v>
      </c>
    </row>
    <row r="177">
      <c r="A177" s="7" t="n">
        <v>174</v>
      </c>
      <c r="B177" s="7" t="inlineStr">
        <is>
          <t>Yr 14.5</t>
        </is>
      </c>
      <c r="C177" s="75" t="n">
        <v>0.3098892913228256</v>
      </c>
      <c r="D177" s="36" t="n">
        <v>0.3499999978197338</v>
      </c>
      <c r="E177" s="72" t="n">
        <v>754500</v>
      </c>
      <c r="F177" s="72" t="n">
        <v>61190</v>
      </c>
      <c r="G177" s="72" t="n">
        <v>10000</v>
      </c>
      <c r="H177" s="72" t="n">
        <v>1576</v>
      </c>
      <c r="I177" s="70" t="n">
        <v>693310</v>
      </c>
      <c r="J177" s="72" t="n">
        <v>46170247</v>
      </c>
    </row>
    <row r="178">
      <c r="A178" s="45" t="n">
        <v>175</v>
      </c>
      <c r="B178" s="45" t="inlineStr">
        <is>
          <t>Yr 14.6</t>
        </is>
      </c>
      <c r="C178" s="75" t="n">
        <v>0.3088536786623488</v>
      </c>
      <c r="D178" s="36" t="n">
        <v>0.3499999822174946</v>
      </c>
      <c r="E178" s="68" t="n">
        <v>764500</v>
      </c>
      <c r="F178" s="68" t="n">
        <v>62807</v>
      </c>
      <c r="G178" s="68" t="n">
        <v>10000</v>
      </c>
      <c r="H178" s="68" t="n">
        <v>1617</v>
      </c>
      <c r="I178" s="70" t="n">
        <v>701693</v>
      </c>
      <c r="J178" s="68" t="n">
        <v>46871940</v>
      </c>
    </row>
    <row r="179">
      <c r="A179" s="7" t="n">
        <v>176</v>
      </c>
      <c r="B179" s="7" t="inlineStr">
        <is>
          <t>Yr 14.7</t>
        </is>
      </c>
      <c r="C179" s="75" t="n">
        <v>0.3078231024475462</v>
      </c>
      <c r="D179" s="36" t="n">
        <v>0.3499999433319795</v>
      </c>
      <c r="E179" s="72" t="n">
        <v>774500</v>
      </c>
      <c r="F179" s="72" t="n">
        <v>64467</v>
      </c>
      <c r="G179" s="72" t="n">
        <v>10000</v>
      </c>
      <c r="H179" s="72" t="n">
        <v>1660</v>
      </c>
      <c r="I179" s="70" t="n">
        <v>710033</v>
      </c>
      <c r="J179" s="72" t="n">
        <v>47581973</v>
      </c>
    </row>
    <row r="180">
      <c r="A180" s="45" t="n">
        <v>177</v>
      </c>
      <c r="B180" s="45" t="inlineStr">
        <is>
          <t>Yr 14.8</t>
        </is>
      </c>
      <c r="C180" s="75" t="n">
        <v>0.3067970719790634</v>
      </c>
      <c r="D180" s="36" t="n">
        <v>0.3499999458400365</v>
      </c>
      <c r="E180" s="68" t="n">
        <v>784500</v>
      </c>
      <c r="F180" s="68" t="n">
        <v>66172</v>
      </c>
      <c r="G180" s="68" t="n">
        <v>10000</v>
      </c>
      <c r="H180" s="68" t="n">
        <v>1705</v>
      </c>
      <c r="I180" s="70" t="n">
        <v>718328</v>
      </c>
      <c r="J180" s="68" t="n">
        <v>48300301</v>
      </c>
    </row>
    <row r="181">
      <c r="A181" s="7" t="n">
        <v>178</v>
      </c>
      <c r="B181" s="7" t="inlineStr">
        <is>
          <t>Yr 14.8</t>
        </is>
      </c>
      <c r="C181" s="75" t="n">
        <v>0.3057751180425267</v>
      </c>
      <c r="D181" s="36" t="n">
        <v>0.3499999826408358</v>
      </c>
      <c r="E181" s="72" t="n">
        <v>794500</v>
      </c>
      <c r="F181" s="72" t="n">
        <v>67922</v>
      </c>
      <c r="G181" s="72" t="n">
        <v>10000</v>
      </c>
      <c r="H181" s="72" t="n">
        <v>1750</v>
      </c>
      <c r="I181" s="70" t="n">
        <v>726578</v>
      </c>
      <c r="J181" s="72" t="n">
        <v>49026879</v>
      </c>
    </row>
    <row r="182">
      <c r="A182" s="45" t="n">
        <v>179</v>
      </c>
      <c r="B182" s="45" t="inlineStr">
        <is>
          <t>Yr 14.9</t>
        </is>
      </c>
      <c r="C182" s="75" t="n">
        <v>0.3047567921872665</v>
      </c>
      <c r="D182" s="36" t="n">
        <v>0.3499999834625701</v>
      </c>
      <c r="E182" s="68" t="n">
        <v>804500</v>
      </c>
      <c r="F182" s="68" t="n">
        <v>69717</v>
      </c>
      <c r="G182" s="68" t="n">
        <v>10000</v>
      </c>
      <c r="H182" s="68" t="n">
        <v>1795</v>
      </c>
      <c r="I182" s="70" t="n">
        <v>734783</v>
      </c>
      <c r="J182" s="68" t="n">
        <v>49761662</v>
      </c>
    </row>
    <row r="183">
      <c r="A183" s="7" t="n">
        <v>180</v>
      </c>
      <c r="B183" s="7" t="inlineStr">
        <is>
          <t>Yr 15.0</t>
        </is>
      </c>
      <c r="C183" s="75" t="n">
        <v>0.3037416660106823</v>
      </c>
      <c r="D183" s="36" t="n">
        <v>0.3499999793957917</v>
      </c>
      <c r="E183" s="72" t="n">
        <v>814500</v>
      </c>
      <c r="F183" s="72" t="n">
        <v>71560</v>
      </c>
      <c r="G183" s="72" t="n">
        <v>10000</v>
      </c>
      <c r="H183" s="72" t="n">
        <v>1843</v>
      </c>
      <c r="I183" s="70" t="n">
        <v>742940</v>
      </c>
      <c r="J183" s="72" t="n">
        <v>50504602</v>
      </c>
    </row>
    <row r="184">
      <c r="A184" s="45" t="n">
        <v>181</v>
      </c>
      <c r="B184" s="45" t="inlineStr">
        <is>
          <t>Yr 15.1</t>
        </is>
      </c>
      <c r="C184" s="75" t="n">
        <v>0.302729330450443</v>
      </c>
      <c r="D184" s="36" t="n">
        <v>0.3499999848855375</v>
      </c>
      <c r="E184" s="68" t="n">
        <v>824500</v>
      </c>
      <c r="F184" s="68" t="n">
        <v>73452</v>
      </c>
      <c r="G184" s="68" t="n">
        <v>10000</v>
      </c>
      <c r="H184" s="68" t="n">
        <v>1892</v>
      </c>
      <c r="I184" s="70" t="n">
        <v>751048</v>
      </c>
      <c r="J184" s="68" t="n">
        <v>51255650</v>
      </c>
    </row>
    <row r="185">
      <c r="A185" s="7" t="n">
        <v>182</v>
      </c>
      <c r="B185" s="7" t="inlineStr">
        <is>
          <t>Yr 15.2</t>
        </is>
      </c>
      <c r="C185" s="75" t="n">
        <v>0.3017193950864275</v>
      </c>
      <c r="D185" s="36" t="n">
        <v>0.3499999983211077</v>
      </c>
      <c r="E185" s="72" t="n">
        <v>834500</v>
      </c>
      <c r="F185" s="72" t="n">
        <v>75394</v>
      </c>
      <c r="G185" s="72" t="n">
        <v>10000</v>
      </c>
      <c r="H185" s="72" t="n">
        <v>1942</v>
      </c>
      <c r="I185" s="70" t="n">
        <v>759106</v>
      </c>
      <c r="J185" s="72" t="n">
        <v>52014756</v>
      </c>
    </row>
    <row r="186">
      <c r="A186" s="45" t="n">
        <v>183</v>
      </c>
      <c r="B186" s="45" t="inlineStr">
        <is>
          <t>Yr 15.2</t>
        </is>
      </c>
      <c r="C186" s="75" t="n">
        <v>0.3007114874540369</v>
      </c>
      <c r="D186" s="36" t="n">
        <v>0.3499999544266985</v>
      </c>
      <c r="E186" s="68" t="n">
        <v>844500</v>
      </c>
      <c r="F186" s="68" t="n">
        <v>77386</v>
      </c>
      <c r="G186" s="68" t="n">
        <v>10000</v>
      </c>
      <c r="H186" s="68" t="n">
        <v>1992</v>
      </c>
      <c r="I186" s="70" t="n">
        <v>767114</v>
      </c>
      <c r="J186" s="68" t="n">
        <v>52781870</v>
      </c>
    </row>
    <row r="187">
      <c r="A187" s="7" t="n">
        <v>184</v>
      </c>
      <c r="B187" s="7" t="inlineStr">
        <is>
          <t>Yr 15.3</t>
        </is>
      </c>
      <c r="C187" s="75" t="n">
        <v>0.2997052523702644</v>
      </c>
      <c r="D187" s="36" t="n">
        <v>0.3499999673415625</v>
      </c>
      <c r="E187" s="72" t="n">
        <v>854500</v>
      </c>
      <c r="F187" s="72" t="n">
        <v>79433</v>
      </c>
      <c r="G187" s="72" t="n">
        <v>10000</v>
      </c>
      <c r="H187" s="72" t="n">
        <v>2047</v>
      </c>
      <c r="I187" s="70" t="n">
        <v>775067</v>
      </c>
      <c r="J187" s="72" t="n">
        <v>53556937</v>
      </c>
    </row>
    <row r="188">
      <c r="A188" s="45" t="n">
        <v>185</v>
      </c>
      <c r="B188" s="45" t="inlineStr">
        <is>
          <t>Yr 15.4</t>
        </is>
      </c>
      <c r="C188" s="75" t="n">
        <v>0.2987003512736896</v>
      </c>
      <c r="D188" s="36" t="n">
        <v>0.3499999818181428</v>
      </c>
      <c r="E188" s="68" t="n">
        <v>864500</v>
      </c>
      <c r="F188" s="68" t="n">
        <v>81533</v>
      </c>
      <c r="G188" s="68" t="n">
        <v>10000</v>
      </c>
      <c r="H188" s="68" t="n">
        <v>2100</v>
      </c>
      <c r="I188" s="70" t="n">
        <v>782967</v>
      </c>
      <c r="J188" s="68" t="n">
        <v>54339904</v>
      </c>
    </row>
    <row r="189">
      <c r="A189" s="7" t="n">
        <v>186</v>
      </c>
      <c r="B189" s="7" t="inlineStr">
        <is>
          <t>Yr 15.5</t>
        </is>
      </c>
      <c r="C189" s="75" t="n">
        <v>0.2976964615793603</v>
      </c>
      <c r="D189" s="36" t="n">
        <v>0.3499999746359703</v>
      </c>
      <c r="E189" s="72" t="n">
        <v>874500</v>
      </c>
      <c r="F189" s="72" t="n">
        <v>83688</v>
      </c>
      <c r="G189" s="72" t="n">
        <v>10000</v>
      </c>
      <c r="H189" s="72" t="n">
        <v>2155</v>
      </c>
      <c r="I189" s="70" t="n">
        <v>790812</v>
      </c>
      <c r="J189" s="72" t="n">
        <v>55130716</v>
      </c>
    </row>
    <row r="190">
      <c r="A190" s="45" t="n">
        <v>187</v>
      </c>
      <c r="B190" s="45" t="inlineStr">
        <is>
          <t>Yr 15.6</t>
        </is>
      </c>
      <c r="C190" s="75" t="n">
        <v>0.2966932760493449</v>
      </c>
      <c r="D190" s="36" t="n">
        <v>0.3499999920974942</v>
      </c>
      <c r="E190" s="68" t="n">
        <v>884500</v>
      </c>
      <c r="F190" s="68" t="n">
        <v>85901</v>
      </c>
      <c r="G190" s="68" t="n">
        <v>10000</v>
      </c>
      <c r="H190" s="68" t="n">
        <v>2213</v>
      </c>
      <c r="I190" s="70" t="n">
        <v>798599</v>
      </c>
      <c r="J190" s="68" t="n">
        <v>55929315</v>
      </c>
    </row>
    <row r="191">
      <c r="A191" s="7" t="n">
        <v>188</v>
      </c>
      <c r="B191" s="7" t="inlineStr">
        <is>
          <t>Yr 15.7</t>
        </is>
      </c>
      <c r="C191" s="75" t="n">
        <v>0.2956905021795767</v>
      </c>
      <c r="D191" s="36" t="n">
        <v>0.3499999686630585</v>
      </c>
      <c r="E191" s="72" t="n">
        <v>894500</v>
      </c>
      <c r="F191" s="72" t="n">
        <v>88171</v>
      </c>
      <c r="G191" s="72" t="n">
        <v>10000</v>
      </c>
      <c r="H191" s="72" t="n">
        <v>2270</v>
      </c>
      <c r="I191" s="70" t="n">
        <v>806329</v>
      </c>
      <c r="J191" s="72" t="n">
        <v>56735644</v>
      </c>
    </row>
    <row r="192">
      <c r="A192" s="45" t="n">
        <v>189</v>
      </c>
      <c r="B192" s="45" t="inlineStr">
        <is>
          <t>Yr 15.8</t>
        </is>
      </c>
      <c r="C192" s="75" t="n">
        <v>0.2946878616034657</v>
      </c>
      <c r="D192" s="36" t="n">
        <v>0.3499999893843876</v>
      </c>
      <c r="E192" s="68" t="n">
        <v>904500</v>
      </c>
      <c r="F192" s="68" t="n">
        <v>90503</v>
      </c>
      <c r="G192" s="68" t="n">
        <v>10000</v>
      </c>
      <c r="H192" s="68" t="n">
        <v>2332</v>
      </c>
      <c r="I192" s="70" t="n">
        <v>813997</v>
      </c>
      <c r="J192" s="68" t="n">
        <v>57549641</v>
      </c>
    </row>
    <row r="193">
      <c r="A193" s="7" t="n">
        <v>190</v>
      </c>
      <c r="B193" s="7" t="inlineStr">
        <is>
          <t>Yr 15.8</t>
        </is>
      </c>
      <c r="C193" s="75" t="n">
        <v>0.2936850895126222</v>
      </c>
      <c r="D193" s="36" t="n">
        <v>0.3499999846789003</v>
      </c>
      <c r="E193" s="72" t="n">
        <v>914500</v>
      </c>
      <c r="F193" s="72" t="n">
        <v>92895</v>
      </c>
      <c r="G193" s="72" t="n">
        <v>10000</v>
      </c>
      <c r="H193" s="72" t="n">
        <v>2392</v>
      </c>
      <c r="I193" s="70" t="n">
        <v>821605</v>
      </c>
      <c r="J193" s="72" t="n">
        <v>58371246</v>
      </c>
    </row>
    <row r="194">
      <c r="A194" s="45" t="n">
        <v>191</v>
      </c>
      <c r="B194" s="45" t="inlineStr">
        <is>
          <t>Yr 15.9</t>
        </is>
      </c>
      <c r="C194" s="75" t="n">
        <v>0.2926819340949249</v>
      </c>
      <c r="D194" s="36" t="n">
        <v>0.349999986284298</v>
      </c>
      <c r="E194" s="68" t="n">
        <v>924500</v>
      </c>
      <c r="F194" s="68" t="n">
        <v>95351</v>
      </c>
      <c r="G194" s="68" t="n">
        <v>10000</v>
      </c>
      <c r="H194" s="68" t="n">
        <v>2456</v>
      </c>
      <c r="I194" s="70" t="n">
        <v>829149</v>
      </c>
      <c r="J194" s="68" t="n">
        <v>59200395</v>
      </c>
    </row>
    <row r="195">
      <c r="A195" s="7" t="n">
        <v>192</v>
      </c>
      <c r="B195" s="7" t="inlineStr">
        <is>
          <t>Yr 16.0</t>
        </is>
      </c>
      <c r="C195" s="75" t="n">
        <v>0.2916781559900585</v>
      </c>
      <c r="D195" s="36" t="n">
        <v>0.3499999964614982</v>
      </c>
      <c r="E195" s="72" t="n">
        <v>934500</v>
      </c>
      <c r="F195" s="72" t="n">
        <v>97872</v>
      </c>
      <c r="G195" s="72" t="n">
        <v>10000</v>
      </c>
      <c r="H195" s="72" t="n">
        <v>2521</v>
      </c>
      <c r="I195" s="70" t="n">
        <v>836628</v>
      </c>
      <c r="J195" s="72" t="n">
        <v>60037023</v>
      </c>
    </row>
    <row r="196">
      <c r="A196" s="45" t="n">
        <v>193</v>
      </c>
      <c r="B196" s="45" t="inlineStr">
        <is>
          <t>Yr 16.1</t>
        </is>
      </c>
      <c r="C196" s="75" t="n">
        <v>0.2906735277625633</v>
      </c>
      <c r="D196" s="36" t="n">
        <v>0.3499999905161766</v>
      </c>
      <c r="E196" s="68" t="n">
        <v>944500</v>
      </c>
      <c r="F196" s="68" t="n">
        <v>100459</v>
      </c>
      <c r="G196" s="68" t="n">
        <v>10000</v>
      </c>
      <c r="H196" s="68" t="n">
        <v>2587</v>
      </c>
      <c r="I196" s="70" t="n">
        <v>844041</v>
      </c>
      <c r="J196" s="68" t="n">
        <v>60881064</v>
      </c>
    </row>
    <row r="197">
      <c r="A197" s="7" t="n">
        <v>194</v>
      </c>
      <c r="B197" s="7" t="inlineStr">
        <is>
          <t>Yr 16.2</t>
        </is>
      </c>
      <c r="C197" s="75" t="n">
        <v>0.2896678333923521</v>
      </c>
      <c r="D197" s="36" t="n">
        <v>0.3499999916454959</v>
      </c>
      <c r="E197" s="72" t="n">
        <v>954500</v>
      </c>
      <c r="F197" s="72" t="n">
        <v>103115</v>
      </c>
      <c r="G197" s="72" t="n">
        <v>10000</v>
      </c>
      <c r="H197" s="72" t="n">
        <v>2656</v>
      </c>
      <c r="I197" s="70" t="n">
        <v>851385</v>
      </c>
      <c r="J197" s="72" t="n">
        <v>61732449</v>
      </c>
    </row>
    <row r="198">
      <c r="A198" s="45" t="n">
        <v>195</v>
      </c>
      <c r="B198" s="45" t="inlineStr">
        <is>
          <t>Yr 16.2</t>
        </is>
      </c>
      <c r="C198" s="75" t="n">
        <v>0.2886608677825892</v>
      </c>
      <c r="D198" s="36" t="n">
        <v>0.3499999917118699</v>
      </c>
      <c r="E198" s="68" t="n">
        <v>964500</v>
      </c>
      <c r="F198" s="68" t="n">
        <v>105841</v>
      </c>
      <c r="G198" s="68" t="n">
        <v>10000</v>
      </c>
      <c r="H198" s="68" t="n">
        <v>2726</v>
      </c>
      <c r="I198" s="70" t="n">
        <v>858659</v>
      </c>
      <c r="J198" s="68" t="n">
        <v>62591108</v>
      </c>
    </row>
    <row r="199">
      <c r="A199" s="7" t="n">
        <v>196</v>
      </c>
      <c r="B199" s="7" t="inlineStr">
        <is>
          <t>Yr 16.3</t>
        </is>
      </c>
      <c r="C199" s="75" t="n">
        <v>0.2876524362847585</v>
      </c>
      <c r="D199" s="36" t="n">
        <v>0.3499999885003123</v>
      </c>
      <c r="E199" s="72" t="n">
        <v>974500</v>
      </c>
      <c r="F199" s="72" t="n">
        <v>108639</v>
      </c>
      <c r="G199" s="72" t="n">
        <v>10000</v>
      </c>
      <c r="H199" s="72" t="n">
        <v>2798</v>
      </c>
      <c r="I199" s="70" t="n">
        <v>865861</v>
      </c>
      <c r="J199" s="72" t="n">
        <v>63456969</v>
      </c>
    </row>
    <row r="200">
      <c r="A200" s="45" t="n">
        <v>197</v>
      </c>
      <c r="B200" s="45" t="inlineStr">
        <is>
          <t>Yr 16.4</t>
        </is>
      </c>
      <c r="C200" s="75" t="n">
        <v>0.2866423542407038</v>
      </c>
      <c r="D200" s="36" t="n">
        <v>0.3499999832543351</v>
      </c>
      <c r="E200" s="68" t="n">
        <v>984500</v>
      </c>
      <c r="F200" s="68" t="n">
        <v>111511</v>
      </c>
      <c r="G200" s="68" t="n">
        <v>10000</v>
      </c>
      <c r="H200" s="68" t="n">
        <v>2872</v>
      </c>
      <c r="I200" s="70" t="n">
        <v>872989</v>
      </c>
      <c r="J200" s="68" t="n">
        <v>64329958</v>
      </c>
    </row>
    <row r="201">
      <c r="A201" s="7" t="n">
        <v>198</v>
      </c>
      <c r="B201" s="7" t="inlineStr">
        <is>
          <t>Yr 16.5</t>
        </is>
      </c>
      <c r="C201" s="75" t="n">
        <v>0.2856304465413745</v>
      </c>
      <c r="D201" s="36" t="n">
        <v>0.3499999785307437</v>
      </c>
      <c r="E201" s="72" t="n">
        <v>994500</v>
      </c>
      <c r="F201" s="72" t="n">
        <v>114459</v>
      </c>
      <c r="G201" s="72" t="n">
        <v>10000</v>
      </c>
      <c r="H201" s="72" t="n">
        <v>2948</v>
      </c>
      <c r="I201" s="70" t="n">
        <v>880041</v>
      </c>
      <c r="J201" s="72" t="n">
        <v>65209999</v>
      </c>
    </row>
    <row r="202">
      <c r="A202" s="45" t="n">
        <v>199</v>
      </c>
      <c r="B202" s="45" t="inlineStr">
        <is>
          <t>Yr 16.6</t>
        </is>
      </c>
      <c r="C202" s="75" t="n">
        <v>0.2846165472019768</v>
      </c>
      <c r="D202" s="36" t="n">
        <v>0.3499999763467224</v>
      </c>
      <c r="E202" s="68" t="n">
        <v>1004500</v>
      </c>
      <c r="F202" s="68" t="n">
        <v>117485</v>
      </c>
      <c r="G202" s="68" t="n">
        <v>10000</v>
      </c>
      <c r="H202" s="68" t="n">
        <v>3026</v>
      </c>
      <c r="I202" s="70" t="n">
        <v>887015</v>
      </c>
      <c r="J202" s="68" t="n">
        <v>66097014</v>
      </c>
    </row>
    <row r="203">
      <c r="A203" s="7" t="n">
        <v>200</v>
      </c>
      <c r="B203" s="7" t="inlineStr">
        <is>
          <t>Yr 16.7</t>
        </is>
      </c>
      <c r="C203" s="75" t="n">
        <v>0.2836004989531964</v>
      </c>
      <c r="D203" s="36" t="n">
        <v>0.3499999765943459</v>
      </c>
      <c r="E203" s="72" t="n">
        <v>1014500</v>
      </c>
      <c r="F203" s="72" t="n">
        <v>120591</v>
      </c>
      <c r="G203" s="72" t="n">
        <v>10000</v>
      </c>
      <c r="H203" s="72" t="n">
        <v>3106</v>
      </c>
      <c r="I203" s="70" t="n">
        <v>893909</v>
      </c>
      <c r="J203" s="72" t="n">
        <v>66990923</v>
      </c>
    </row>
    <row r="204">
      <c r="A204" s="45" t="n">
        <v>201</v>
      </c>
      <c r="B204" s="45" t="inlineStr">
        <is>
          <t>Yr 16.8</t>
        </is>
      </c>
      <c r="C204" s="75" t="n">
        <v>0.2825821528481358</v>
      </c>
      <c r="D204" s="36" t="n">
        <v>0.349999975699293</v>
      </c>
      <c r="E204" s="68" t="n">
        <v>1024500</v>
      </c>
      <c r="F204" s="68" t="n">
        <v>123779</v>
      </c>
      <c r="G204" s="68" t="n">
        <v>10000</v>
      </c>
      <c r="H204" s="68" t="n">
        <v>3188</v>
      </c>
      <c r="I204" s="70" t="n">
        <v>900721</v>
      </c>
      <c r="J204" s="68" t="n">
        <v>67891644</v>
      </c>
    </row>
    <row r="205">
      <c r="A205" s="7" t="n">
        <v>202</v>
      </c>
      <c r="B205" s="7" t="inlineStr">
        <is>
          <t>Yr 16.8</t>
        </is>
      </c>
      <c r="C205" s="75" t="n">
        <v>0.2815613678845857</v>
      </c>
      <c r="D205" s="36" t="n">
        <v>0.3499999948965227</v>
      </c>
      <c r="E205" s="72" t="n">
        <v>1034500</v>
      </c>
      <c r="F205" s="72" t="n">
        <v>127052</v>
      </c>
      <c r="G205" s="72" t="n">
        <v>10000</v>
      </c>
      <c r="H205" s="72" t="n">
        <v>3273</v>
      </c>
      <c r="I205" s="70" t="n">
        <v>907448</v>
      </c>
      <c r="J205" s="72" t="n">
        <v>68799092</v>
      </c>
    </row>
    <row r="206">
      <c r="A206" s="45" t="n">
        <v>203</v>
      </c>
      <c r="B206" s="45" t="inlineStr">
        <is>
          <t>Yr 16.9</t>
        </is>
      </c>
      <c r="C206" s="75" t="n">
        <v>0.280538010642236</v>
      </c>
      <c r="D206" s="36" t="n">
        <v>0.3499999889547591</v>
      </c>
      <c r="E206" s="68" t="n">
        <v>1044500</v>
      </c>
      <c r="F206" s="68" t="n">
        <v>130410</v>
      </c>
      <c r="G206" s="68" t="n">
        <v>10000</v>
      </c>
      <c r="H206" s="68" t="n">
        <v>3358</v>
      </c>
      <c r="I206" s="70" t="n">
        <v>914090</v>
      </c>
      <c r="J206" s="68" t="n">
        <v>69713182</v>
      </c>
    </row>
    <row r="207">
      <c r="A207" s="7" t="n">
        <v>204</v>
      </c>
      <c r="B207" s="7" t="inlineStr">
        <is>
          <t>Yr 17.0</t>
        </is>
      </c>
      <c r="C207" s="75" t="n">
        <v>0.2795119549344172</v>
      </c>
      <c r="D207" s="36" t="n">
        <v>0.3499999938854</v>
      </c>
      <c r="E207" s="72" t="n">
        <v>1054500</v>
      </c>
      <c r="F207" s="72" t="n">
        <v>133858</v>
      </c>
      <c r="G207" s="72" t="n">
        <v>10000</v>
      </c>
      <c r="H207" s="72" t="n">
        <v>3448</v>
      </c>
      <c r="I207" s="70" t="n">
        <v>920642</v>
      </c>
      <c r="J207" s="72" t="n">
        <v>70633824</v>
      </c>
    </row>
    <row r="208">
      <c r="A208" s="45" t="n">
        <v>205</v>
      </c>
      <c r="B208" s="45" t="inlineStr">
        <is>
          <t>Yr 17.1</t>
        </is>
      </c>
      <c r="C208" s="75" t="n">
        <v>0.2784830814739558</v>
      </c>
      <c r="D208" s="36" t="n">
        <v>0.3499999775268604</v>
      </c>
      <c r="E208" s="68" t="n">
        <v>1064500</v>
      </c>
      <c r="F208" s="68" t="n">
        <v>137396</v>
      </c>
      <c r="G208" s="68" t="n">
        <v>10000</v>
      </c>
      <c r="H208" s="68" t="n">
        <v>3538</v>
      </c>
      <c r="I208" s="70" t="n">
        <v>927104</v>
      </c>
      <c r="J208" s="68" t="n">
        <v>71560928</v>
      </c>
    </row>
    <row r="209">
      <c r="A209" s="7" t="n">
        <v>206</v>
      </c>
      <c r="B209" s="7" t="inlineStr">
        <is>
          <t>Yr 17.2</t>
        </is>
      </c>
      <c r="C209" s="75" t="n">
        <v>0.277451277552719</v>
      </c>
      <c r="D209" s="36" t="n">
        <v>0.3499999802851115</v>
      </c>
      <c r="E209" s="72" t="n">
        <v>1074500</v>
      </c>
      <c r="F209" s="72" t="n">
        <v>141029</v>
      </c>
      <c r="G209" s="72" t="n">
        <v>10000</v>
      </c>
      <c r="H209" s="72" t="n">
        <v>3633</v>
      </c>
      <c r="I209" s="70" t="n">
        <v>933471</v>
      </c>
      <c r="J209" s="72" t="n">
        <v>72494399</v>
      </c>
    </row>
    <row r="210">
      <c r="A210" s="45" t="n">
        <v>207</v>
      </c>
      <c r="B210" s="45" t="inlineStr">
        <is>
          <t>Yr 17.2</t>
        </is>
      </c>
      <c r="C210" s="75" t="n">
        <v>0.2764164367344232</v>
      </c>
      <c r="D210" s="36" t="n">
        <v>0.3499999996185238</v>
      </c>
      <c r="E210" s="68" t="n">
        <v>1084500</v>
      </c>
      <c r="F210" s="68" t="n">
        <v>144758</v>
      </c>
      <c r="G210" s="68" t="n">
        <v>10000</v>
      </c>
      <c r="H210" s="68" t="n">
        <v>3729</v>
      </c>
      <c r="I210" s="70" t="n">
        <v>939742</v>
      </c>
      <c r="J210" s="68" t="n">
        <v>73434141</v>
      </c>
    </row>
    <row r="211">
      <c r="A211" s="7" t="n">
        <v>208</v>
      </c>
      <c r="B211" s="7" t="inlineStr">
        <is>
          <t>Yr 17.3</t>
        </is>
      </c>
      <c r="C211" s="75" t="n">
        <v>0.2753784585602756</v>
      </c>
      <c r="D211" s="36" t="n">
        <v>0.3499999945135218</v>
      </c>
      <c r="E211" s="72" t="n">
        <v>1094500</v>
      </c>
      <c r="F211" s="72" t="n">
        <v>148584</v>
      </c>
      <c r="G211" s="72" t="n">
        <v>10000</v>
      </c>
      <c r="H211" s="72" t="n">
        <v>3826</v>
      </c>
      <c r="I211" s="70" t="n">
        <v>945916</v>
      </c>
      <c r="J211" s="72" t="n">
        <v>74380057</v>
      </c>
    </row>
    <row r="212">
      <c r="A212" s="45" t="n">
        <v>209</v>
      </c>
      <c r="B212" s="45" t="inlineStr">
        <is>
          <t>Yr 17.4</t>
        </is>
      </c>
      <c r="C212" s="75" t="n">
        <v>0.2743372482670247</v>
      </c>
      <c r="D212" s="36" t="n">
        <v>0.3499999876286008</v>
      </c>
      <c r="E212" s="68" t="n">
        <v>1104500</v>
      </c>
      <c r="F212" s="68" t="n">
        <v>152512</v>
      </c>
      <c r="G212" s="68" t="n">
        <v>10000</v>
      </c>
      <c r="H212" s="68" t="n">
        <v>3928</v>
      </c>
      <c r="I212" s="70" t="n">
        <v>951988</v>
      </c>
      <c r="J212" s="68" t="n">
        <v>75332045</v>
      </c>
    </row>
    <row r="213">
      <c r="A213" s="7" t="n">
        <v>210</v>
      </c>
      <c r="B213" s="7" t="inlineStr">
        <is>
          <t>Yr 17.5</t>
        </is>
      </c>
      <c r="C213" s="75" t="n">
        <v>0.2732927165169917</v>
      </c>
      <c r="D213" s="36" t="n">
        <v>0.3499999828341193</v>
      </c>
      <c r="E213" s="72" t="n">
        <v>1114500</v>
      </c>
      <c r="F213" s="72" t="n">
        <v>156544</v>
      </c>
      <c r="G213" s="72" t="n">
        <v>10000</v>
      </c>
      <c r="H213" s="72" t="n">
        <v>4032</v>
      </c>
      <c r="I213" s="70" t="n">
        <v>957956</v>
      </c>
      <c r="J213" s="72" t="n">
        <v>76290001</v>
      </c>
    </row>
    <row r="214">
      <c r="A214" s="45" t="n">
        <v>211</v>
      </c>
      <c r="B214" s="45" t="inlineStr">
        <is>
          <t>Yr 17.6</t>
        </is>
      </c>
      <c r="C214" s="75" t="n">
        <v>0.272244779139665</v>
      </c>
      <c r="D214" s="36" t="n">
        <v>0.3499999894451018</v>
      </c>
      <c r="E214" s="68" t="n">
        <v>1124500</v>
      </c>
      <c r="F214" s="68" t="n">
        <v>160683</v>
      </c>
      <c r="G214" s="68" t="n">
        <v>10000</v>
      </c>
      <c r="H214" s="68" t="n">
        <v>4139</v>
      </c>
      <c r="I214" s="70" t="n">
        <v>963817</v>
      </c>
      <c r="J214" s="68" t="n">
        <v>77253818</v>
      </c>
    </row>
    <row r="215">
      <c r="A215" s="7" t="n">
        <v>212</v>
      </c>
      <c r="B215" s="7" t="inlineStr">
        <is>
          <t>Yr 17.7</t>
        </is>
      </c>
      <c r="C215" s="75" t="n">
        <v>0.2711933568844404</v>
      </c>
      <c r="D215" s="36" t="n">
        <v>0.3499999970743367</v>
      </c>
      <c r="E215" s="72" t="n">
        <v>1134500</v>
      </c>
      <c r="F215" s="72" t="n">
        <v>164931</v>
      </c>
      <c r="G215" s="72" t="n">
        <v>10000</v>
      </c>
      <c r="H215" s="72" t="n">
        <v>4248</v>
      </c>
      <c r="I215" s="70" t="n">
        <v>969569</v>
      </c>
      <c r="J215" s="72" t="n">
        <v>78223387</v>
      </c>
    </row>
    <row r="216">
      <c r="A216" s="45" t="n">
        <v>213</v>
      </c>
      <c r="B216" s="45" t="inlineStr">
        <is>
          <t>Yr 17.8</t>
        </is>
      </c>
      <c r="C216" s="75" t="n">
        <v>0.2701383751841004</v>
      </c>
      <c r="D216" s="36" t="n">
        <v>0.3499999989405091</v>
      </c>
      <c r="E216" s="68" t="n">
        <v>1144500</v>
      </c>
      <c r="F216" s="68" t="n">
        <v>169291</v>
      </c>
      <c r="G216" s="68" t="n">
        <v>10000</v>
      </c>
      <c r="H216" s="68" t="n">
        <v>4360</v>
      </c>
      <c r="I216" s="70" t="n">
        <v>975209</v>
      </c>
      <c r="J216" s="68" t="n">
        <v>79198596</v>
      </c>
    </row>
    <row r="217">
      <c r="A217" s="7" t="n">
        <v>214</v>
      </c>
      <c r="B217" s="7" t="inlineStr">
        <is>
          <t>Yr 17.8</t>
        </is>
      </c>
      <c r="C217" s="75" t="n">
        <v>0.2690797639286299</v>
      </c>
      <c r="D217" s="36" t="n">
        <v>0.3499999897746378</v>
      </c>
      <c r="E217" s="72" t="n">
        <v>1154500</v>
      </c>
      <c r="F217" s="72" t="n">
        <v>173766</v>
      </c>
      <c r="G217" s="72" t="n">
        <v>10000</v>
      </c>
      <c r="H217" s="72" t="n">
        <v>4475</v>
      </c>
      <c r="I217" s="70" t="n">
        <v>980734</v>
      </c>
      <c r="J217" s="72" t="n">
        <v>80179330</v>
      </c>
    </row>
    <row r="218">
      <c r="A218" s="45" t="n">
        <v>215</v>
      </c>
      <c r="B218" s="45" t="inlineStr">
        <is>
          <t>Yr 17.9</t>
        </is>
      </c>
      <c r="C218" s="75" t="n">
        <v>0.2680174572489764</v>
      </c>
      <c r="D218" s="36" t="n">
        <v>0.3499999849506643</v>
      </c>
      <c r="E218" s="68" t="n">
        <v>1164500</v>
      </c>
      <c r="F218" s="68" t="n">
        <v>178360</v>
      </c>
      <c r="G218" s="68" t="n">
        <v>10000</v>
      </c>
      <c r="H218" s="68" t="n">
        <v>4594</v>
      </c>
      <c r="I218" s="70" t="n">
        <v>986140</v>
      </c>
      <c r="J218" s="68" t="n">
        <v>81165470</v>
      </c>
    </row>
    <row r="219">
      <c r="A219" s="7" t="n">
        <v>216</v>
      </c>
      <c r="B219" s="7" t="inlineStr">
        <is>
          <t>Yr 18.0</t>
        </is>
      </c>
      <c r="C219" s="75" t="n">
        <v>0.2669513933103709</v>
      </c>
      <c r="D219" s="36" t="n">
        <v>0.3499999953717875</v>
      </c>
      <c r="E219" s="72" t="n">
        <v>1174500</v>
      </c>
      <c r="F219" s="72" t="n">
        <v>183076</v>
      </c>
      <c r="G219" s="72" t="n">
        <v>10000</v>
      </c>
      <c r="H219" s="72" t="n">
        <v>4716</v>
      </c>
      <c r="I219" s="70" t="n">
        <v>991424</v>
      </c>
      <c r="J219" s="72" t="n">
        <v>82156894</v>
      </c>
    </row>
    <row r="220">
      <c r="A220" s="45" t="n">
        <v>217</v>
      </c>
      <c r="B220" s="45" t="inlineStr">
        <is>
          <t>Yr 18.1</t>
        </is>
      </c>
      <c r="C220" s="75" t="n">
        <v>0.2658815141148348</v>
      </c>
      <c r="D220" s="36" t="n">
        <v>0.3499999866126823</v>
      </c>
      <c r="E220" s="68" t="n">
        <v>1184500</v>
      </c>
      <c r="F220" s="68" t="n">
        <v>187915</v>
      </c>
      <c r="G220" s="68" t="n">
        <v>10000</v>
      </c>
      <c r="H220" s="68" t="n">
        <v>4839</v>
      </c>
      <c r="I220" s="70" t="n">
        <v>996585</v>
      </c>
      <c r="J220" s="68" t="n">
        <v>83153479</v>
      </c>
    </row>
    <row r="221">
      <c r="A221" s="7" t="n">
        <v>218</v>
      </c>
      <c r="B221" s="7" t="inlineStr">
        <is>
          <t>Yr 18.2</t>
        </is>
      </c>
      <c r="C221" s="75" t="n">
        <v>0.2648077653125084</v>
      </c>
      <c r="D221" s="36" t="n">
        <v>0.3499999808383534</v>
      </c>
      <c r="E221" s="72" t="n">
        <v>1194500</v>
      </c>
      <c r="F221" s="72" t="n">
        <v>192883</v>
      </c>
      <c r="G221" s="72" t="n">
        <v>10000</v>
      </c>
      <c r="H221" s="72" t="n">
        <v>4968</v>
      </c>
      <c r="I221" s="70" t="n">
        <v>1001617</v>
      </c>
      <c r="J221" s="72" t="n">
        <v>84155096</v>
      </c>
    </row>
    <row r="222">
      <c r="A222" s="45" t="n">
        <v>219</v>
      </c>
      <c r="B222" s="45" t="inlineStr">
        <is>
          <t>Yr 18.2</t>
        </is>
      </c>
      <c r="C222" s="75" t="n">
        <v>0.2637300960214456</v>
      </c>
      <c r="D222" s="36" t="n">
        <v>0.3499999903327058</v>
      </c>
      <c r="E222" s="68" t="n">
        <v>1204500</v>
      </c>
      <c r="F222" s="68" t="n">
        <v>197983</v>
      </c>
      <c r="G222" s="68" t="n">
        <v>10000</v>
      </c>
      <c r="H222" s="68" t="n">
        <v>5100</v>
      </c>
      <c r="I222" s="70" t="n">
        <v>1006517</v>
      </c>
      <c r="J222" s="68" t="n">
        <v>85161613</v>
      </c>
    </row>
    <row r="223">
      <c r="A223" s="7" t="n">
        <v>220</v>
      </c>
      <c r="B223" s="7" t="inlineStr">
        <is>
          <t>Yr 18.3</t>
        </is>
      </c>
      <c r="C223" s="75" t="n">
        <v>0.2626484586555324</v>
      </c>
      <c r="D223" s="36" t="n">
        <v>0.3499999987673459</v>
      </c>
      <c r="E223" s="72" t="n">
        <v>1214500</v>
      </c>
      <c r="F223" s="72" t="n">
        <v>203217</v>
      </c>
      <c r="G223" s="72" t="n">
        <v>10000</v>
      </c>
      <c r="H223" s="72" t="n">
        <v>5234</v>
      </c>
      <c r="I223" s="70" t="n">
        <v>1011283</v>
      </c>
      <c r="J223" s="72" t="n">
        <v>86172896</v>
      </c>
    </row>
    <row r="224">
      <c r="A224" s="45" t="n">
        <v>221</v>
      </c>
      <c r="B224" s="45" t="inlineStr">
        <is>
          <t>Yr 18.4</t>
        </is>
      </c>
      <c r="C224" s="75" t="n">
        <v>0.2615628087601948</v>
      </c>
      <c r="D224" s="36" t="n">
        <v>0.3499999995771102</v>
      </c>
      <c r="E224" s="68" t="n">
        <v>1224500</v>
      </c>
      <c r="F224" s="68" t="n">
        <v>208589</v>
      </c>
      <c r="G224" s="68" t="n">
        <v>10000</v>
      </c>
      <c r="H224" s="68" t="n">
        <v>5372</v>
      </c>
      <c r="I224" s="70" t="n">
        <v>1015911</v>
      </c>
      <c r="J224" s="68" t="n">
        <v>87188807</v>
      </c>
    </row>
    <row r="225">
      <c r="A225" s="7" t="n">
        <v>222</v>
      </c>
      <c r="B225" s="7" t="inlineStr">
        <is>
          <t>Yr 18.5</t>
        </is>
      </c>
      <c r="C225" s="75" t="n">
        <v>0.260473104855572</v>
      </c>
      <c r="D225" s="36" t="n">
        <v>0.3499999929903724</v>
      </c>
      <c r="E225" s="72" t="n">
        <v>1234500</v>
      </c>
      <c r="F225" s="72" t="n">
        <v>214103</v>
      </c>
      <c r="G225" s="72" t="n">
        <v>10000</v>
      </c>
      <c r="H225" s="72" t="n">
        <v>5514</v>
      </c>
      <c r="I225" s="70" t="n">
        <v>1020397</v>
      </c>
      <c r="J225" s="72" t="n">
        <v>88209204</v>
      </c>
    </row>
    <row r="226">
      <c r="A226" s="45" t="n">
        <v>223</v>
      </c>
      <c r="B226" s="45" t="inlineStr">
        <is>
          <t>Yr 18.6</t>
        </is>
      </c>
      <c r="C226" s="75" t="n">
        <v>0.2593793082868442</v>
      </c>
      <c r="D226" s="36" t="n">
        <v>0.3499999834207023</v>
      </c>
      <c r="E226" s="68" t="n">
        <v>1244500</v>
      </c>
      <c r="F226" s="68" t="n">
        <v>219763</v>
      </c>
      <c r="G226" s="68" t="n">
        <v>10000</v>
      </c>
      <c r="H226" s="68" t="n">
        <v>5660</v>
      </c>
      <c r="I226" s="70" t="n">
        <v>1024737</v>
      </c>
      <c r="J226" s="68" t="n">
        <v>89233941</v>
      </c>
    </row>
    <row r="227">
      <c r="A227" s="7" t="n">
        <v>224</v>
      </c>
      <c r="B227" s="7" t="inlineStr">
        <is>
          <t>Yr 18.7</t>
        </is>
      </c>
      <c r="C227" s="75" t="n">
        <v>0.2582813830814121</v>
      </c>
      <c r="D227" s="36" t="n">
        <v>0.3499999937465307</v>
      </c>
      <c r="E227" s="72" t="n">
        <v>1254500</v>
      </c>
      <c r="F227" s="72" t="n">
        <v>225574</v>
      </c>
      <c r="G227" s="72" t="n">
        <v>10000</v>
      </c>
      <c r="H227" s="72" t="n">
        <v>5811</v>
      </c>
      <c r="I227" s="70" t="n">
        <v>1028926</v>
      </c>
      <c r="J227" s="72" t="n">
        <v>90262867</v>
      </c>
    </row>
    <row r="228">
      <c r="A228" s="45" t="n">
        <v>225</v>
      </c>
      <c r="B228" s="45" t="inlineStr">
        <is>
          <t>Yr 18.8</t>
        </is>
      </c>
      <c r="C228" s="75" t="n">
        <v>0.2571792958126368</v>
      </c>
      <c r="D228" s="36" t="n">
        <v>0.3499999963159999</v>
      </c>
      <c r="E228" s="68" t="n">
        <v>1264500</v>
      </c>
      <c r="F228" s="68" t="n">
        <v>231537</v>
      </c>
      <c r="G228" s="68" t="n">
        <v>10000</v>
      </c>
      <c r="H228" s="68" t="n">
        <v>5963</v>
      </c>
      <c r="I228" s="70" t="n">
        <v>1032963</v>
      </c>
      <c r="J228" s="68" t="n">
        <v>91295830</v>
      </c>
    </row>
    <row r="229">
      <c r="A229" s="7" t="n">
        <v>226</v>
      </c>
      <c r="B229" s="7" t="inlineStr">
        <is>
          <t>Yr 18.8</t>
        </is>
      </c>
      <c r="C229" s="75" t="n">
        <v>0.2560730154698593</v>
      </c>
      <c r="D229" s="36" t="n">
        <v>0.3499999973020353</v>
      </c>
      <c r="E229" s="72" t="n">
        <v>1274500</v>
      </c>
      <c r="F229" s="72" t="n">
        <v>237658</v>
      </c>
      <c r="G229" s="72" t="n">
        <v>10000</v>
      </c>
      <c r="H229" s="72" t="n">
        <v>6121</v>
      </c>
      <c r="I229" s="70" t="n">
        <v>1036842</v>
      </c>
      <c r="J229" s="72" t="n">
        <v>92332672</v>
      </c>
    </row>
    <row r="230">
      <c r="A230" s="45" t="n">
        <v>227</v>
      </c>
      <c r="B230" s="45" t="inlineStr">
        <is>
          <t>Yr 18.9</t>
        </is>
      </c>
      <c r="C230" s="75" t="n">
        <v>0.2549625133344287</v>
      </c>
      <c r="D230" s="36" t="n">
        <v>0.3499999995799942</v>
      </c>
      <c r="E230" s="68" t="n">
        <v>1284500</v>
      </c>
      <c r="F230" s="68" t="n">
        <v>243941</v>
      </c>
      <c r="G230" s="68" t="n">
        <v>10000</v>
      </c>
      <c r="H230" s="68" t="n">
        <v>6283</v>
      </c>
      <c r="I230" s="70" t="n">
        <v>1040559</v>
      </c>
      <c r="J230" s="68" t="n">
        <v>93373231</v>
      </c>
    </row>
    <row r="231">
      <c r="A231" s="7" t="n">
        <v>228</v>
      </c>
      <c r="B231" s="7" t="inlineStr">
        <is>
          <t>Yr 19.0</t>
        </is>
      </c>
      <c r="C231" s="75" t="n">
        <v>0.2538477628614774</v>
      </c>
      <c r="D231" s="36" t="n">
        <v>0.3499999866115518</v>
      </c>
      <c r="E231" s="72" t="n">
        <v>1294500</v>
      </c>
      <c r="F231" s="72" t="n">
        <v>250389</v>
      </c>
      <c r="G231" s="72" t="n">
        <v>10000</v>
      </c>
      <c r="H231" s="72" t="n">
        <v>6448</v>
      </c>
      <c r="I231" s="70" t="n">
        <v>1044111</v>
      </c>
      <c r="J231" s="72" t="n">
        <v>94417342</v>
      </c>
    </row>
    <row r="232">
      <c r="A232" s="45" t="n">
        <v>229</v>
      </c>
      <c r="B232" s="45" t="inlineStr">
        <is>
          <t>Yr 19.1</t>
        </is>
      </c>
      <c r="C232" s="75" t="n">
        <v>0.2527287395671947</v>
      </c>
      <c r="D232" s="36" t="n">
        <v>0.3499999963664047</v>
      </c>
      <c r="E232" s="68" t="n">
        <v>1304500</v>
      </c>
      <c r="F232" s="68" t="n">
        <v>257010</v>
      </c>
      <c r="G232" s="68" t="n">
        <v>10000</v>
      </c>
      <c r="H232" s="68" t="n">
        <v>6621</v>
      </c>
      <c r="I232" s="70" t="n">
        <v>1047490</v>
      </c>
      <c r="J232" s="68" t="n">
        <v>95464832</v>
      </c>
    </row>
    <row r="233">
      <c r="A233" s="7" t="n">
        <v>230</v>
      </c>
      <c r="B233" s="7" t="inlineStr">
        <is>
          <t>Yr 19.2</t>
        </is>
      </c>
      <c r="C233" s="75" t="n">
        <v>0.2516054209213548</v>
      </c>
      <c r="D233" s="36" t="n">
        <v>0.3499999983357563</v>
      </c>
      <c r="E233" s="72" t="n">
        <v>1314500</v>
      </c>
      <c r="F233" s="72" t="n">
        <v>263804</v>
      </c>
      <c r="G233" s="72" t="n">
        <v>10000</v>
      </c>
      <c r="H233" s="72" t="n">
        <v>6794</v>
      </c>
      <c r="I233" s="70" t="n">
        <v>1050696</v>
      </c>
      <c r="J233" s="72" t="n">
        <v>96515528</v>
      </c>
    </row>
    <row r="234">
      <c r="A234" s="45" t="n">
        <v>231</v>
      </c>
      <c r="B234" s="45" t="inlineStr">
        <is>
          <t>Yr 19.2</t>
        </is>
      </c>
      <c r="C234" s="75" t="n">
        <v>0.2504777862448692</v>
      </c>
      <c r="D234" s="36" t="n">
        <v>0.3499999984366278</v>
      </c>
      <c r="E234" s="68" t="n">
        <v>1324500</v>
      </c>
      <c r="F234" s="68" t="n">
        <v>270778</v>
      </c>
      <c r="G234" s="68" t="n">
        <v>10000</v>
      </c>
      <c r="H234" s="68" t="n">
        <v>6974</v>
      </c>
      <c r="I234" s="70" t="n">
        <v>1053722</v>
      </c>
      <c r="J234" s="68" t="n">
        <v>97569250</v>
      </c>
    </row>
    <row r="235">
      <c r="A235" s="7" t="n">
        <v>232</v>
      </c>
      <c r="B235" s="7" t="inlineStr">
        <is>
          <t>Yr 19.3</t>
        </is>
      </c>
      <c r="C235" s="75" t="n">
        <v>0.2493458166121393</v>
      </c>
      <c r="D235" s="36" t="n">
        <v>0.3499999918305943</v>
      </c>
      <c r="E235" s="72" t="n">
        <v>1334500</v>
      </c>
      <c r="F235" s="72" t="n">
        <v>277936</v>
      </c>
      <c r="G235" s="72" t="n">
        <v>10000</v>
      </c>
      <c r="H235" s="72" t="n">
        <v>7158</v>
      </c>
      <c r="I235" s="70" t="n">
        <v>1056564</v>
      </c>
      <c r="J235" s="72" t="n">
        <v>98625814</v>
      </c>
    </row>
    <row r="236">
      <c r="A236" s="45" t="n">
        <v>233</v>
      </c>
      <c r="B236" s="45" t="inlineStr">
        <is>
          <t>Yr 19.4</t>
        </is>
      </c>
      <c r="C236" s="75" t="n">
        <v>0.2482094947579976</v>
      </c>
      <c r="D236" s="36" t="n">
        <v>0.3499999890351859</v>
      </c>
      <c r="E236" s="68" t="n">
        <v>1344500</v>
      </c>
      <c r="F236" s="68" t="n">
        <v>285284</v>
      </c>
      <c r="G236" s="68" t="n">
        <v>10000</v>
      </c>
      <c r="H236" s="68" t="n">
        <v>7348</v>
      </c>
      <c r="I236" s="70" t="n">
        <v>1059216</v>
      </c>
      <c r="J236" s="68" t="n">
        <v>99685030</v>
      </c>
    </row>
    <row r="237">
      <c r="A237" s="7" t="n">
        <v>234</v>
      </c>
      <c r="B237" s="7" t="inlineStr">
        <is>
          <t>Yr 19.5</t>
        </is>
      </c>
      <c r="C237" s="75" t="n">
        <v>0.2470688049890299</v>
      </c>
      <c r="D237" s="36" t="n">
        <v>0.3499999992503548</v>
      </c>
      <c r="E237" s="72" t="n">
        <v>1354500</v>
      </c>
      <c r="F237" s="72" t="n">
        <v>292827</v>
      </c>
      <c r="G237" s="72" t="n">
        <v>10000</v>
      </c>
      <c r="H237" s="72" t="n">
        <v>7543</v>
      </c>
      <c r="I237" s="70" t="n">
        <v>1061673</v>
      </c>
      <c r="J237" s="72" t="n">
        <v>100746703</v>
      </c>
    </row>
    <row r="238">
      <c r="A238" s="45" t="n">
        <v>235</v>
      </c>
      <c r="B238" s="45" t="inlineStr">
        <is>
          <t>Yr 19.6</t>
        </is>
      </c>
      <c r="C238" s="75" t="n">
        <v>0.2459237330990837</v>
      </c>
      <c r="D238" s="36" t="n">
        <v>0.3499999915407741</v>
      </c>
      <c r="E238" s="68" t="n">
        <v>1364500</v>
      </c>
      <c r="F238" s="68" t="n">
        <v>300567</v>
      </c>
      <c r="G238" s="68" t="n">
        <v>10000</v>
      </c>
      <c r="H238" s="68" t="n">
        <v>7740</v>
      </c>
      <c r="I238" s="70" t="n">
        <v>1063933</v>
      </c>
      <c r="J238" s="68" t="n">
        <v>101810636</v>
      </c>
    </row>
    <row r="239">
      <c r="A239" s="7" t="n">
        <v>236</v>
      </c>
      <c r="B239" s="7" t="inlineStr">
        <is>
          <t>Yr 19.7</t>
        </is>
      </c>
      <c r="C239" s="75" t="n">
        <v>0.2447742662887735</v>
      </c>
      <c r="D239" s="36" t="n">
        <v>0.3499999960166775</v>
      </c>
      <c r="E239" s="72" t="n">
        <v>1374500</v>
      </c>
      <c r="F239" s="72" t="n">
        <v>308514</v>
      </c>
      <c r="G239" s="72" t="n">
        <v>10000</v>
      </c>
      <c r="H239" s="72" t="n">
        <v>7947</v>
      </c>
      <c r="I239" s="70" t="n">
        <v>1065986</v>
      </c>
      <c r="J239" s="72" t="n">
        <v>102876622</v>
      </c>
    </row>
    <row r="240">
      <c r="A240" s="45" t="n">
        <v>237</v>
      </c>
      <c r="B240" s="45" t="inlineStr">
        <is>
          <t>Yr 19.8</t>
        </is>
      </c>
      <c r="C240" s="75" t="n">
        <v>0.2436203930888014</v>
      </c>
      <c r="D240" s="36" t="n">
        <v>0.349999998898788</v>
      </c>
      <c r="E240" s="68" t="n">
        <v>1384500</v>
      </c>
      <c r="F240" s="68" t="n">
        <v>316670</v>
      </c>
      <c r="G240" s="68" t="n">
        <v>10000</v>
      </c>
      <c r="H240" s="68" t="n">
        <v>8156</v>
      </c>
      <c r="I240" s="70" t="n">
        <v>1067830</v>
      </c>
      <c r="J240" s="68" t="n">
        <v>103944452</v>
      </c>
    </row>
    <row r="241">
      <c r="A241" s="7" t="n">
        <v>238</v>
      </c>
      <c r="B241" s="7" t="inlineStr">
        <is>
          <t>Yr 19.8</t>
        </is>
      </c>
      <c r="C241" s="75" t="n">
        <v>0.2424621032869229</v>
      </c>
      <c r="D241" s="36" t="n">
        <v>0.349999993191972</v>
      </c>
      <c r="E241" s="72" t="n">
        <v>1394500</v>
      </c>
      <c r="F241" s="72" t="n">
        <v>325041</v>
      </c>
      <c r="G241" s="72" t="n">
        <v>10000</v>
      </c>
      <c r="H241" s="72" t="n">
        <v>8371</v>
      </c>
      <c r="I241" s="70" t="n">
        <v>1069459</v>
      </c>
      <c r="J241" s="72" t="n">
        <v>105013911</v>
      </c>
    </row>
    <row r="242">
      <c r="A242" s="45" t="n">
        <v>239</v>
      </c>
      <c r="B242" s="45" t="inlineStr">
        <is>
          <t>Yr 19.9</t>
        </is>
      </c>
      <c r="C242" s="75" t="n">
        <v>0.2412993878583881</v>
      </c>
      <c r="D242" s="36" t="n">
        <v>0.3499999985303342</v>
      </c>
      <c r="E242" s="68" t="n">
        <v>1404500</v>
      </c>
      <c r="F242" s="68" t="n">
        <v>333635</v>
      </c>
      <c r="G242" s="68" t="n">
        <v>10000</v>
      </c>
      <c r="H242" s="68" t="n">
        <v>8594</v>
      </c>
      <c r="I242" s="70" t="n">
        <v>1070865</v>
      </c>
      <c r="J242" s="68" t="n">
        <v>106084776</v>
      </c>
    </row>
    <row r="243">
      <c r="A243" s="7" t="n">
        <v>240</v>
      </c>
      <c r="B243" s="7" t="inlineStr">
        <is>
          <t>Yr 20.0</t>
        </is>
      </c>
      <c r="C243" s="75" t="n">
        <v>0.2401322388997037</v>
      </c>
      <c r="D243" s="36" t="n">
        <v>0.3499999901399407</v>
      </c>
      <c r="E243" s="72" t="n">
        <v>1414500</v>
      </c>
      <c r="F243" s="72" t="n">
        <v>342454</v>
      </c>
      <c r="G243" s="72" t="n">
        <v>10000</v>
      </c>
      <c r="H243" s="72" t="n">
        <v>8819</v>
      </c>
      <c r="I243" s="70" t="n">
        <v>1072046</v>
      </c>
      <c r="J243" s="72" t="n">
        <v>107156822</v>
      </c>
    </row>
    <row r="244">
      <c r="A244" s="45" t="n">
        <v>241</v>
      </c>
      <c r="B244" s="45" t="inlineStr">
        <is>
          <t>Yr 20.1</t>
        </is>
      </c>
      <c r="C244" s="75" t="n">
        <v>0.2389606495655607</v>
      </c>
      <c r="D244" s="36" t="n">
        <v>0.3499999993499674</v>
      </c>
      <c r="E244" s="68" t="n">
        <v>1424500</v>
      </c>
      <c r="F244" s="68" t="n">
        <v>351509</v>
      </c>
      <c r="G244" s="68" t="n">
        <v>10000</v>
      </c>
      <c r="H244" s="68" t="n">
        <v>9055</v>
      </c>
      <c r="I244" s="70" t="n">
        <v>1072991</v>
      </c>
      <c r="J244" s="68" t="n">
        <v>108229813</v>
      </c>
    </row>
    <row r="245">
      <c r="A245" s="7" t="n">
        <v>242</v>
      </c>
      <c r="B245" s="7" t="inlineStr">
        <is>
          <t>Yr 20.2</t>
        </is>
      </c>
      <c r="C245" s="75" t="n">
        <v>0.2377846140087857</v>
      </c>
      <c r="D245" s="36" t="n">
        <v>0.3499999898346615</v>
      </c>
      <c r="E245" s="72" t="n">
        <v>1434500</v>
      </c>
      <c r="F245" s="72" t="n">
        <v>360800</v>
      </c>
      <c r="G245" s="72" t="n">
        <v>10000</v>
      </c>
      <c r="H245" s="72" t="n">
        <v>9291</v>
      </c>
      <c r="I245" s="70" t="n">
        <v>1073700</v>
      </c>
      <c r="J245" s="72" t="n">
        <v>109303513</v>
      </c>
    </row>
    <row r="246">
      <c r="A246" s="45" t="n">
        <v>243</v>
      </c>
      <c r="B246" s="45" t="inlineStr">
        <is>
          <t>Yr 20.2</t>
        </is>
      </c>
      <c r="C246" s="75" t="n">
        <v>0.236604127323174</v>
      </c>
      <c r="D246" s="36" t="n">
        <v>0.3499999970065466</v>
      </c>
      <c r="E246" s="68" t="n">
        <v>1444500</v>
      </c>
      <c r="F246" s="68" t="n">
        <v>370340</v>
      </c>
      <c r="G246" s="68" t="n">
        <v>10000</v>
      </c>
      <c r="H246" s="68" t="n">
        <v>9540</v>
      </c>
      <c r="I246" s="70" t="n">
        <v>1074160</v>
      </c>
      <c r="J246" s="68" t="n">
        <v>110377673</v>
      </c>
    </row>
    <row r="247">
      <c r="A247" s="7" t="n">
        <v>244</v>
      </c>
      <c r="B247" s="7" t="inlineStr">
        <is>
          <t>Yr 20.3</t>
        </is>
      </c>
      <c r="C247" s="75" t="n">
        <v>0.2354191854890741</v>
      </c>
      <c r="D247" s="36" t="n">
        <v>0.3499999979660381</v>
      </c>
      <c r="E247" s="72" t="n">
        <v>1454500</v>
      </c>
      <c r="F247" s="72" t="n">
        <v>380130</v>
      </c>
      <c r="G247" s="72" t="n">
        <v>10000</v>
      </c>
      <c r="H247" s="72" t="n">
        <v>9790</v>
      </c>
      <c r="I247" s="70" t="n">
        <v>1074370</v>
      </c>
      <c r="J247" s="72" t="n">
        <v>111452043</v>
      </c>
    </row>
    <row r="248">
      <c r="A248" s="45" t="n">
        <v>245</v>
      </c>
      <c r="B248" s="45" t="inlineStr">
        <is>
          <t>Yr 20.4</t>
        </is>
      </c>
      <c r="C248" s="75" t="n">
        <v>0.2342297853215958</v>
      </c>
      <c r="D248" s="36" t="n">
        <v>0.3499999949203338</v>
      </c>
      <c r="E248" s="68" t="n">
        <v>1464500</v>
      </c>
      <c r="F248" s="68" t="n">
        <v>390179</v>
      </c>
      <c r="G248" s="68" t="n">
        <v>10000</v>
      </c>
      <c r="H248" s="68" t="n">
        <v>10049</v>
      </c>
      <c r="I248" s="70" t="n">
        <v>1074321</v>
      </c>
      <c r="J248" s="68" t="n">
        <v>112526364</v>
      </c>
    </row>
    <row r="249">
      <c r="A249" s="7" t="n">
        <v>246</v>
      </c>
      <c r="B249" s="7" t="inlineStr">
        <is>
          <t>Yr 20.5</t>
        </is>
      </c>
      <c r="C249" s="75" t="n">
        <v>0.2330359244213201</v>
      </c>
      <c r="D249" s="36" t="n">
        <v>0.3499999913046765</v>
      </c>
      <c r="E249" s="72" t="n">
        <v>1474500</v>
      </c>
      <c r="F249" s="72" t="n">
        <v>400494</v>
      </c>
      <c r="G249" s="72" t="n">
        <v>10000</v>
      </c>
      <c r="H249" s="72" t="n">
        <v>10315</v>
      </c>
      <c r="I249" s="70" t="n">
        <v>1074006</v>
      </c>
      <c r="J249" s="72" t="n">
        <v>113600370</v>
      </c>
    </row>
    <row r="250">
      <c r="A250" s="45" t="n">
        <v>247</v>
      </c>
      <c r="B250" s="45" t="inlineStr">
        <is>
          <t>Yr 20.6</t>
        </is>
      </c>
      <c r="C250" s="75" t="n">
        <v>0.2318376011273965</v>
      </c>
      <c r="D250" s="36" t="n">
        <v>0.3499999990188559</v>
      </c>
      <c r="E250" s="68" t="n">
        <v>1484500</v>
      </c>
      <c r="F250" s="68" t="n">
        <v>411083</v>
      </c>
      <c r="G250" s="68" t="n">
        <v>10000</v>
      </c>
      <c r="H250" s="68" t="n">
        <v>10589</v>
      </c>
      <c r="I250" s="70" t="n">
        <v>1073417</v>
      </c>
      <c r="J250" s="68" t="n">
        <v>114673787</v>
      </c>
    </row>
    <row r="251">
      <c r="A251" s="7" t="n">
        <v>248</v>
      </c>
      <c r="B251" s="7" t="inlineStr">
        <is>
          <t>Yr 20.7</t>
        </is>
      </c>
      <c r="C251" s="75" t="n">
        <v>0.2306348144729151</v>
      </c>
      <c r="D251" s="36" t="n">
        <v>0.3499999912176284</v>
      </c>
      <c r="E251" s="72" t="n">
        <v>1494500</v>
      </c>
      <c r="F251" s="72" t="n">
        <v>421949</v>
      </c>
      <c r="G251" s="72" t="n">
        <v>10000</v>
      </c>
      <c r="H251" s="72" t="n">
        <v>10866</v>
      </c>
      <c r="I251" s="70" t="n">
        <v>1072551</v>
      </c>
      <c r="J251" s="72" t="n">
        <v>115746338</v>
      </c>
    </row>
    <row r="252">
      <c r="A252" s="45" t="n">
        <v>249</v>
      </c>
      <c r="B252" s="45" t="inlineStr">
        <is>
          <t>Yr 20.8</t>
        </is>
      </c>
      <c r="C252" s="75" t="n">
        <v>0.2294275641424501</v>
      </c>
      <c r="D252" s="36" t="n">
        <v>0.3499999926443109</v>
      </c>
      <c r="E252" s="68" t="n">
        <v>1504500</v>
      </c>
      <c r="F252" s="68" t="n">
        <v>433105</v>
      </c>
      <c r="G252" s="68" t="n">
        <v>10000</v>
      </c>
      <c r="H252" s="68" t="n">
        <v>11156</v>
      </c>
      <c r="I252" s="70" t="n">
        <v>1071395</v>
      </c>
      <c r="J252" s="68" t="n">
        <v>116817733</v>
      </c>
    </row>
    <row r="253">
      <c r="A253" s="7" t="n">
        <v>250</v>
      </c>
      <c r="B253" s="7" t="inlineStr">
        <is>
          <t>Yr 20.8</t>
        </is>
      </c>
      <c r="C253" s="75" t="n">
        <v>0.2282158504316714</v>
      </c>
      <c r="D253" s="36" t="n">
        <v>0.3499999948279919</v>
      </c>
      <c r="E253" s="72" t="n">
        <v>1514500</v>
      </c>
      <c r="F253" s="72" t="n">
        <v>444555</v>
      </c>
      <c r="G253" s="72" t="n">
        <v>10000</v>
      </c>
      <c r="H253" s="72" t="n">
        <v>11450</v>
      </c>
      <c r="I253" s="70" t="n">
        <v>1069945</v>
      </c>
      <c r="J253" s="72" t="n">
        <v>117887678</v>
      </c>
    </row>
    <row r="254">
      <c r="A254" s="45" t="n">
        <v>251</v>
      </c>
      <c r="B254" s="45" t="inlineStr">
        <is>
          <t>Yr 20.9</t>
        </is>
      </c>
      <c r="C254" s="75" t="n">
        <v>0.2269996742089301</v>
      </c>
      <c r="D254" s="36" t="n">
        <v>0.3499999919716803</v>
      </c>
      <c r="E254" s="68" t="n">
        <v>1524500</v>
      </c>
      <c r="F254" s="68" t="n">
        <v>456307</v>
      </c>
      <c r="G254" s="68" t="n">
        <v>10000</v>
      </c>
      <c r="H254" s="68" t="n">
        <v>11752</v>
      </c>
      <c r="I254" s="70" t="n">
        <v>1068193</v>
      </c>
      <c r="J254" s="68" t="n">
        <v>118955871</v>
      </c>
    </row>
    <row r="255">
      <c r="A255" s="7" t="n">
        <v>252</v>
      </c>
      <c r="B255" s="7" t="inlineStr">
        <is>
          <t>Yr 21.0</t>
        </is>
      </c>
      <c r="C255" s="75" t="n">
        <v>0.2257790368787234</v>
      </c>
      <c r="D255" s="36" t="n">
        <v>0.3499999949293991</v>
      </c>
      <c r="E255" s="72" t="n">
        <v>1534500</v>
      </c>
      <c r="F255" s="72" t="n">
        <v>468371</v>
      </c>
      <c r="G255" s="72" t="n">
        <v>10000</v>
      </c>
      <c r="H255" s="72" t="n">
        <v>12064</v>
      </c>
      <c r="I255" s="70" t="n">
        <v>1066129</v>
      </c>
      <c r="J255" s="72" t="n">
        <v>120022000</v>
      </c>
    </row>
    <row r="256">
      <c r="A256" s="45" t="n">
        <v>253</v>
      </c>
      <c r="B256" s="45" t="inlineStr">
        <is>
          <t>Yr 21.1</t>
        </is>
      </c>
      <c r="C256" s="75" t="n">
        <v>0.2245539403469544</v>
      </c>
      <c r="D256" s="36" t="n">
        <v>0.3499999960257212</v>
      </c>
      <c r="E256" s="68" t="n">
        <v>1544500</v>
      </c>
      <c r="F256" s="68" t="n">
        <v>480753</v>
      </c>
      <c r="G256" s="68" t="n">
        <v>10000</v>
      </c>
      <c r="H256" s="68" t="n">
        <v>12382</v>
      </c>
      <c r="I256" s="70" t="n">
        <v>1063747</v>
      </c>
      <c r="J256" s="68" t="n">
        <v>121085747</v>
      </c>
    </row>
    <row r="257">
      <c r="A257" s="7" t="n">
        <v>254</v>
      </c>
      <c r="B257" s="7" t="inlineStr">
        <is>
          <t>Yr 21.2</t>
        </is>
      </c>
      <c r="C257" s="75" t="n">
        <v>0.223324386987899</v>
      </c>
      <c r="D257" s="36" t="n">
        <v>0.3499999928182417</v>
      </c>
      <c r="E257" s="72" t="n">
        <v>1554500</v>
      </c>
      <c r="F257" s="72" t="n">
        <v>493462</v>
      </c>
      <c r="G257" s="72" t="n">
        <v>10000</v>
      </c>
      <c r="H257" s="72" t="n">
        <v>12709</v>
      </c>
      <c r="I257" s="70" t="n">
        <v>1061038</v>
      </c>
      <c r="J257" s="72" t="n">
        <v>122146785</v>
      </c>
    </row>
    <row r="258">
      <c r="A258" s="45" t="n">
        <v>255</v>
      </c>
      <c r="B258" s="45" t="inlineStr">
        <is>
          <t>Yr 21.2</t>
        </is>
      </c>
      <c r="C258" s="75" t="n">
        <v>0.2220903796128038</v>
      </c>
      <c r="D258" s="36" t="n">
        <v>0.3499999931070163</v>
      </c>
      <c r="E258" s="68" t="n">
        <v>1564500</v>
      </c>
      <c r="F258" s="68" t="n">
        <v>506508</v>
      </c>
      <c r="G258" s="68" t="n">
        <v>10000</v>
      </c>
      <c r="H258" s="68" t="n">
        <v>13046</v>
      </c>
      <c r="I258" s="70" t="n">
        <v>1057992</v>
      </c>
      <c r="J258" s="68" t="n">
        <v>123204777</v>
      </c>
    </row>
    <row r="259">
      <c r="A259" s="7" t="n">
        <v>256</v>
      </c>
      <c r="B259" s="7" t="inlineStr">
        <is>
          <t>Yr 21.3</t>
        </is>
      </c>
      <c r="C259" s="75" t="n">
        <v>0.220851921440036</v>
      </c>
      <c r="D259" s="36" t="n">
        <v>0.3499999973987743</v>
      </c>
      <c r="E259" s="72" t="n">
        <v>1574500</v>
      </c>
      <c r="F259" s="72" t="n">
        <v>519899</v>
      </c>
      <c r="G259" s="72" t="n">
        <v>10000</v>
      </c>
      <c r="H259" s="72" t="n">
        <v>13391</v>
      </c>
      <c r="I259" s="70" t="n">
        <v>1054601</v>
      </c>
      <c r="J259" s="72" t="n">
        <v>124259378</v>
      </c>
    </row>
    <row r="260">
      <c r="A260" s="45" t="n">
        <v>257</v>
      </c>
      <c r="B260" s="45" t="inlineStr">
        <is>
          <t>Yr 21.4</t>
        </is>
      </c>
      <c r="C260" s="75" t="n">
        <v>0.2196090160667127</v>
      </c>
      <c r="D260" s="36" t="n">
        <v>0.3499999982939043</v>
      </c>
      <c r="E260" s="68" t="n">
        <v>1584500</v>
      </c>
      <c r="F260" s="68" t="n">
        <v>533643</v>
      </c>
      <c r="G260" s="68" t="n">
        <v>10000</v>
      </c>
      <c r="H260" s="68" t="n">
        <v>13744</v>
      </c>
      <c r="I260" s="70" t="n">
        <v>1050857</v>
      </c>
      <c r="J260" s="68" t="n">
        <v>125310235</v>
      </c>
    </row>
    <row r="261">
      <c r="A261" s="7" t="n">
        <v>258</v>
      </c>
      <c r="B261" s="7" t="inlineStr">
        <is>
          <t>Yr 21.5</t>
        </is>
      </c>
      <c r="C261" s="75" t="n">
        <v>0.2183616674417421</v>
      </c>
      <c r="D261" s="36" t="n">
        <v>0.3499999936693726</v>
      </c>
      <c r="E261" s="72" t="n">
        <v>1594500</v>
      </c>
      <c r="F261" s="72" t="n">
        <v>547750</v>
      </c>
      <c r="G261" s="72" t="n">
        <v>10000</v>
      </c>
      <c r="H261" s="72" t="n">
        <v>14107</v>
      </c>
      <c r="I261" s="70" t="n">
        <v>1046750</v>
      </c>
      <c r="J261" s="72" t="n">
        <v>126356985</v>
      </c>
    </row>
    <row r="262">
      <c r="A262" s="45" t="n">
        <v>259</v>
      </c>
      <c r="B262" s="45" t="inlineStr">
        <is>
          <t>Yr 21.6</t>
        </is>
      </c>
      <c r="C262" s="75" t="n">
        <v>0.2171098798402079</v>
      </c>
      <c r="D262" s="36" t="n">
        <v>0.3499999975911984</v>
      </c>
      <c r="E262" s="68" t="n">
        <v>1604500</v>
      </c>
      <c r="F262" s="68" t="n">
        <v>562232</v>
      </c>
      <c r="G262" s="68" t="n">
        <v>10000</v>
      </c>
      <c r="H262" s="68" t="n">
        <v>14482</v>
      </c>
      <c r="I262" s="70" t="n">
        <v>1042268</v>
      </c>
      <c r="J262" s="68" t="n">
        <v>127399253</v>
      </c>
    </row>
    <row r="263">
      <c r="A263" s="7" t="n">
        <v>260</v>
      </c>
      <c r="B263" s="7" t="inlineStr">
        <is>
          <t>Yr 21.7</t>
        </is>
      </c>
      <c r="C263" s="75" t="n">
        <v>0.2158536578390352</v>
      </c>
      <c r="D263" s="36" t="n">
        <v>0.3499999974148272</v>
      </c>
      <c r="E263" s="72" t="n">
        <v>1614500</v>
      </c>
      <c r="F263" s="72" t="n">
        <v>577095</v>
      </c>
      <c r="G263" s="72" t="n">
        <v>10000</v>
      </c>
      <c r="H263" s="72" t="n">
        <v>14863</v>
      </c>
      <c r="I263" s="70" t="n">
        <v>1037405</v>
      </c>
      <c r="J263" s="72" t="n">
        <v>128436658</v>
      </c>
    </row>
    <row r="264">
      <c r="A264" s="45" t="n">
        <v>261</v>
      </c>
      <c r="B264" s="45" t="inlineStr">
        <is>
          <t>Yr 21.8</t>
        </is>
      </c>
      <c r="C264" s="75" t="n">
        <v>0.2145930062938765</v>
      </c>
      <c r="D264" s="36" t="n">
        <v>0.3499999938786081</v>
      </c>
      <c r="E264" s="68" t="n">
        <v>1624500</v>
      </c>
      <c r="F264" s="68" t="n">
        <v>592351</v>
      </c>
      <c r="G264" s="68" t="n">
        <v>10000</v>
      </c>
      <c r="H264" s="68" t="n">
        <v>15256</v>
      </c>
      <c r="I264" s="70" t="n">
        <v>1032149</v>
      </c>
      <c r="J264" s="68" t="n">
        <v>129468807</v>
      </c>
    </row>
    <row r="265">
      <c r="A265" s="7" t="n">
        <v>262</v>
      </c>
      <c r="B265" s="7" t="inlineStr">
        <is>
          <t>Yr 21.8</t>
        </is>
      </c>
      <c r="C265" s="75" t="n">
        <v>0.2133279303171622</v>
      </c>
      <c r="D265" s="36" t="n">
        <v>0.3499999975535216</v>
      </c>
      <c r="E265" s="72" t="n">
        <v>1634500</v>
      </c>
      <c r="F265" s="72" t="n">
        <v>608012</v>
      </c>
      <c r="G265" s="72" t="n">
        <v>10000</v>
      </c>
      <c r="H265" s="72" t="n">
        <v>15661</v>
      </c>
      <c r="I265" s="70" t="n">
        <v>1026488</v>
      </c>
      <c r="J265" s="72" t="n">
        <v>130495295</v>
      </c>
    </row>
    <row r="266">
      <c r="A266" s="45" t="n">
        <v>263</v>
      </c>
      <c r="B266" s="45" t="inlineStr">
        <is>
          <t>Yr 21.9</t>
        </is>
      </c>
      <c r="C266" s="75" t="n">
        <v>0.2120584352572574</v>
      </c>
      <c r="D266" s="36" t="n">
        <v>0.3499999957858381</v>
      </c>
      <c r="E266" s="68" t="n">
        <v>1644500</v>
      </c>
      <c r="F266" s="68" t="n">
        <v>624085</v>
      </c>
      <c r="G266" s="68" t="n">
        <v>10000</v>
      </c>
      <c r="H266" s="68" t="n">
        <v>16073</v>
      </c>
      <c r="I266" s="70" t="n">
        <v>1020415</v>
      </c>
      <c r="J266" s="68" t="n">
        <v>131515710</v>
      </c>
    </row>
    <row r="267">
      <c r="A267" s="7" t="n">
        <v>264</v>
      </c>
      <c r="B267" s="7" t="inlineStr">
        <is>
          <t>Yr 22.0</t>
        </is>
      </c>
      <c r="C267" s="75" t="n">
        <v>0.2107845266786769</v>
      </c>
      <c r="D267" s="36" t="n">
        <v>0.3499999952775891</v>
      </c>
      <c r="E267" s="72" t="n">
        <v>1654500</v>
      </c>
      <c r="F267" s="72" t="n">
        <v>640584</v>
      </c>
      <c r="G267" s="72" t="n">
        <v>10000</v>
      </c>
      <c r="H267" s="72" t="n">
        <v>16499</v>
      </c>
      <c r="I267" s="70" t="n">
        <v>1013916</v>
      </c>
      <c r="J267" s="72" t="n">
        <v>132529626</v>
      </c>
    </row>
    <row r="268">
      <c r="A268" s="45" t="n">
        <v>265</v>
      </c>
      <c r="B268" s="45" t="inlineStr">
        <is>
          <t>Yr 22.1</t>
        </is>
      </c>
      <c r="C268" s="75" t="n">
        <v>0.2095062103433047</v>
      </c>
      <c r="D268" s="36" t="n">
        <v>0.3499999949138274</v>
      </c>
      <c r="E268" s="68" t="n">
        <v>1664500</v>
      </c>
      <c r="F268" s="68" t="n">
        <v>657519</v>
      </c>
      <c r="G268" s="68" t="n">
        <v>10000</v>
      </c>
      <c r="H268" s="68" t="n">
        <v>16935</v>
      </c>
      <c r="I268" s="70" t="n">
        <v>1006981</v>
      </c>
      <c r="J268" s="68" t="n">
        <v>133536607</v>
      </c>
    </row>
    <row r="269">
      <c r="A269" s="7" t="n">
        <v>266</v>
      </c>
      <c r="B269" s="7" t="inlineStr">
        <is>
          <t>Yr 22.2</t>
        </is>
      </c>
      <c r="C269" s="75" t="n">
        <v>0.2082234921925727</v>
      </c>
      <c r="D269" s="36" t="n">
        <v>0.3499999963067498</v>
      </c>
      <c r="E269" s="72" t="n">
        <v>1674500</v>
      </c>
      <c r="F269" s="72" t="n">
        <v>674902</v>
      </c>
      <c r="G269" s="72" t="n">
        <v>10000</v>
      </c>
      <c r="H269" s="72" t="n">
        <v>17383</v>
      </c>
      <c r="I269" s="70" t="n">
        <v>999598</v>
      </c>
      <c r="J269" s="72" t="n">
        <v>134536205</v>
      </c>
    </row>
    <row r="270">
      <c r="A270" s="45" t="n">
        <v>267</v>
      </c>
      <c r="B270" s="45" t="inlineStr">
        <is>
          <t>Yr 22.2</t>
        </is>
      </c>
      <c r="C270" s="75" t="n">
        <v>0.2069363783305531</v>
      </c>
      <c r="D270" s="36" t="n">
        <v>0.3499999963588961</v>
      </c>
      <c r="E270" s="68" t="n">
        <v>1684500</v>
      </c>
      <c r="F270" s="68" t="n">
        <v>692744</v>
      </c>
      <c r="G270" s="68" t="n">
        <v>10000</v>
      </c>
      <c r="H270" s="68" t="n">
        <v>17842</v>
      </c>
      <c r="I270" s="70" t="n">
        <v>991756</v>
      </c>
      <c r="J270" s="68" t="n">
        <v>135527961</v>
      </c>
    </row>
    <row r="271">
      <c r="A271" s="7" t="n">
        <v>268</v>
      </c>
      <c r="B271" s="7" t="inlineStr">
        <is>
          <t>Yr 22.3</t>
        </is>
      </c>
      <c r="C271" s="75" t="n">
        <v>0.2056448750079196</v>
      </c>
      <c r="D271" s="36" t="n">
        <v>0.3499999968211816</v>
      </c>
      <c r="E271" s="72" t="n">
        <v>1694500</v>
      </c>
      <c r="F271" s="72" t="n">
        <v>711058</v>
      </c>
      <c r="G271" s="72" t="n">
        <v>10000</v>
      </c>
      <c r="H271" s="72" t="n">
        <v>18314</v>
      </c>
      <c r="I271" s="70" t="n">
        <v>983442</v>
      </c>
      <c r="J271" s="72" t="n">
        <v>136511403</v>
      </c>
    </row>
    <row r="272">
      <c r="A272" s="45" t="n">
        <v>269</v>
      </c>
      <c r="B272" s="45" t="inlineStr">
        <is>
          <t>Yr 22.4</t>
        </is>
      </c>
      <c r="C272" s="75" t="n">
        <v>0.2043489886067385</v>
      </c>
      <c r="D272" s="36" t="n">
        <v>0.3499999968280352</v>
      </c>
      <c r="E272" s="68" t="n">
        <v>1704500</v>
      </c>
      <c r="F272" s="68" t="n">
        <v>729856</v>
      </c>
      <c r="G272" s="68" t="n">
        <v>10000</v>
      </c>
      <c r="H272" s="68" t="n">
        <v>18798</v>
      </c>
      <c r="I272" s="70" t="n">
        <v>974644</v>
      </c>
      <c r="J272" s="68" t="n">
        <v>137486047</v>
      </c>
    </row>
    <row r="273">
      <c r="A273" s="7" t="n">
        <v>270</v>
      </c>
      <c r="B273" s="7" t="inlineStr">
        <is>
          <t>Yr 22.5</t>
        </is>
      </c>
      <c r="C273" s="75" t="n">
        <v>0.2030487256260486</v>
      </c>
      <c r="D273" s="36" t="n">
        <v>0.3499999966186604</v>
      </c>
      <c r="E273" s="72" t="n">
        <v>1714500</v>
      </c>
      <c r="F273" s="72" t="n">
        <v>749151</v>
      </c>
      <c r="G273" s="72" t="n">
        <v>10000</v>
      </c>
      <c r="H273" s="72" t="n">
        <v>19295</v>
      </c>
      <c r="I273" s="70" t="n">
        <v>965349</v>
      </c>
      <c r="J273" s="72" t="n">
        <v>138451396</v>
      </c>
    </row>
    <row r="274">
      <c r="A274" s="45" t="n">
        <v>271</v>
      </c>
      <c r="B274" s="45" t="inlineStr">
        <is>
          <t>Yr 22.6</t>
        </is>
      </c>
      <c r="C274" s="75" t="n">
        <v>0.2017440926681933</v>
      </c>
      <c r="D274" s="36" t="n">
        <v>0.3499999957345905</v>
      </c>
      <c r="E274" s="68" t="n">
        <v>1724500</v>
      </c>
      <c r="F274" s="68" t="n">
        <v>768956</v>
      </c>
      <c r="G274" s="68" t="n">
        <v>10000</v>
      </c>
      <c r="H274" s="68" t="n">
        <v>19805</v>
      </c>
      <c r="I274" s="70" t="n">
        <v>955544</v>
      </c>
      <c r="J274" s="68" t="n">
        <v>139406940</v>
      </c>
    </row>
    <row r="275">
      <c r="A275" s="7" t="n">
        <v>272</v>
      </c>
      <c r="B275" s="7" t="inlineStr">
        <is>
          <t>Yr 22.7</t>
        </is>
      </c>
      <c r="C275" s="75" t="n">
        <v>0.2004350964258684</v>
      </c>
      <c r="D275" s="36" t="n">
        <v>0.3499999962113037</v>
      </c>
      <c r="E275" s="72" t="n">
        <v>1734500</v>
      </c>
      <c r="F275" s="72" t="n">
        <v>789285</v>
      </c>
      <c r="G275" s="72" t="n">
        <v>10000</v>
      </c>
      <c r="H275" s="72" t="n">
        <v>20329</v>
      </c>
      <c r="I275" s="70" t="n">
        <v>945215</v>
      </c>
      <c r="J275" s="72" t="n">
        <v>140352155</v>
      </c>
    </row>
    <row r="276">
      <c r="A276" s="45" t="n">
        <v>273</v>
      </c>
      <c r="B276" s="45" t="inlineStr">
        <is>
          <t>Yr 22.8</t>
        </is>
      </c>
      <c r="C276" s="75" t="n">
        <v>0.1991217436698535</v>
      </c>
      <c r="D276" s="36" t="n">
        <v>0.3499999959521738</v>
      </c>
      <c r="E276" s="68" t="n">
        <v>1744500</v>
      </c>
      <c r="F276" s="68" t="n">
        <v>810151</v>
      </c>
      <c r="G276" s="68" t="n">
        <v>10000</v>
      </c>
      <c r="H276" s="68" t="n">
        <v>20866</v>
      </c>
      <c r="I276" s="70" t="n">
        <v>934349</v>
      </c>
      <c r="J276" s="68" t="n">
        <v>141286504</v>
      </c>
    </row>
    <row r="277">
      <c r="A277" s="7" t="n">
        <v>274</v>
      </c>
      <c r="B277" s="7" t="inlineStr">
        <is>
          <t>Yr 22.8</t>
        </is>
      </c>
      <c r="C277" s="75" t="n">
        <v>0.1978040412373913</v>
      </c>
      <c r="D277" s="36" t="n">
        <v>0.3499999966730608</v>
      </c>
      <c r="E277" s="72" t="n">
        <v>1754500</v>
      </c>
      <c r="F277" s="72" t="n">
        <v>831569</v>
      </c>
      <c r="G277" s="72" t="n">
        <v>10000</v>
      </c>
      <c r="H277" s="72" t="n">
        <v>21418</v>
      </c>
      <c r="I277" s="70" t="n">
        <v>922931</v>
      </c>
      <c r="J277" s="72" t="n">
        <v>142209435</v>
      </c>
    </row>
    <row r="278">
      <c r="A278" s="45" t="n">
        <v>275</v>
      </c>
      <c r="B278" s="45" t="inlineStr">
        <is>
          <t>Yr 22.9</t>
        </is>
      </c>
      <c r="C278" s="75" t="n">
        <v>0.1964819960211866</v>
      </c>
      <c r="D278" s="36" t="n">
        <v>0.3499999973262972</v>
      </c>
      <c r="E278" s="68" t="n">
        <v>1764500</v>
      </c>
      <c r="F278" s="68" t="n">
        <v>853553</v>
      </c>
      <c r="G278" s="68" t="n">
        <v>10000</v>
      </c>
      <c r="H278" s="68" t="n">
        <v>21984</v>
      </c>
      <c r="I278" s="70" t="n">
        <v>910947</v>
      </c>
      <c r="J278" s="68" t="n">
        <v>143120382</v>
      </c>
    </row>
    <row r="279">
      <c r="A279" s="7" t="n">
        <v>276</v>
      </c>
      <c r="B279" s="7" t="inlineStr">
        <is>
          <t>Yr 23.0</t>
        </is>
      </c>
      <c r="C279" s="75" t="n">
        <v>0.195155614958995</v>
      </c>
      <c r="D279" s="36" t="n">
        <v>0.3499999971218984</v>
      </c>
      <c r="E279" s="72" t="n">
        <v>1774500</v>
      </c>
      <c r="F279" s="72" t="n">
        <v>876118</v>
      </c>
      <c r="G279" s="72" t="n">
        <v>10000</v>
      </c>
      <c r="H279" s="72" t="n">
        <v>22565</v>
      </c>
      <c r="I279" s="70" t="n">
        <v>898382</v>
      </c>
      <c r="J279" s="72" t="n">
        <v>144018764</v>
      </c>
    </row>
    <row r="280">
      <c r="A280" s="45" t="n">
        <v>277</v>
      </c>
      <c r="B280" s="45" t="inlineStr">
        <is>
          <t>Yr 23.1</t>
        </is>
      </c>
      <c r="C280" s="75" t="n">
        <v>0.1938249050237716</v>
      </c>
      <c r="D280" s="36" t="n">
        <v>0.3499999980077094</v>
      </c>
      <c r="E280" s="68" t="n">
        <v>1784500</v>
      </c>
      <c r="F280" s="68" t="n">
        <v>899280</v>
      </c>
      <c r="G280" s="68" t="n">
        <v>10000</v>
      </c>
      <c r="H280" s="68" t="n">
        <v>23162</v>
      </c>
      <c r="I280" s="70" t="n">
        <v>885220</v>
      </c>
      <c r="J280" s="68" t="n">
        <v>144903984</v>
      </c>
    </row>
    <row r="281">
      <c r="A281" s="7" t="n">
        <v>278</v>
      </c>
      <c r="B281" s="7" t="inlineStr">
        <is>
          <t>Yr 23.2</t>
        </is>
      </c>
      <c r="C281" s="75" t="n">
        <v>0.1924898732143548</v>
      </c>
      <c r="D281" s="36" t="n">
        <v>0.3499999985734067</v>
      </c>
      <c r="E281" s="72" t="n">
        <v>1794500</v>
      </c>
      <c r="F281" s="72" t="n">
        <v>923054</v>
      </c>
      <c r="G281" s="72" t="n">
        <v>10000</v>
      </c>
      <c r="H281" s="72" t="n">
        <v>23774</v>
      </c>
      <c r="I281" s="70" t="n">
        <v>871446</v>
      </c>
      <c r="J281" s="72" t="n">
        <v>145775430</v>
      </c>
    </row>
    <row r="282">
      <c r="A282" s="45" t="n">
        <v>279</v>
      </c>
      <c r="B282" s="45" t="inlineStr">
        <is>
          <t>Yr 23.2</t>
        </is>
      </c>
      <c r="C282" s="75" t="n">
        <v>0.1911505265466588</v>
      </c>
      <c r="D282" s="36" t="n">
        <v>0.3499999968385418</v>
      </c>
      <c r="E282" s="68" t="n">
        <v>1804500</v>
      </c>
      <c r="F282" s="68" t="n">
        <v>947456</v>
      </c>
      <c r="G282" s="68" t="n">
        <v>10000</v>
      </c>
      <c r="H282" s="68" t="n">
        <v>24402</v>
      </c>
      <c r="I282" s="70" t="n">
        <v>857044</v>
      </c>
      <c r="J282" s="68" t="n">
        <v>146632474</v>
      </c>
    </row>
    <row r="283">
      <c r="A283" s="7" t="n">
        <v>280</v>
      </c>
      <c r="B283" s="7" t="inlineStr">
        <is>
          <t>Yr 23.3</t>
        </is>
      </c>
      <c r="C283" s="75" t="n">
        <v>0.18980687204535</v>
      </c>
      <c r="D283" s="36" t="n">
        <v>0.3499999963888475</v>
      </c>
      <c r="E283" s="72" t="n">
        <v>1814500</v>
      </c>
      <c r="F283" s="72" t="n">
        <v>972504</v>
      </c>
      <c r="G283" s="72" t="n">
        <v>10000</v>
      </c>
      <c r="H283" s="72" t="n">
        <v>25048</v>
      </c>
      <c r="I283" s="70" t="n">
        <v>841996</v>
      </c>
      <c r="J283" s="72" t="n">
        <v>147474470</v>
      </c>
    </row>
    <row r="284">
      <c r="A284" s="45" t="n">
        <v>281</v>
      </c>
      <c r="B284" s="45" t="inlineStr">
        <is>
          <t>Yr 23.4</t>
        </is>
      </c>
      <c r="C284" s="75" t="n">
        <v>0.1884589167359853</v>
      </c>
      <c r="D284" s="36" t="n">
        <v>0.3499999964271255</v>
      </c>
      <c r="E284" s="68" t="n">
        <v>1824500</v>
      </c>
      <c r="F284" s="68" t="n">
        <v>998214</v>
      </c>
      <c r="G284" s="68" t="n">
        <v>10000</v>
      </c>
      <c r="H284" s="68" t="n">
        <v>25710</v>
      </c>
      <c r="I284" s="70" t="n">
        <v>826286</v>
      </c>
      <c r="J284" s="68" t="n">
        <v>148300756</v>
      </c>
    </row>
    <row r="285">
      <c r="A285" s="7" t="n">
        <v>282</v>
      </c>
      <c r="B285" s="7" t="inlineStr">
        <is>
          <t>Yr 23.5</t>
        </is>
      </c>
      <c r="C285" s="75" t="n">
        <v>0.1871066676375886</v>
      </c>
      <c r="D285" s="36" t="n">
        <v>0.3499999980493063</v>
      </c>
      <c r="E285" s="72" t="n">
        <v>1834500</v>
      </c>
      <c r="F285" s="72" t="n">
        <v>1024604</v>
      </c>
      <c r="G285" s="72" t="n">
        <v>10000</v>
      </c>
      <c r="H285" s="72" t="n">
        <v>26390</v>
      </c>
      <c r="I285" s="70" t="n">
        <v>809896</v>
      </c>
      <c r="J285" s="72" t="n">
        <v>149110652</v>
      </c>
    </row>
    <row r="286">
      <c r="A286" s="45" t="n">
        <v>283</v>
      </c>
      <c r="B286" s="45" t="inlineStr">
        <is>
          <t>Yr 23.6</t>
        </is>
      </c>
      <c r="C286" s="75" t="n">
        <v>0.1857501317556457</v>
      </c>
      <c r="D286" s="36" t="n">
        <v>0.3499999987707692</v>
      </c>
      <c r="E286" s="68" t="n">
        <v>1844500</v>
      </c>
      <c r="F286" s="68" t="n">
        <v>1051691</v>
      </c>
      <c r="G286" s="68" t="n">
        <v>10000</v>
      </c>
      <c r="H286" s="68" t="n">
        <v>27087</v>
      </c>
      <c r="I286" s="70" t="n">
        <v>792809</v>
      </c>
      <c r="J286" s="68" t="n">
        <v>149903461</v>
      </c>
    </row>
    <row r="287">
      <c r="A287" s="7" t="n">
        <v>284</v>
      </c>
      <c r="B287" s="7" t="inlineStr">
        <is>
          <t>Yr 23.7</t>
        </is>
      </c>
      <c r="C287" s="75" t="n">
        <v>0.1843893160754972</v>
      </c>
      <c r="D287" s="36" t="n">
        <v>0.3499999983331826</v>
      </c>
      <c r="E287" s="72" t="n">
        <v>1854500</v>
      </c>
      <c r="F287" s="72" t="n">
        <v>1079494</v>
      </c>
      <c r="G287" s="72" t="n">
        <v>10000</v>
      </c>
      <c r="H287" s="72" t="n">
        <v>27803</v>
      </c>
      <c r="I287" s="70" t="n">
        <v>775006</v>
      </c>
      <c r="J287" s="72" t="n">
        <v>150678467</v>
      </c>
    </row>
    <row r="288">
      <c r="A288" s="45" t="n">
        <v>285</v>
      </c>
      <c r="B288" s="45" t="inlineStr">
        <is>
          <t>Yr 23.8</t>
        </is>
      </c>
      <c r="C288" s="75" t="n">
        <v>0.1830242275561096</v>
      </c>
      <c r="D288" s="36" t="n">
        <v>0.3499999967474453</v>
      </c>
      <c r="E288" s="68" t="n">
        <v>1864500</v>
      </c>
      <c r="F288" s="68" t="n">
        <v>1108032</v>
      </c>
      <c r="G288" s="68" t="n">
        <v>10000</v>
      </c>
      <c r="H288" s="68" t="n">
        <v>28538</v>
      </c>
      <c r="I288" s="70" t="n">
        <v>756468</v>
      </c>
      <c r="J288" s="68" t="n">
        <v>151434935</v>
      </c>
    </row>
    <row r="289">
      <c r="A289" s="7" t="n">
        <v>286</v>
      </c>
      <c r="B289" s="7" t="inlineStr">
        <is>
          <t>Yr 23.8</t>
        </is>
      </c>
      <c r="C289" s="75" t="n">
        <v>0.1816548731242069</v>
      </c>
      <c r="D289" s="36" t="n">
        <v>0.3499999991796144</v>
      </c>
      <c r="E289" s="72" t="n">
        <v>1874500</v>
      </c>
      <c r="F289" s="72" t="n">
        <v>1137326</v>
      </c>
      <c r="G289" s="72" t="n">
        <v>10000</v>
      </c>
      <c r="H289" s="72" t="n">
        <v>29294</v>
      </c>
      <c r="I289" s="70" t="n">
        <v>737174</v>
      </c>
      <c r="J289" s="72" t="n">
        <v>152172109</v>
      </c>
    </row>
    <row r="290">
      <c r="A290" s="45" t="n">
        <v>287</v>
      </c>
      <c r="B290" s="45" t="inlineStr">
        <is>
          <t>Yr 23.9</t>
        </is>
      </c>
      <c r="C290" s="75" t="n">
        <v>0.180281259668745</v>
      </c>
      <c r="D290" s="36" t="n">
        <v>0.349999997532343</v>
      </c>
      <c r="E290" s="68" t="n">
        <v>1884500</v>
      </c>
      <c r="F290" s="68" t="n">
        <v>1167392</v>
      </c>
      <c r="G290" s="68" t="n">
        <v>10000</v>
      </c>
      <c r="H290" s="68" t="n">
        <v>30066</v>
      </c>
      <c r="I290" s="70" t="n">
        <v>717108</v>
      </c>
      <c r="J290" s="68" t="n">
        <v>152889217</v>
      </c>
    </row>
    <row r="291">
      <c r="A291" s="7" t="n">
        <v>288</v>
      </c>
      <c r="B291" s="7" t="inlineStr">
        <is>
          <t>Yr 24.0</t>
        </is>
      </c>
      <c r="C291" s="75" t="n">
        <v>0.178903394035713</v>
      </c>
      <c r="D291" s="36" t="n">
        <v>0.3499999988094898</v>
      </c>
      <c r="E291" s="72" t="n">
        <v>1894500</v>
      </c>
      <c r="F291" s="72" t="n">
        <v>1198255</v>
      </c>
      <c r="G291" s="72" t="n">
        <v>10000</v>
      </c>
      <c r="H291" s="72" t="n">
        <v>30863</v>
      </c>
      <c r="I291" s="70" t="n">
        <v>696245</v>
      </c>
      <c r="J291" s="72" t="n">
        <v>153585462</v>
      </c>
    </row>
    <row r="292">
      <c r="A292" s="45" t="n">
        <v>289</v>
      </c>
      <c r="B292" s="45" t="inlineStr">
        <is>
          <t>Yr 24.1</t>
        </is>
      </c>
      <c r="C292" s="75" t="n">
        <v>0.1775212830232441</v>
      </c>
      <c r="D292" s="36" t="n">
        <v>0.3499999969725474</v>
      </c>
      <c r="E292" s="68" t="n">
        <v>1904500</v>
      </c>
      <c r="F292" s="68" t="n">
        <v>1229932</v>
      </c>
      <c r="G292" s="68" t="n">
        <v>10000</v>
      </c>
      <c r="H292" s="68" t="n">
        <v>31677</v>
      </c>
      <c r="I292" s="70" t="n">
        <v>674568</v>
      </c>
      <c r="J292" s="68" t="n">
        <v>154260030</v>
      </c>
    </row>
    <row r="293">
      <c r="A293" s="7" t="n">
        <v>290</v>
      </c>
      <c r="B293" s="7" t="inlineStr">
        <is>
          <t>Yr 24.2</t>
        </is>
      </c>
      <c r="C293" s="75" t="n">
        <v>0.1761349333770229</v>
      </c>
      <c r="D293" s="36" t="n">
        <v>0.3499999998289004</v>
      </c>
      <c r="E293" s="72" t="n">
        <v>1914500</v>
      </c>
      <c r="F293" s="72" t="n">
        <v>1262449</v>
      </c>
      <c r="G293" s="72" t="n">
        <v>10000</v>
      </c>
      <c r="H293" s="72" t="n">
        <v>32517</v>
      </c>
      <c r="I293" s="70" t="n">
        <v>652051</v>
      </c>
      <c r="J293" s="72" t="n">
        <v>154912081</v>
      </c>
    </row>
    <row r="294">
      <c r="A294" s="45" t="n">
        <v>291</v>
      </c>
      <c r="B294" s="45" t="inlineStr">
        <is>
          <t>Yr 24.2</t>
        </is>
      </c>
      <c r="C294" s="75" t="n">
        <v>0.1747443517859724</v>
      </c>
      <c r="D294" s="36" t="n">
        <v>0.3499999994120413</v>
      </c>
      <c r="E294" s="68" t="n">
        <v>1924500</v>
      </c>
      <c r="F294" s="68" t="n">
        <v>1295823</v>
      </c>
      <c r="G294" s="68" t="n">
        <v>10000</v>
      </c>
      <c r="H294" s="68" t="n">
        <v>33374</v>
      </c>
      <c r="I294" s="70" t="n">
        <v>628677</v>
      </c>
      <c r="J294" s="68" t="n">
        <v>155540758</v>
      </c>
    </row>
    <row r="295">
      <c r="A295" s="7" t="n">
        <v>292</v>
      </c>
      <c r="B295" s="7" t="inlineStr">
        <is>
          <t>Yr 24.3</t>
        </is>
      </c>
      <c r="C295" s="75" t="n">
        <v>0.17334954487821</v>
      </c>
      <c r="D295" s="36" t="n">
        <v>0.3499999979213263</v>
      </c>
      <c r="E295" s="72" t="n">
        <v>1934500</v>
      </c>
      <c r="F295" s="72" t="n">
        <v>1330080</v>
      </c>
      <c r="G295" s="72" t="n">
        <v>10000</v>
      </c>
      <c r="H295" s="72" t="n">
        <v>34257</v>
      </c>
      <c r="I295" s="70" t="n">
        <v>604420</v>
      </c>
      <c r="J295" s="72" t="n">
        <v>156145178</v>
      </c>
    </row>
    <row r="296">
      <c r="A296" s="45" t="n">
        <v>293</v>
      </c>
      <c r="B296" s="45" t="inlineStr">
        <is>
          <t>Yr 24.4</t>
        </is>
      </c>
      <c r="C296" s="75" t="n">
        <v>0.1719505192172563</v>
      </c>
      <c r="D296" s="36" t="n">
        <v>0.3499999991440578</v>
      </c>
      <c r="E296" s="68" t="n">
        <v>1944500</v>
      </c>
      <c r="F296" s="68" t="n">
        <v>1365244</v>
      </c>
      <c r="G296" s="68" t="n">
        <v>10000</v>
      </c>
      <c r="H296" s="68" t="n">
        <v>35164</v>
      </c>
      <c r="I296" s="70" t="n">
        <v>579256</v>
      </c>
      <c r="J296" s="68" t="n">
        <v>156724434</v>
      </c>
    </row>
    <row r="297">
      <c r="A297" s="7" t="n">
        <v>294</v>
      </c>
      <c r="B297" s="7" t="inlineStr">
        <is>
          <t>Yr 24.5</t>
        </is>
      </c>
      <c r="C297" s="75" t="n">
        <v>0.1705472812984863</v>
      </c>
      <c r="D297" s="36" t="n">
        <v>0.3499999985567998</v>
      </c>
      <c r="E297" s="72" t="n">
        <v>1954500</v>
      </c>
      <c r="F297" s="72" t="n">
        <v>1401336</v>
      </c>
      <c r="G297" s="72" t="n">
        <v>10000</v>
      </c>
      <c r="H297" s="72" t="n">
        <v>36092</v>
      </c>
      <c r="I297" s="70" t="n">
        <v>553164</v>
      </c>
      <c r="J297" s="72" t="n">
        <v>157277598</v>
      </c>
    </row>
    <row r="298">
      <c r="A298" s="45" t="n">
        <v>295</v>
      </c>
      <c r="B298" s="45" t="inlineStr">
        <is>
          <t>Yr 24.6</t>
        </is>
      </c>
      <c r="C298" s="75" t="n">
        <v>0.1691398375458106</v>
      </c>
      <c r="D298" s="36" t="n">
        <v>0.349999998481847</v>
      </c>
      <c r="E298" s="68" t="n">
        <v>1964500</v>
      </c>
      <c r="F298" s="68" t="n">
        <v>1438383</v>
      </c>
      <c r="G298" s="68" t="n">
        <v>10000</v>
      </c>
      <c r="H298" s="68" t="n">
        <v>37047</v>
      </c>
      <c r="I298" s="70" t="n">
        <v>526117</v>
      </c>
      <c r="J298" s="68" t="n">
        <v>157803715</v>
      </c>
    </row>
    <row r="299">
      <c r="A299" s="7" t="n">
        <v>296</v>
      </c>
      <c r="B299" s="7" t="inlineStr">
        <is>
          <t>Yr 24.7</t>
        </is>
      </c>
      <c r="C299" s="75" t="n">
        <v>0.1677281943085749</v>
      </c>
      <c r="D299" s="36" t="n">
        <v>0.3499999978618328</v>
      </c>
      <c r="E299" s="72" t="n">
        <v>1974500</v>
      </c>
      <c r="F299" s="72" t="n">
        <v>1476409</v>
      </c>
      <c r="G299" s="72" t="n">
        <v>10000</v>
      </c>
      <c r="H299" s="72" t="n">
        <v>38026</v>
      </c>
      <c r="I299" s="70" t="n">
        <v>498091</v>
      </c>
      <c r="J299" s="72" t="n">
        <v>158301806</v>
      </c>
    </row>
    <row r="300">
      <c r="A300" s="45" t="n">
        <v>297</v>
      </c>
      <c r="B300" s="45" t="inlineStr">
        <is>
          <t>Yr 24.8</t>
        </is>
      </c>
      <c r="C300" s="75" t="n">
        <v>0.1663123578586677</v>
      </c>
      <c r="D300" s="36" t="n">
        <v>0.3499999984991415</v>
      </c>
      <c r="E300" s="68" t="n">
        <v>1984500</v>
      </c>
      <c r="F300" s="68" t="n">
        <v>1515441</v>
      </c>
      <c r="G300" s="68" t="n">
        <v>10000</v>
      </c>
      <c r="H300" s="68" t="n">
        <v>39032</v>
      </c>
      <c r="I300" s="70" t="n">
        <v>469059</v>
      </c>
      <c r="J300" s="68" t="n">
        <v>158770865</v>
      </c>
    </row>
    <row r="301">
      <c r="A301" s="7" t="n">
        <v>298</v>
      </c>
      <c r="B301" s="7" t="inlineStr">
        <is>
          <t>Yr 24.8</t>
        </is>
      </c>
      <c r="C301" s="75" t="n">
        <v>0.1648923343878249</v>
      </c>
      <c r="D301" s="36" t="n">
        <v>0.3499999981879672</v>
      </c>
      <c r="E301" s="72" t="n">
        <v>1994500</v>
      </c>
      <c r="F301" s="72" t="n">
        <v>1555504</v>
      </c>
      <c r="G301" s="72" t="n">
        <v>10000</v>
      </c>
      <c r="H301" s="72" t="n">
        <v>40063</v>
      </c>
      <c r="I301" s="70" t="n">
        <v>438996</v>
      </c>
      <c r="J301" s="72" t="n">
        <v>159209861</v>
      </c>
    </row>
    <row r="302">
      <c r="A302" s="45" t="n">
        <v>299</v>
      </c>
      <c r="B302" s="45" t="inlineStr">
        <is>
          <t>Yr 24.9</t>
        </is>
      </c>
      <c r="C302" s="75" t="n">
        <v>0.1634681300051228</v>
      </c>
      <c r="D302" s="36" t="n">
        <v>0.349999999016505</v>
      </c>
      <c r="E302" s="68" t="n">
        <v>2004500</v>
      </c>
      <c r="F302" s="68" t="n">
        <v>1596627</v>
      </c>
      <c r="G302" s="68" t="n">
        <v>10000</v>
      </c>
      <c r="H302" s="68" t="n">
        <v>41123</v>
      </c>
      <c r="I302" s="70" t="n">
        <v>407873</v>
      </c>
      <c r="J302" s="68" t="n">
        <v>159617734</v>
      </c>
    </row>
    <row r="303">
      <c r="A303" s="7" t="n">
        <v>300</v>
      </c>
      <c r="B303" s="7" t="inlineStr">
        <is>
          <t>Yr 25.0</t>
        </is>
      </c>
      <c r="C303" s="75" t="n">
        <v>0.1620397507346489</v>
      </c>
      <c r="D303" s="36" t="n">
        <v>0.3499999982580828</v>
      </c>
      <c r="E303" s="72" t="n">
        <v>2014500</v>
      </c>
      <c r="F303" s="72" t="n">
        <v>1638836</v>
      </c>
      <c r="G303" s="72" t="n">
        <v>10000</v>
      </c>
      <c r="H303" s="72" t="n">
        <v>42209</v>
      </c>
      <c r="I303" s="70" t="n">
        <v>375664</v>
      </c>
      <c r="J303" s="72" t="n">
        <v>159993398</v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style="103" min="1" max="1"/>
    <col width="9" customWidth="1" style="103" min="2" max="4"/>
    <col width="11" customWidth="1" style="103" min="5" max="7"/>
    <col width="12" customWidth="1" style="103" min="8" max="10"/>
    <col width="14" customWidth="1" style="103" min="11" max="11"/>
  </cols>
  <sheetData>
    <row r="1" ht="17.25" customHeight="1" s="103">
      <c r="A1" s="109" t="inlineStr">
        <is>
          <t>Phase 1 Strategy Comparison — Participation vs. L Health</t>
        </is>
      </c>
    </row>
    <row r="2">
      <c r="A2" s="108" t="inlineStr">
        <is>
          <t>Baseline (no gate)  vs.  Hard Gate (L≥35% or freeze)  vs.  Tiered Throttle (EC-5 cohort rules: 100% / 75% / 50% / 0%)</t>
        </is>
      </c>
    </row>
    <row r="4">
      <c r="A4" s="76" t="n"/>
      <c r="F4" s="110" t="inlineStr">
        <is>
          <t>Baseline
(No Gate)</t>
        </is>
      </c>
      <c r="I4" s="115" t="inlineStr">
        <is>
          <t>Hard Gate
(L ≥ 35%)</t>
        </is>
      </c>
      <c r="L4" s="116" t="inlineStr">
        <is>
          <t>Tiered Throttle
(Recommended)</t>
        </is>
      </c>
    </row>
    <row r="5" ht="26.25" customHeight="1" s="103">
      <c r="A5" s="19" t="inlineStr">
        <is>
          <t>Year</t>
        </is>
      </c>
      <c r="B5" s="19" t="inlineStr">
        <is>
          <t>L%</t>
        </is>
      </c>
      <c r="C5" s="19" t="inlineStr">
        <is>
          <t>Employees</t>
        </is>
      </c>
      <c r="D5" s="19" t="inlineStr">
        <is>
          <t>Waitlist</t>
        </is>
      </c>
      <c r="E5" s="19" t="inlineStr">
        <is>
          <t>L%</t>
        </is>
      </c>
      <c r="F5" s="19" t="inlineStr">
        <is>
          <t>Employees</t>
        </is>
      </c>
      <c r="G5" s="19" t="inlineStr">
        <is>
          <t>Waitlist</t>
        </is>
      </c>
      <c r="H5" s="19" t="inlineStr">
        <is>
          <t>L%</t>
        </is>
      </c>
      <c r="I5" s="19" t="inlineStr">
        <is>
          <t>Employees</t>
        </is>
      </c>
      <c r="J5" s="19" t="inlineStr">
        <is>
          <t>Waitlist</t>
        </is>
      </c>
      <c r="K5" s="19" t="inlineStr">
        <is>
          <t>Rec. vs.
Baseline Emp</t>
        </is>
      </c>
    </row>
    <row r="6">
      <c r="A6" s="45" t="inlineStr">
        <is>
          <t>Yr 1</t>
        </is>
      </c>
      <c r="B6" s="77" t="n">
        <v>0.456611347002685</v>
      </c>
      <c r="C6" s="68" t="n">
        <v>8000</v>
      </c>
      <c r="D6" s="68" t="n">
        <v>0</v>
      </c>
      <c r="E6" s="32" t="n">
        <v>0.4570909689587445</v>
      </c>
      <c r="F6" s="78" t="n">
        <v>2500</v>
      </c>
      <c r="G6" s="70" t="n">
        <v>33000</v>
      </c>
      <c r="H6" s="32" t="n">
        <v>0.456611347002685</v>
      </c>
      <c r="I6" s="79" t="n">
        <v>8000</v>
      </c>
      <c r="J6" s="68" t="n">
        <v>0</v>
      </c>
      <c r="K6" s="148" t="n">
        <v>0</v>
      </c>
    </row>
    <row r="7">
      <c r="A7" s="7" t="inlineStr">
        <is>
          <t>Yr 2</t>
        </is>
      </c>
      <c r="B7" s="81" t="n">
        <v>0.459911055121811</v>
      </c>
      <c r="C7" s="72" t="n">
        <v>36000</v>
      </c>
      <c r="D7" s="72" t="n">
        <v>0</v>
      </c>
      <c r="E7" s="32" t="n">
        <v>0.4454849900247133</v>
      </c>
      <c r="F7" s="78" t="n">
        <v>2500</v>
      </c>
      <c r="G7" s="70" t="n">
        <v>270000</v>
      </c>
      <c r="H7" s="32" t="n">
        <v>0.459911055121811</v>
      </c>
      <c r="I7" s="79" t="n">
        <v>36000</v>
      </c>
      <c r="J7" s="68" t="n">
        <v>0</v>
      </c>
      <c r="K7" s="148" t="n">
        <v>0</v>
      </c>
    </row>
    <row r="8">
      <c r="A8" s="45" t="inlineStr">
        <is>
          <t>Yr 3</t>
        </is>
      </c>
      <c r="B8" s="77" t="n">
        <v>0.4572620237604675</v>
      </c>
      <c r="C8" s="68" t="n">
        <v>66000</v>
      </c>
      <c r="D8" s="68" t="n">
        <v>0</v>
      </c>
      <c r="E8" s="32" t="n">
        <v>0.4271378590375904</v>
      </c>
      <c r="F8" s="78" t="n">
        <v>2500</v>
      </c>
      <c r="G8" s="70" t="n">
        <v>867000</v>
      </c>
      <c r="H8" s="32" t="n">
        <v>0.4572620237604675</v>
      </c>
      <c r="I8" s="79" t="n">
        <v>66000</v>
      </c>
      <c r="J8" s="68" t="n">
        <v>0</v>
      </c>
      <c r="K8" s="148" t="n">
        <v>0</v>
      </c>
    </row>
    <row r="9">
      <c r="A9" s="7" t="inlineStr">
        <is>
          <t>Yr 5</t>
        </is>
      </c>
      <c r="B9" s="81" t="n">
        <v>0.4343449787620949</v>
      </c>
      <c r="C9" s="72" t="n">
        <v>131500</v>
      </c>
      <c r="D9" s="72" t="n">
        <v>0</v>
      </c>
      <c r="E9" s="32" t="n">
        <v>0.3849687857466496</v>
      </c>
      <c r="F9" s="78" t="n">
        <v>2500</v>
      </c>
      <c r="G9" s="70" t="n">
        <v>3174000</v>
      </c>
      <c r="H9" s="32" t="n">
        <v>0.4343449787620949</v>
      </c>
      <c r="I9" s="79" t="n">
        <v>131500</v>
      </c>
      <c r="J9" s="68" t="n">
        <v>0</v>
      </c>
      <c r="K9" s="148" t="n">
        <v>0</v>
      </c>
    </row>
    <row r="10">
      <c r="A10" s="45" t="inlineStr">
        <is>
          <t>Yr 7</t>
        </is>
      </c>
      <c r="B10" s="77" t="n">
        <v>0.4091695868911006</v>
      </c>
      <c r="C10" s="68" t="n">
        <v>220500</v>
      </c>
      <c r="D10" s="68" t="n">
        <v>0</v>
      </c>
      <c r="E10" s="82" t="n">
        <v>0.3499999871114767</v>
      </c>
      <c r="F10" s="78" t="n">
        <v>5845</v>
      </c>
      <c r="G10" s="70" t="n">
        <v>7324064</v>
      </c>
      <c r="H10" s="32" t="n">
        <v>0.4091695868911006</v>
      </c>
      <c r="I10" s="79" t="n">
        <v>220500</v>
      </c>
      <c r="J10" s="68" t="n">
        <v>0</v>
      </c>
      <c r="K10" s="148" t="n">
        <v>0</v>
      </c>
    </row>
    <row r="11">
      <c r="A11" s="7" t="inlineStr">
        <is>
          <t>Yr 10</t>
        </is>
      </c>
      <c r="B11" s="81" t="n">
        <v>0.3719317509358657</v>
      </c>
      <c r="C11" s="72" t="n">
        <v>399500</v>
      </c>
      <c r="D11" s="72" t="n">
        <v>0</v>
      </c>
      <c r="E11" s="82" t="n">
        <v>0.3499998930120272</v>
      </c>
      <c r="F11" s="78" t="n">
        <v>14953</v>
      </c>
      <c r="G11" s="70" t="n">
        <v>18202420</v>
      </c>
      <c r="H11" s="32" t="n">
        <v>0.3717447047168226</v>
      </c>
      <c r="I11" s="79" t="n">
        <v>397833</v>
      </c>
      <c r="J11" s="69" t="n">
        <v>44455</v>
      </c>
      <c r="K11" s="148" t="n">
        <v>-0.004172715894868586</v>
      </c>
    </row>
    <row r="12">
      <c r="A12" s="45" t="inlineStr">
        <is>
          <t>Yr 12</t>
        </is>
      </c>
      <c r="B12" s="47" t="n">
        <v>0.3446510204275249</v>
      </c>
      <c r="C12" s="68" t="n">
        <v>519500</v>
      </c>
      <c r="D12" s="68" t="n">
        <v>0</v>
      </c>
      <c r="E12" s="82" t="n">
        <v>0.3499999465148225</v>
      </c>
      <c r="F12" s="78" t="n">
        <v>27971</v>
      </c>
      <c r="G12" s="70" t="n">
        <v>28784987</v>
      </c>
      <c r="H12" s="36" t="n">
        <v>0.3444237681075628</v>
      </c>
      <c r="I12" s="79" t="n">
        <v>514708</v>
      </c>
      <c r="J12" s="69" t="n">
        <v>94672</v>
      </c>
      <c r="K12" s="148" t="n">
        <v>-0.009224254090471607</v>
      </c>
    </row>
    <row r="13">
      <c r="A13" s="7" t="inlineStr">
        <is>
          <t>Yr 15</t>
        </is>
      </c>
      <c r="B13" s="22" t="n">
        <v>0.3037416660106823</v>
      </c>
      <c r="C13" s="72" t="n">
        <v>814500</v>
      </c>
      <c r="D13" s="72" t="n">
        <v>0</v>
      </c>
      <c r="E13" s="82" t="n">
        <v>0.3499999793957917</v>
      </c>
      <c r="F13" s="78" t="n">
        <v>71560</v>
      </c>
      <c r="G13" s="70" t="n">
        <v>50504602</v>
      </c>
      <c r="H13" s="36" t="n">
        <v>0.3030215259263286</v>
      </c>
      <c r="I13" s="79" t="n">
        <v>804500</v>
      </c>
      <c r="J13" s="69" t="n">
        <v>384472</v>
      </c>
      <c r="K13" s="148" t="n">
        <v>-0.01227747084100675</v>
      </c>
    </row>
    <row r="14">
      <c r="A14" s="45" t="inlineStr">
        <is>
          <t>Yr 17</t>
        </is>
      </c>
      <c r="B14" s="47" t="n">
        <v>0.2795119549344172</v>
      </c>
      <c r="C14" s="68" t="n">
        <v>1054500</v>
      </c>
      <c r="D14" s="68" t="n">
        <v>0</v>
      </c>
      <c r="E14" s="82" t="n">
        <v>0.3499999938854</v>
      </c>
      <c r="F14" s="78" t="n">
        <v>133858</v>
      </c>
      <c r="G14" s="70" t="n">
        <v>70633824</v>
      </c>
      <c r="H14" s="36" t="n">
        <v>0.2787862384017883</v>
      </c>
      <c r="I14" s="79" t="n">
        <v>1044500</v>
      </c>
      <c r="J14" s="69" t="n">
        <v>624472</v>
      </c>
      <c r="K14" s="148" t="n">
        <v>-0.009483167377904221</v>
      </c>
    </row>
    <row r="15">
      <c r="A15" s="7" t="inlineStr">
        <is>
          <t>Yr 20</t>
        </is>
      </c>
      <c r="B15" s="22" t="n">
        <v>0.2401322388997037</v>
      </c>
      <c r="C15" s="72" t="n">
        <v>1414500</v>
      </c>
      <c r="D15" s="72" t="n">
        <v>0</v>
      </c>
      <c r="E15" s="82" t="n">
        <v>0.3499999901399407</v>
      </c>
      <c r="F15" s="78" t="n">
        <v>342454</v>
      </c>
      <c r="G15" s="70" t="n">
        <v>107156822</v>
      </c>
      <c r="H15" s="82" t="n">
        <v>0.238707338859675</v>
      </c>
      <c r="I15" s="79" t="n">
        <v>1314500</v>
      </c>
      <c r="J15" s="69" t="n">
        <v>1434472</v>
      </c>
      <c r="K15" s="148" t="n">
        <v>-0.07069635913750442</v>
      </c>
    </row>
    <row r="16">
      <c r="A16" s="45" t="inlineStr">
        <is>
          <t>Yr 22</t>
        </is>
      </c>
      <c r="B16" s="47" t="n">
        <v>0.2107845266786769</v>
      </c>
      <c r="C16" s="68" t="n">
        <v>1654500</v>
      </c>
      <c r="D16" s="68" t="n">
        <v>0</v>
      </c>
      <c r="E16" s="82" t="n">
        <v>0.3499999952775891</v>
      </c>
      <c r="F16" s="78" t="n">
        <v>640584</v>
      </c>
      <c r="G16" s="70" t="n">
        <v>132529626</v>
      </c>
      <c r="H16" s="82" t="n">
        <v>0.2012402459826972</v>
      </c>
      <c r="I16" s="79" t="n">
        <v>1314500</v>
      </c>
      <c r="J16" s="69" t="n">
        <v>6834472</v>
      </c>
      <c r="K16" s="149" t="n">
        <v>-0.2055001511030523</v>
      </c>
    </row>
    <row r="17">
      <c r="A17" s="7" t="inlineStr">
        <is>
          <t>Yr 25</t>
        </is>
      </c>
      <c r="B17" s="22" t="n">
        <v>0.1620397507346489</v>
      </c>
      <c r="C17" s="72" t="n">
        <v>2014500</v>
      </c>
      <c r="D17" s="72" t="n">
        <v>0</v>
      </c>
      <c r="E17" s="82" t="n">
        <v>0.3499999982580828</v>
      </c>
      <c r="F17" s="69" t="n">
        <v>1638836</v>
      </c>
      <c r="G17" s="70" t="n">
        <v>159993398</v>
      </c>
      <c r="H17" s="82" t="n">
        <v>0.1492892271271306</v>
      </c>
      <c r="I17" s="79" t="n">
        <v>1314500</v>
      </c>
      <c r="J17" s="69" t="n">
        <v>25734472</v>
      </c>
      <c r="K17" s="150" t="n">
        <v>-0.3474807644576818</v>
      </c>
    </row>
    <row r="20">
      <c r="A20" s="114" t="inlineStr">
        <is>
          <t>How to read the Tiered column:</t>
        </is>
      </c>
    </row>
    <row r="21">
      <c r="A21" s="111" t="inlineStr">
        <is>
          <t>Green L%  =  L ≥ 35% (Healthy)       Yellow L%  =  25% ≤ L &lt; 35% (Watch/Caution)       Red L%  =  L &lt; 25% (Protect)</t>
        </is>
      </c>
    </row>
    <row r="22">
      <c r="A22" s="111" t="inlineStr">
        <is>
          <t>Blue Employees = tiered throttle active — enrollment slowed but not stopped</t>
        </is>
      </c>
    </row>
    <row r="23">
      <c r="A23" s="111" t="inlineStr">
        <is>
          <t>Tiered vs Baseline %: how close tiered participation is to unconstrained baseline (green = within 10%, yellow = within 30%, red = more than 30% below baseline)</t>
        </is>
      </c>
    </row>
  </sheetData>
  <mergeCells count="9">
    <mergeCell ref="A22:K22"/>
    <mergeCell ref="A20:K20"/>
    <mergeCell ref="A21:K21"/>
    <mergeCell ref="A2:K2"/>
    <mergeCell ref="F4:H4"/>
    <mergeCell ref="I4:K4"/>
    <mergeCell ref="L4:N4"/>
    <mergeCell ref="A1:K1"/>
    <mergeCell ref="A23:K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K35"/>
  <sheetViews>
    <sheetView topLeftCell="A3" workbookViewId="0">
      <selection activeCell="A1" sqref="A1:K1"/>
    </sheetView>
  </sheetViews>
  <sheetFormatPr baseColWidth="8" defaultRowHeight="15"/>
  <cols>
    <col width="22" customWidth="1" style="103" min="1" max="1"/>
    <col width="15" customWidth="1" style="103" min="2" max="10"/>
  </cols>
  <sheetData>
    <row r="1" ht="21.95" customHeight="1" s="103">
      <c r="A1" s="123" t="inlineStr">
        <is>
          <t>Interest Rate Scenario Comparison — Phase 1 (20 yr) + Phase 2 (8 yr)</t>
        </is>
      </c>
    </row>
    <row r="2">
      <c r="A2" s="120" t="inlineStr">
        <is>
          <t>Color key:  Green ≥35% (SS-3 Healthy)  |  Yellow 25-35% (SS-4 Watch)  |  Orange 15-25% (SS-5 Caution)  |  Red &lt;15% (SS-6 Protect)</t>
        </is>
      </c>
    </row>
    <row r="3">
      <c r="B3" s="117" t="inlineStr">
        <is>
          <t>4% / 4%  (Current Baseline)</t>
        </is>
      </c>
      <c r="E3" s="121" t="inlineStr">
        <is>
          <t>9% / 9%  (Stretch — Realistic)</t>
        </is>
      </c>
      <c r="H3" s="122" t="inlineStr">
        <is>
          <t>12% / 12%  (Achieves 50% / 100%)</t>
        </is>
      </c>
    </row>
    <row r="4">
      <c r="A4" s="85" t="inlineStr">
        <is>
          <t>Period</t>
        </is>
      </c>
      <c r="B4" s="86" t="inlineStr">
        <is>
          <t>L</t>
        </is>
      </c>
      <c r="C4" s="86" t="inlineStr">
        <is>
          <t>Escrow ($B)</t>
        </is>
      </c>
      <c r="D4" s="86" t="inlineStr">
        <is>
          <t>Employees</t>
        </is>
      </c>
      <c r="E4" s="87" t="inlineStr">
        <is>
          <t>L</t>
        </is>
      </c>
      <c r="F4" s="87" t="inlineStr">
        <is>
          <t>Escrow ($B)</t>
        </is>
      </c>
      <c r="G4" s="87" t="inlineStr">
        <is>
          <t>Employees</t>
        </is>
      </c>
      <c r="H4" s="88" t="inlineStr">
        <is>
          <t>L</t>
        </is>
      </c>
      <c r="I4" s="88" t="inlineStr">
        <is>
          <t>Escrow ($B)</t>
        </is>
      </c>
      <c r="J4" s="88" t="inlineStr">
        <is>
          <t>Employees</t>
        </is>
      </c>
    </row>
    <row r="5">
      <c r="A5" s="89" t="inlineStr">
        <is>
          <t>── PHASE 1 ──</t>
        </is>
      </c>
    </row>
    <row r="6">
      <c r="A6" t="inlineStr">
        <is>
          <t>Year 1</t>
        </is>
      </c>
      <c r="B6" s="151" t="n">
        <v>0.456611347002685</v>
      </c>
      <c r="C6" s="152" t="n">
        <v>0.1150660594446766</v>
      </c>
      <c r="D6" s="72" t="n">
        <v>8000</v>
      </c>
      <c r="E6" s="151" t="n">
        <v>0.4650575449933287</v>
      </c>
      <c r="F6" s="152" t="n">
        <v>0.1171945013383188</v>
      </c>
      <c r="G6" s="72" t="n">
        <v>8000</v>
      </c>
      <c r="H6" s="151" t="n">
        <v>0.4702243442345788</v>
      </c>
      <c r="I6" s="152" t="n">
        <v>0.1184965347471139</v>
      </c>
      <c r="J6" s="72" t="n">
        <v>8000</v>
      </c>
    </row>
    <row r="7">
      <c r="A7" t="inlineStr">
        <is>
          <t>Year 2</t>
        </is>
      </c>
      <c r="B7" s="151" t="n">
        <v>0.459911055121811</v>
      </c>
      <c r="C7" s="152" t="n">
        <v>0.6070825927607905</v>
      </c>
      <c r="D7" s="72" t="n">
        <v>36000</v>
      </c>
      <c r="E7" s="151" t="n">
        <v>0.4728076051972841</v>
      </c>
      <c r="F7" s="152" t="n">
        <v>0.6241060388604149</v>
      </c>
      <c r="G7" s="72" t="n">
        <v>36000</v>
      </c>
      <c r="H7" s="151" t="n">
        <v>0.48082841922538</v>
      </c>
      <c r="I7" s="152" t="n">
        <v>0.6346935133775016</v>
      </c>
      <c r="J7" s="72" t="n">
        <v>36000</v>
      </c>
    </row>
    <row r="8">
      <c r="A8" t="inlineStr">
        <is>
          <t>Year 3</t>
        </is>
      </c>
      <c r="B8" s="151" t="n">
        <v>0.4572620237604675</v>
      </c>
      <c r="C8" s="152" t="n">
        <v>1.75039902695507</v>
      </c>
      <c r="D8" s="72" t="n">
        <v>66000</v>
      </c>
      <c r="E8" s="151" t="n">
        <v>0.4767222065776709</v>
      </c>
      <c r="F8" s="152" t="n">
        <v>1.824892606779324</v>
      </c>
      <c r="G8" s="72" t="n">
        <v>66000</v>
      </c>
      <c r="H8" s="151" t="n">
        <v>0.4890090800123481</v>
      </c>
      <c r="I8" s="152" t="n">
        <v>1.871926758287269</v>
      </c>
      <c r="J8" s="72" t="n">
        <v>66000</v>
      </c>
    </row>
    <row r="9">
      <c r="A9" t="inlineStr">
        <is>
          <t>Year 4</t>
        </is>
      </c>
      <c r="B9" s="151" t="n">
        <v>0.4466756521986391</v>
      </c>
      <c r="C9" s="152" t="n">
        <v>3.473349871496617</v>
      </c>
      <c r="D9" s="72" t="n">
        <v>96000</v>
      </c>
      <c r="E9" s="151" t="n">
        <v>0.473789721018489</v>
      </c>
      <c r="F9" s="152" t="n">
        <v>3.68418887063977</v>
      </c>
      <c r="G9" s="72" t="n">
        <v>96000</v>
      </c>
      <c r="H9" s="151" t="n">
        <v>0.4912298449003649</v>
      </c>
      <c r="I9" s="152" t="n">
        <v>3.819803273945237</v>
      </c>
      <c r="J9" s="72" t="n">
        <v>96000</v>
      </c>
    </row>
    <row r="10">
      <c r="A10" t="inlineStr">
        <is>
          <t>Year 5</t>
        </is>
      </c>
      <c r="B10" s="151" t="n">
        <v>0.4343449787620949</v>
      </c>
      <c r="C10" s="152" t="n">
        <v>5.775050837620813</v>
      </c>
      <c r="D10" s="72" t="n">
        <v>131500</v>
      </c>
      <c r="E10" s="151" t="n">
        <v>0.4691717614202682</v>
      </c>
      <c r="F10" s="152" t="n">
        <v>6.238107739843886</v>
      </c>
      <c r="G10" s="72" t="n">
        <v>131500</v>
      </c>
      <c r="H10" s="151" t="n">
        <v>0.4920332937043667</v>
      </c>
      <c r="I10" s="152" t="n">
        <v>6.54207467309326</v>
      </c>
      <c r="J10" s="72" t="n">
        <v>131500</v>
      </c>
    </row>
    <row r="11">
      <c r="A11" t="inlineStr">
        <is>
          <t>Year 6</t>
        </is>
      </c>
      <c r="B11" s="151" t="n">
        <v>0.4217550171925659</v>
      </c>
      <c r="C11" s="152" t="n">
        <v>8.720206735473491</v>
      </c>
      <c r="D11" s="72" t="n">
        <v>173000</v>
      </c>
      <c r="E11" s="151" t="n">
        <v>0.4640147379330937</v>
      </c>
      <c r="F11" s="152" t="n">
        <v>9.593968721504647</v>
      </c>
      <c r="G11" s="72" t="n">
        <v>173000</v>
      </c>
      <c r="H11" s="151" t="n">
        <v>0.4923460648151817</v>
      </c>
      <c r="I11" s="152" t="n">
        <v>10.1797472361187</v>
      </c>
      <c r="J11" s="72" t="n">
        <v>173000</v>
      </c>
    </row>
    <row r="12">
      <c r="A12" t="inlineStr">
        <is>
          <t>Year 7</t>
        </is>
      </c>
      <c r="B12" s="151" t="n">
        <v>0.4091695868911006</v>
      </c>
      <c r="C12" s="152" t="n">
        <v>12.3585582024588</v>
      </c>
      <c r="D12" s="72" t="n">
        <v>220500</v>
      </c>
      <c r="E12" s="151" t="n">
        <v>0.458586535174283</v>
      </c>
      <c r="F12" s="152" t="n">
        <v>13.85114770840405</v>
      </c>
      <c r="G12" s="72" t="n">
        <v>220500</v>
      </c>
      <c r="H12" s="151" t="n">
        <v>0.4924330408167403</v>
      </c>
      <c r="I12" s="152" t="n">
        <v>14.87344756482882</v>
      </c>
      <c r="J12" s="72" t="n">
        <v>220500</v>
      </c>
    </row>
    <row r="13">
      <c r="A13" t="inlineStr">
        <is>
          <t>Year 8</t>
        </is>
      </c>
      <c r="B13" s="151" t="n">
        <v>0.396882433228446</v>
      </c>
      <c r="C13" s="152" t="n">
        <v>16.78812692556327</v>
      </c>
      <c r="D13" s="72" t="n">
        <v>279500</v>
      </c>
      <c r="E13" s="151" t="n">
        <v>0.4530755469920192</v>
      </c>
      <c r="F13" s="152" t="n">
        <v>19.16509563776241</v>
      </c>
      <c r="G13" s="72" t="n">
        <v>279500</v>
      </c>
      <c r="H13" s="151" t="n">
        <v>0.4924040644607631</v>
      </c>
      <c r="I13" s="152" t="n">
        <v>20.82869192669028</v>
      </c>
      <c r="J13" s="72" t="n">
        <v>279500</v>
      </c>
    </row>
    <row r="14">
      <c r="A14" t="inlineStr">
        <is>
          <t>Year 9</t>
        </is>
      </c>
      <c r="B14" s="151" t="n">
        <v>0.384644362603946</v>
      </c>
      <c r="C14" s="152" t="n">
        <v>22.03089051250361</v>
      </c>
      <c r="D14" s="72" t="n">
        <v>339500</v>
      </c>
      <c r="E14" s="151" t="n">
        <v>0.4474082889180045</v>
      </c>
      <c r="F14" s="152" t="n">
        <v>25.62575715606763</v>
      </c>
      <c r="G14" s="72" t="n">
        <v>339500</v>
      </c>
      <c r="H14" s="151" t="n">
        <v>0.4922996289603684</v>
      </c>
      <c r="I14" s="152" t="n">
        <v>28.19695354833406</v>
      </c>
      <c r="J14" s="72" t="n">
        <v>339500</v>
      </c>
    </row>
    <row r="15">
      <c r="A15" t="inlineStr">
        <is>
          <t>Year 10</t>
        </is>
      </c>
      <c r="B15" s="151" t="n">
        <v>0.3719317509358657</v>
      </c>
      <c r="C15" s="152" t="n">
        <v>27.94397631131346</v>
      </c>
      <c r="D15" s="72" t="n">
        <v>399500</v>
      </c>
      <c r="E15" s="151" t="n">
        <v>0.4413644341171227</v>
      </c>
      <c r="F15" s="152" t="n">
        <v>33.16059266408766</v>
      </c>
      <c r="G15" s="72" t="n">
        <v>399500</v>
      </c>
      <c r="H15" s="151" t="n">
        <v>0.4921313201155172</v>
      </c>
      <c r="I15" s="152" t="n">
        <v>36.97481034291904</v>
      </c>
      <c r="J15" s="72" t="n">
        <v>399500</v>
      </c>
    </row>
    <row r="16">
      <c r="A16" t="inlineStr">
        <is>
          <t>Year 11</t>
        </is>
      </c>
      <c r="B16" s="151" t="n">
        <v>0.3586044437950547</v>
      </c>
      <c r="C16" s="152" t="n">
        <v>34.37869081774431</v>
      </c>
      <c r="D16" s="72" t="n">
        <v>459500</v>
      </c>
      <c r="E16" s="151" t="n">
        <v>0.4348714675160453</v>
      </c>
      <c r="F16" s="152" t="n">
        <v>41.69025784782824</v>
      </c>
      <c r="G16" s="72" t="n">
        <v>459500</v>
      </c>
      <c r="H16" s="151" t="n">
        <v>0.4919097740365639</v>
      </c>
      <c r="I16" s="152" t="n">
        <v>47.15840621733731</v>
      </c>
      <c r="J16" s="72" t="n">
        <v>459500</v>
      </c>
    </row>
    <row r="17">
      <c r="A17" t="inlineStr">
        <is>
          <t>Year 12</t>
        </is>
      </c>
      <c r="B17" s="153" t="n">
        <v>0.3446510204275249</v>
      </c>
      <c r="C17" s="152" t="n">
        <v>41.18028252476238</v>
      </c>
      <c r="D17" s="72" t="n">
        <v>519500</v>
      </c>
      <c r="E17" s="151" t="n">
        <v>0.4279063753251602</v>
      </c>
      <c r="F17" s="152" t="n">
        <v>51.12796534935144</v>
      </c>
      <c r="G17" s="72" t="n">
        <v>519500</v>
      </c>
      <c r="H17" s="151" t="n">
        <v>0.4916423624029692</v>
      </c>
      <c r="I17" s="152" t="n">
        <v>58.74339602935638</v>
      </c>
      <c r="J17" s="72" t="n">
        <v>519500</v>
      </c>
    </row>
    <row r="18">
      <c r="A18" t="inlineStr">
        <is>
          <t>Year 13</t>
        </is>
      </c>
      <c r="B18" s="153" t="n">
        <v>0.3300979251278821</v>
      </c>
      <c r="C18" s="152" t="n">
        <v>48.18769511016822</v>
      </c>
      <c r="D18" s="72" t="n">
        <v>579500</v>
      </c>
      <c r="E18" s="151" t="n">
        <v>0.4204602449507751</v>
      </c>
      <c r="F18" s="152" t="n">
        <v>61.37878655791414</v>
      </c>
      <c r="G18" s="72" t="n">
        <v>579500</v>
      </c>
      <c r="H18" s="151" t="n">
        <v>0.4913336317574271</v>
      </c>
      <c r="I18" s="152" t="n">
        <v>71.72488356394921</v>
      </c>
      <c r="J18" s="72" t="n">
        <v>579500</v>
      </c>
    </row>
    <row r="19">
      <c r="A19" t="inlineStr">
        <is>
          <t>Year 14</t>
        </is>
      </c>
      <c r="B19" s="153" t="n">
        <v>0.3162391011048443</v>
      </c>
      <c r="C19" s="152" t="n">
        <v>55.87185942679947</v>
      </c>
      <c r="D19" s="72" t="n">
        <v>694500</v>
      </c>
      <c r="E19" s="151" t="n">
        <v>0.4131094554447643</v>
      </c>
      <c r="F19" s="152" t="n">
        <v>72.98652615015918</v>
      </c>
      <c r="G19" s="72" t="n">
        <v>694500</v>
      </c>
      <c r="H19" s="151" t="n">
        <v>0.4910147762759989</v>
      </c>
      <c r="I19" s="152" t="n">
        <v>86.75052661333838</v>
      </c>
      <c r="J19" s="72" t="n">
        <v>694500</v>
      </c>
    </row>
    <row r="20">
      <c r="A20" t="inlineStr">
        <is>
          <t>Year 15</t>
        </is>
      </c>
      <c r="B20" s="153" t="n">
        <v>0.3037416660106823</v>
      </c>
      <c r="C20" s="152" t="n">
        <v>64.73706876018875</v>
      </c>
      <c r="D20" s="72" t="n">
        <v>814500</v>
      </c>
      <c r="E20" s="151" t="n">
        <v>0.4061936373366794</v>
      </c>
      <c r="F20" s="152" t="n">
        <v>86.57286231284115</v>
      </c>
      <c r="G20" s="72" t="n">
        <v>814500</v>
      </c>
      <c r="H20" s="151" t="n">
        <v>0.4907045808490581</v>
      </c>
      <c r="I20" s="152" t="n">
        <v>104.5848487255215</v>
      </c>
      <c r="J20" s="72" t="n">
        <v>814500</v>
      </c>
    </row>
    <row r="21">
      <c r="A21" t="inlineStr">
        <is>
          <t>Year 16</t>
        </is>
      </c>
      <c r="B21" s="153" t="n">
        <v>0.2916781559900585</v>
      </c>
      <c r="C21" s="152" t="n">
        <v>74.47943377574947</v>
      </c>
      <c r="D21" s="72" t="n">
        <v>934500</v>
      </c>
      <c r="E21" s="151" t="n">
        <v>0.3993106762728459</v>
      </c>
      <c r="F21" s="152" t="n">
        <v>101.9631825649187</v>
      </c>
      <c r="G21" s="72" t="n">
        <v>934500</v>
      </c>
      <c r="H21" s="151" t="n">
        <v>0.4903849046026919</v>
      </c>
      <c r="I21" s="152" t="n">
        <v>125.2188046204882</v>
      </c>
      <c r="J21" s="72" t="n">
        <v>934500</v>
      </c>
    </row>
    <row r="22">
      <c r="A22" t="inlineStr">
        <is>
          <t>Year 17</t>
        </is>
      </c>
      <c r="B22" s="153" t="n">
        <v>0.2795119549344172</v>
      </c>
      <c r="C22" s="152" t="n">
        <v>84.78268421852718</v>
      </c>
      <c r="D22" s="72" t="n">
        <v>1054500</v>
      </c>
      <c r="E22" s="151" t="n">
        <v>0.3922093028253917</v>
      </c>
      <c r="F22" s="152" t="n">
        <v>118.9664945702091</v>
      </c>
      <c r="G22" s="72" t="n">
        <v>1054500</v>
      </c>
      <c r="H22" s="151" t="n">
        <v>0.4900443151558019</v>
      </c>
      <c r="I22" s="152" t="n">
        <v>148.6422018503185</v>
      </c>
      <c r="J22" s="72" t="n">
        <v>1054500</v>
      </c>
    </row>
    <row r="23">
      <c r="A23" t="inlineStr">
        <is>
          <t>Year 18</t>
        </is>
      </c>
      <c r="B23" s="153" t="n">
        <v>0.2669513933103709</v>
      </c>
      <c r="C23" s="152" t="n">
        <v>95.31766449540102</v>
      </c>
      <c r="D23" s="72" t="n">
        <v>1174500</v>
      </c>
      <c r="E23" s="151" t="n">
        <v>0.3847361496499012</v>
      </c>
      <c r="F23" s="152" t="n">
        <v>137.3738895939937</v>
      </c>
      <c r="G23" s="72" t="n">
        <v>1174500</v>
      </c>
      <c r="H23" s="151" t="n">
        <v>0.4896755595966439</v>
      </c>
      <c r="I23" s="152" t="n">
        <v>174.8435553095777</v>
      </c>
      <c r="J23" s="72" t="n">
        <v>1174500</v>
      </c>
    </row>
    <row r="24">
      <c r="A24" t="inlineStr">
        <is>
          <t>Year 19</t>
        </is>
      </c>
      <c r="B24" s="153" t="n">
        <v>0.2538477628614774</v>
      </c>
      <c r="C24" s="152" t="n">
        <v>105.7418087065256</v>
      </c>
      <c r="D24" s="72" t="n">
        <v>1294500</v>
      </c>
      <c r="E24" s="151" t="n">
        <v>0.3767965455335018</v>
      </c>
      <c r="F24" s="152" t="n">
        <v>156.9568618212534</v>
      </c>
      <c r="G24" s="72" t="n">
        <v>1294500</v>
      </c>
      <c r="H24" s="151" t="n">
        <v>0.4892737670180922</v>
      </c>
      <c r="I24" s="152" t="n">
        <v>203.8099232939884</v>
      </c>
      <c r="J24" s="72" t="n">
        <v>1294500</v>
      </c>
    </row>
    <row r="25">
      <c r="A25" t="inlineStr">
        <is>
          <t>Year 20  ← Phase 2 Entry</t>
        </is>
      </c>
      <c r="B25" s="154" t="n">
        <v>0.2401322388997037</v>
      </c>
      <c r="C25" s="152" t="n">
        <v>115.698594288744</v>
      </c>
      <c r="D25" s="72" t="n">
        <v>1414500</v>
      </c>
      <c r="E25" s="151" t="n">
        <v>0.3683292861434795</v>
      </c>
      <c r="F25" s="152" t="n">
        <v>177.4654700153621</v>
      </c>
      <c r="G25" s="72" t="n">
        <v>1414500</v>
      </c>
      <c r="H25" s="151" t="n">
        <v>0.4888353191021359</v>
      </c>
      <c r="I25" s="152" t="n">
        <v>235.5267227672383</v>
      </c>
      <c r="J25" s="72" t="n">
        <v>1414500</v>
      </c>
    </row>
    <row r="26">
      <c r="A26" s="119" t="inlineStr">
        <is>
          <t>── PHASE 2 (G frozen) ──</t>
        </is>
      </c>
    </row>
    <row r="27">
      <c r="A27" t="inlineStr">
        <is>
          <t>P2 Year 1</t>
        </is>
      </c>
      <c r="B27" s="154" t="n">
        <v>0.2499155968172611</v>
      </c>
      <c r="C27" s="152" t="n">
        <v>120.4123335337182</v>
      </c>
      <c r="D27" s="94" t="inlineStr">
        <is>
          <t>(frozen)</t>
        </is>
      </c>
      <c r="E27" s="151" t="n">
        <v>0.4028811137979672</v>
      </c>
      <c r="F27" s="152" t="n">
        <v>194.1129552012262</v>
      </c>
      <c r="G27" s="94" t="inlineStr">
        <is>
          <t>(frozen)</t>
        </is>
      </c>
      <c r="H27" s="151" t="n">
        <v>0.5508318731768354</v>
      </c>
      <c r="I27" s="152" t="n">
        <v>265.3974064790774</v>
      </c>
      <c r="J27" s="94" t="inlineStr">
        <is>
          <t>(frozen)</t>
        </is>
      </c>
    </row>
    <row r="28">
      <c r="A28" t="inlineStr">
        <is>
          <t>P2 Year 2</t>
        </is>
      </c>
      <c r="B28" s="153" t="n">
        <v>0.2600975438313164</v>
      </c>
      <c r="C28" s="152" t="n">
        <v>125.3181177884542</v>
      </c>
      <c r="D28" s="94" t="inlineStr">
        <is>
          <t>(frozen)</t>
        </is>
      </c>
      <c r="E28" s="151" t="n">
        <v>0.4406741412135847</v>
      </c>
      <c r="F28" s="152" t="n">
        <v>212.3220893263997</v>
      </c>
      <c r="G28" s="94" t="inlineStr">
        <is>
          <t>(frozen)</t>
        </is>
      </c>
      <c r="H28" s="151" t="n">
        <v>0.6206911420901369</v>
      </c>
      <c r="I28" s="152" t="n">
        <v>299.056440552733</v>
      </c>
      <c r="J28" s="94" t="inlineStr">
        <is>
          <t>(frozen)</t>
        </is>
      </c>
    </row>
    <row r="29">
      <c r="A29" t="inlineStr">
        <is>
          <t>P2 Year 3</t>
        </is>
      </c>
      <c r="B29" s="153" t="n">
        <v>0.2706943190766519</v>
      </c>
      <c r="C29" s="152" t="n">
        <v>130.4237712629598</v>
      </c>
      <c r="D29" s="94" t="inlineStr">
        <is>
          <t>(frozen)</t>
        </is>
      </c>
      <c r="E29" s="151" t="n">
        <v>0.4820124152846557</v>
      </c>
      <c r="F29" s="152" t="n">
        <v>232.2393658331305</v>
      </c>
      <c r="G29" s="94" t="inlineStr">
        <is>
          <t>(frozen)</t>
        </is>
      </c>
      <c r="H29" s="151" t="n">
        <v>0.6994103148883652</v>
      </c>
      <c r="I29" s="152" t="n">
        <v>336.984282636993</v>
      </c>
      <c r="J29" s="94" t="inlineStr">
        <is>
          <t>(frozen)</t>
        </is>
      </c>
    </row>
    <row r="30">
      <c r="A30" t="inlineStr">
        <is>
          <t>P2 Year 4</t>
        </is>
      </c>
      <c r="B30" s="153" t="n">
        <v>0.2817228232954566</v>
      </c>
      <c r="C30" s="152" t="n">
        <v>135.7374369376305</v>
      </c>
      <c r="D30" s="94" t="inlineStr">
        <is>
          <t>(frozen)</t>
        </is>
      </c>
      <c r="E30" s="151" t="n">
        <v>0.5272285046014068</v>
      </c>
      <c r="F30" s="152" t="n">
        <v>254.025020259013</v>
      </c>
      <c r="G30" s="94" t="inlineStr">
        <is>
          <t>(frozen)</t>
        </is>
      </c>
      <c r="H30" s="151" t="n">
        <v>0.7881130491486928</v>
      </c>
      <c r="I30" s="152" t="n">
        <v>379.72232443643</v>
      </c>
      <c r="J30" s="94" t="inlineStr">
        <is>
          <t>(frozen)</t>
        </is>
      </c>
    </row>
    <row r="31">
      <c r="A31" t="inlineStr">
        <is>
          <t>P2 Year 5</t>
        </is>
      </c>
      <c r="B31" s="153" t="n">
        <v>0.2932006457922327</v>
      </c>
      <c r="C31" s="152" t="n">
        <v>141.2675895504472</v>
      </c>
      <c r="D31" s="94" t="inlineStr">
        <is>
          <t>(frozen)</t>
        </is>
      </c>
      <c r="E31" s="151" t="n">
        <v>0.5766861749817762</v>
      </c>
      <c r="F31" s="152" t="n">
        <v>277.8543193403196</v>
      </c>
      <c r="G31" s="94" t="inlineStr">
        <is>
          <t>(frozen)</t>
        </is>
      </c>
      <c r="H31" s="151" t="n">
        <v>0.8880655103543743</v>
      </c>
      <c r="I31" s="152" t="n">
        <v>427.8806196748618</v>
      </c>
      <c r="J31" s="94" t="inlineStr">
        <is>
          <t>(frozen)</t>
        </is>
      </c>
    </row>
    <row r="32">
      <c r="A32" t="inlineStr">
        <is>
          <t>P2 Year 6</t>
        </is>
      </c>
      <c r="B32" s="153" t="n">
        <v>0.3051460924868871</v>
      </c>
      <c r="C32" s="152" t="n">
        <v>147.023049113292</v>
      </c>
      <c r="D32" s="94" t="inlineStr">
        <is>
          <t>(frozen)</t>
        </is>
      </c>
      <c r="E32" s="151" t="n">
        <v>0.6307833159865625</v>
      </c>
      <c r="F32" s="152" t="n">
        <v>303.9189710421176</v>
      </c>
      <c r="G32" s="94" t="inlineStr">
        <is>
          <t>(frozen)</t>
        </is>
      </c>
      <c r="H32" s="151" t="n">
        <v>1.000694445464231</v>
      </c>
      <c r="I32" s="152" t="n">
        <v>482.1465921580121</v>
      </c>
      <c r="J32" s="94" t="inlineStr">
        <is>
          <t>(frozen)</t>
        </is>
      </c>
    </row>
    <row r="33">
      <c r="A33" t="inlineStr">
        <is>
          <t>P2 Year 7</t>
        </is>
      </c>
      <c r="B33" s="153" t="n">
        <v>0.3175782151107478</v>
      </c>
      <c r="C33" s="152" t="n">
        <v>153.0129949789396</v>
      </c>
      <c r="D33" s="94" t="inlineStr">
        <is>
          <t>(frozen)</t>
        </is>
      </c>
      <c r="E33" s="151" t="n">
        <v>0.6899551419618773</v>
      </c>
      <c r="F33" s="152" t="n">
        <v>332.428666858936</v>
      </c>
      <c r="G33" s="94" t="inlineStr">
        <is>
          <t>(frozen)</t>
        </is>
      </c>
      <c r="H33" s="151" t="n">
        <v>1.127607548663127</v>
      </c>
      <c r="I33" s="152" t="n">
        <v>543.2948482364786</v>
      </c>
      <c r="J33" s="94" t="inlineStr">
        <is>
          <t>(frozen)</t>
        </is>
      </c>
    </row>
    <row r="34">
      <c r="A34" t="inlineStr">
        <is>
          <t>P2 Year 8  ← Phase 3 Entry</t>
        </is>
      </c>
      <c r="B34" s="153" t="n">
        <v>0.3305168415920725</v>
      </c>
      <c r="C34" s="152" t="n">
        <v>159.2469804811596</v>
      </c>
      <c r="D34" s="94" t="inlineStr">
        <is>
          <t>(frozen)</t>
        </is>
      </c>
      <c r="E34" s="151" t="n">
        <v>0.7546776933614636</v>
      </c>
      <c r="F34" s="152" t="n">
        <v>363.6127687938736</v>
      </c>
      <c r="G34" s="94" t="inlineStr">
        <is>
          <t>(frozen)</t>
        </is>
      </c>
      <c r="H34" s="151" t="n">
        <v>1.270616409999365</v>
      </c>
      <c r="I34" s="152" t="n">
        <v>612.1982337346141</v>
      </c>
      <c r="J34" s="94" t="inlineStr">
        <is>
          <t>(frozen)</t>
        </is>
      </c>
    </row>
    <row r="35">
      <c r="A35" s="118" t="inlineStr">
        <is>
          <t>Final L entering Phase 3:   4%/4% = 33.1%   |   9%/9% = 75.5%   |   12%/12% = 127.1%</t>
        </is>
      </c>
    </row>
  </sheetData>
  <mergeCells count="7">
    <mergeCell ref="B3:D3"/>
    <mergeCell ref="A35:K35"/>
    <mergeCell ref="A26:K26"/>
    <mergeCell ref="A2:K2"/>
    <mergeCell ref="E3:G3"/>
    <mergeCell ref="H3:J3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2E75B6"/>
    <outlinePr summaryBelow="1" summaryRight="1"/>
    <pageSetUpPr/>
  </sheetPr>
  <dimension ref="A1:H347"/>
  <sheetViews>
    <sheetView topLeftCell="A316" workbookViewId="0">
      <selection activeCell="H338" sqref="H338"/>
    </sheetView>
  </sheetViews>
  <sheetFormatPr baseColWidth="8" defaultRowHeight="15"/>
  <cols>
    <col width="8" customWidth="1" style="103" min="1" max="2"/>
    <col width="10" customWidth="1" style="103" min="3" max="3"/>
    <col width="22" customWidth="1" style="103" min="4" max="5"/>
    <col width="20" customWidth="1" style="103" min="6" max="7"/>
    <col width="12" customWidth="1" style="103" min="8" max="8"/>
  </cols>
  <sheetData>
    <row r="1" ht="20.1" customHeight="1" s="103">
      <c r="A1" s="124" t="inlineStr">
        <is>
          <t>9% Interest — Monthly Detail (Phase 1: 20yr + Phase 2: 8yr)</t>
        </is>
      </c>
    </row>
    <row r="2">
      <c r="A2" s="95" t="inlineStr">
        <is>
          <t>Month</t>
        </is>
      </c>
      <c r="B2" s="95" t="inlineStr">
        <is>
          <t>Year</t>
        </is>
      </c>
      <c r="C2" s="95" t="inlineStr">
        <is>
          <t>Phase</t>
        </is>
      </c>
      <c r="D2" s="95" t="inlineStr">
        <is>
          <t>G (Total Credits)</t>
        </is>
      </c>
      <c r="E2" s="95" t="inlineStr">
        <is>
          <t>F (Monthly Minting)</t>
        </is>
      </c>
      <c r="F2" s="95" t="inlineStr">
        <is>
          <t>Interest Earned ($)</t>
        </is>
      </c>
      <c r="G2" s="95" t="inlineStr">
        <is>
          <t>J (Escrow $)</t>
        </is>
      </c>
      <c r="H2" s="95" t="inlineStr">
        <is>
          <t>L</t>
        </is>
      </c>
    </row>
    <row r="3">
      <c r="A3" t="n">
        <v>1</v>
      </c>
      <c r="B3" t="n">
        <v>0.08</v>
      </c>
      <c r="C3" t="inlineStr">
        <is>
          <t>Phase 1</t>
        </is>
      </c>
      <c r="D3" s="72" t="n">
        <v>5000000</v>
      </c>
      <c r="E3" s="72" t="n">
        <v>5000000</v>
      </c>
      <c r="F3" s="96" t="n">
        <v>0</v>
      </c>
      <c r="G3" s="96" t="n">
        <v>4500000</v>
      </c>
      <c r="H3" s="151" t="n">
        <v>0.45</v>
      </c>
    </row>
    <row r="4">
      <c r="A4" t="n">
        <v>2</v>
      </c>
      <c r="B4" t="n">
        <v>0.17</v>
      </c>
      <c r="C4" t="inlineStr">
        <is>
          <t>Phase 1</t>
        </is>
      </c>
      <c r="D4" s="72" t="n">
        <v>11000000</v>
      </c>
      <c r="E4" s="72" t="n">
        <v>6000000</v>
      </c>
      <c r="F4" s="96" t="n">
        <v>33750</v>
      </c>
      <c r="G4" s="96" t="n">
        <v>9933750</v>
      </c>
      <c r="H4" s="151" t="n">
        <v>0.4515340909090909</v>
      </c>
    </row>
    <row r="5">
      <c r="A5" t="n">
        <v>3</v>
      </c>
      <c r="B5" t="n">
        <v>0.25</v>
      </c>
      <c r="C5" t="inlineStr">
        <is>
          <t>Phase 1</t>
        </is>
      </c>
      <c r="D5" s="72" t="n">
        <v>18000000</v>
      </c>
      <c r="E5" s="72" t="n">
        <v>7000000</v>
      </c>
      <c r="F5" s="96" t="n">
        <v>74503.125</v>
      </c>
      <c r="G5" s="96" t="n">
        <v>16308253.125</v>
      </c>
      <c r="H5" s="151" t="n">
        <v>0.45300703125</v>
      </c>
    </row>
    <row r="6">
      <c r="A6" t="n">
        <v>4</v>
      </c>
      <c r="B6" t="n">
        <v>0.33</v>
      </c>
      <c r="C6" t="inlineStr">
        <is>
          <t>Phase 1</t>
        </is>
      </c>
      <c r="D6" s="72" t="n">
        <v>26000000</v>
      </c>
      <c r="E6" s="72" t="n">
        <v>8000000</v>
      </c>
      <c r="F6" s="96" t="n">
        <v>122311.8984375</v>
      </c>
      <c r="G6" s="96" t="n">
        <v>23630565.0234375</v>
      </c>
      <c r="H6" s="151" t="n">
        <v>0.4544339427584135</v>
      </c>
    </row>
    <row r="7">
      <c r="A7" t="n">
        <v>5</v>
      </c>
      <c r="B7" t="n">
        <v>0.42</v>
      </c>
      <c r="C7" t="inlineStr">
        <is>
          <t>Phase 1</t>
        </is>
      </c>
      <c r="D7" s="72" t="n">
        <v>35000000</v>
      </c>
      <c r="E7" s="72" t="n">
        <v>9000000</v>
      </c>
      <c r="F7" s="96" t="n">
        <v>177229.2376757812</v>
      </c>
      <c r="G7" s="96" t="n">
        <v>31907794.26111328</v>
      </c>
      <c r="H7" s="151" t="n">
        <v>0.4558256323016183</v>
      </c>
    </row>
    <row r="8">
      <c r="A8" t="n">
        <v>6</v>
      </c>
      <c r="B8" t="n">
        <v>0.5</v>
      </c>
      <c r="C8" t="inlineStr">
        <is>
          <t>Phase 1</t>
        </is>
      </c>
      <c r="D8" s="72" t="n">
        <v>45000000</v>
      </c>
      <c r="E8" s="72" t="n">
        <v>10000000</v>
      </c>
      <c r="F8" s="96" t="n">
        <v>239308.4569583496</v>
      </c>
      <c r="G8" s="96" t="n">
        <v>41147102.71807163</v>
      </c>
      <c r="H8" s="151" t="n">
        <v>0.4571900302007959</v>
      </c>
    </row>
    <row r="9">
      <c r="A9" t="n">
        <v>7</v>
      </c>
      <c r="B9" t="n">
        <v>0.58</v>
      </c>
      <c r="C9" t="inlineStr">
        <is>
          <t>Phase 1</t>
        </is>
      </c>
      <c r="D9" s="72" t="n">
        <v>56000000</v>
      </c>
      <c r="E9" s="72" t="n">
        <v>11000000</v>
      </c>
      <c r="F9" s="96" t="n">
        <v>308603.2703855372</v>
      </c>
      <c r="G9" s="96" t="n">
        <v>51355705.98845717</v>
      </c>
      <c r="H9" s="151" t="n">
        <v>0.4585330891826533</v>
      </c>
    </row>
    <row r="10">
      <c r="A10" t="n">
        <v>8</v>
      </c>
      <c r="B10" t="n">
        <v>0.67</v>
      </c>
      <c r="C10" t="inlineStr">
        <is>
          <t>Phase 1</t>
        </is>
      </c>
      <c r="D10" s="72" t="n">
        <v>68000000</v>
      </c>
      <c r="E10" s="72" t="n">
        <v>12000000</v>
      </c>
      <c r="F10" s="96" t="n">
        <v>385167.7949134287</v>
      </c>
      <c r="G10" s="96" t="n">
        <v>62540873.78337059</v>
      </c>
      <c r="H10" s="151" t="n">
        <v>0.4598593660541955</v>
      </c>
    </row>
    <row r="11">
      <c r="A11" t="n">
        <v>9</v>
      </c>
      <c r="B11" t="n">
        <v>0.75</v>
      </c>
      <c r="C11" t="inlineStr">
        <is>
          <t>Phase 1</t>
        </is>
      </c>
      <c r="D11" s="72" t="n">
        <v>81000000</v>
      </c>
      <c r="E11" s="72" t="n">
        <v>13000000</v>
      </c>
      <c r="F11" s="96" t="n">
        <v>469056.5533752794</v>
      </c>
      <c r="G11" s="96" t="n">
        <v>74709930.33674586</v>
      </c>
      <c r="H11" s="151" t="n">
        <v>0.4611724094860856</v>
      </c>
    </row>
    <row r="12">
      <c r="A12" t="n">
        <v>10</v>
      </c>
      <c r="B12" t="n">
        <v>0.83</v>
      </c>
      <c r="C12" t="inlineStr">
        <is>
          <t>Phase 1</t>
        </is>
      </c>
      <c r="D12" s="72" t="n">
        <v>95000000</v>
      </c>
      <c r="E12" s="72" t="n">
        <v>14000000</v>
      </c>
      <c r="F12" s="96" t="n">
        <v>560324.4775255939</v>
      </c>
      <c r="G12" s="96" t="n">
        <v>87870254.81427145</v>
      </c>
      <c r="H12" s="151" t="n">
        <v>0.4624750253382708</v>
      </c>
    </row>
    <row r="13">
      <c r="A13" t="n">
        <v>11</v>
      </c>
      <c r="B13" t="n">
        <v>0.92</v>
      </c>
      <c r="C13" t="inlineStr">
        <is>
          <t>Phase 1</t>
        </is>
      </c>
      <c r="D13" s="72" t="n">
        <v>110000000</v>
      </c>
      <c r="E13" s="72" t="n">
        <v>15000000</v>
      </c>
      <c r="F13" s="96" t="n">
        <v>659026.9111070358</v>
      </c>
      <c r="G13" s="96" t="n">
        <v>102029281.7253785</v>
      </c>
      <c r="H13" s="151" t="n">
        <v>0.463769462388084</v>
      </c>
    </row>
    <row r="14">
      <c r="A14" t="n">
        <v>12</v>
      </c>
      <c r="B14" t="n">
        <v>1</v>
      </c>
      <c r="C14" t="inlineStr">
        <is>
          <t>Phase 1</t>
        </is>
      </c>
      <c r="D14" s="72" t="n">
        <v>126000000</v>
      </c>
      <c r="E14" s="72" t="n">
        <v>16000000</v>
      </c>
      <c r="F14" s="96" t="n">
        <v>765219.6129403386</v>
      </c>
      <c r="G14" s="96" t="n">
        <v>117194501.3383188</v>
      </c>
      <c r="H14" s="151" t="n">
        <v>0.4650575449933287</v>
      </c>
    </row>
    <row r="15">
      <c r="A15" t="n">
        <v>13</v>
      </c>
      <c r="B15" t="n">
        <v>1.08</v>
      </c>
      <c r="C15" t="inlineStr">
        <is>
          <t>Phase 1</t>
        </is>
      </c>
      <c r="D15" s="72" t="n">
        <v>143000000</v>
      </c>
      <c r="E15" s="72" t="n">
        <v>17000000</v>
      </c>
      <c r="F15" s="96" t="n">
        <v>878958.7600373911</v>
      </c>
      <c r="G15" s="96" t="n">
        <v>133373460.0983562</v>
      </c>
      <c r="H15" s="151" t="n">
        <v>0.4663407695746721</v>
      </c>
    </row>
    <row r="16">
      <c r="A16" t="n">
        <v>14</v>
      </c>
      <c r="B16" t="n">
        <v>1.17</v>
      </c>
      <c r="C16" t="inlineStr">
        <is>
          <t>Phase 1</t>
        </is>
      </c>
      <c r="D16" s="72" t="n">
        <v>165000000</v>
      </c>
      <c r="E16" s="72" t="n">
        <v>22000000</v>
      </c>
      <c r="F16" s="96" t="n">
        <v>1000300.950737672</v>
      </c>
      <c r="G16" s="96" t="n">
        <v>154173761.0490939</v>
      </c>
      <c r="H16" s="151" t="n">
        <v>0.4671932153002846</v>
      </c>
    </row>
    <row r="17">
      <c r="A17" t="n">
        <v>15</v>
      </c>
      <c r="B17" t="n">
        <v>1.25</v>
      </c>
      <c r="C17" t="inlineStr">
        <is>
          <t>Phase 1</t>
        </is>
      </c>
      <c r="D17" s="72" t="n">
        <v>192000000</v>
      </c>
      <c r="E17" s="72" t="n">
        <v>27000000</v>
      </c>
      <c r="F17" s="96" t="n">
        <v>1156303.207868204</v>
      </c>
      <c r="G17" s="96" t="n">
        <v>179630064.2569621</v>
      </c>
      <c r="H17" s="151" t="n">
        <v>0.4677866256691722</v>
      </c>
    </row>
    <row r="18">
      <c r="A18" t="n">
        <v>16</v>
      </c>
      <c r="B18" t="n">
        <v>1.33</v>
      </c>
      <c r="C18" t="inlineStr">
        <is>
          <t>Phase 1</t>
        </is>
      </c>
      <c r="D18" s="72" t="n">
        <v>224000000</v>
      </c>
      <c r="E18" s="72" t="n">
        <v>32000000</v>
      </c>
      <c r="F18" s="96" t="n">
        <v>1347225.481927216</v>
      </c>
      <c r="G18" s="96" t="n">
        <v>209777289.7388893</v>
      </c>
      <c r="H18" s="151" t="n">
        <v>0.4682528788814494</v>
      </c>
    </row>
    <row r="19">
      <c r="A19" t="n">
        <v>17</v>
      </c>
      <c r="B19" t="n">
        <v>1.42</v>
      </c>
      <c r="C19" t="inlineStr">
        <is>
          <t>Phase 1</t>
        </is>
      </c>
      <c r="D19" s="72" t="n">
        <v>261000000</v>
      </c>
      <c r="E19" s="72" t="n">
        <v>37000000</v>
      </c>
      <c r="F19" s="96" t="n">
        <v>1573329.67304167</v>
      </c>
      <c r="G19" s="96" t="n">
        <v>244650619.411931</v>
      </c>
      <c r="H19" s="151" t="n">
        <v>0.4686793475324349</v>
      </c>
    </row>
    <row r="20">
      <c r="A20" t="n">
        <v>18</v>
      </c>
      <c r="B20" t="n">
        <v>1.5</v>
      </c>
      <c r="C20" t="inlineStr">
        <is>
          <t>Phase 1</t>
        </is>
      </c>
      <c r="D20" s="72" t="n">
        <v>303000000</v>
      </c>
      <c r="E20" s="72" t="n">
        <v>42000000</v>
      </c>
      <c r="F20" s="96" t="n">
        <v>1834879.645589483</v>
      </c>
      <c r="G20" s="96" t="n">
        <v>284285499.0575205</v>
      </c>
      <c r="H20" s="151" t="n">
        <v>0.4691179852434332</v>
      </c>
    </row>
    <row r="21">
      <c r="A21" t="n">
        <v>19</v>
      </c>
      <c r="B21" t="n">
        <v>1.58</v>
      </c>
      <c r="C21" t="inlineStr">
        <is>
          <t>Phase 1</t>
        </is>
      </c>
      <c r="D21" s="72" t="n">
        <v>350000000</v>
      </c>
      <c r="E21" s="72" t="n">
        <v>47000000</v>
      </c>
      <c r="F21" s="96" t="n">
        <v>2132141.242931404</v>
      </c>
      <c r="G21" s="96" t="n">
        <v>328717640.3004519</v>
      </c>
      <c r="H21" s="151" t="n">
        <v>0.4695966290006456</v>
      </c>
    </row>
    <row r="22">
      <c r="A22" t="n">
        <v>20</v>
      </c>
      <c r="B22" t="n">
        <v>1.67</v>
      </c>
      <c r="C22" t="inlineStr">
        <is>
          <t>Phase 1</t>
        </is>
      </c>
      <c r="D22" s="72" t="n">
        <v>402000000</v>
      </c>
      <c r="E22" s="72" t="n">
        <v>52000000</v>
      </c>
      <c r="F22" s="96" t="n">
        <v>2465382.302253389</v>
      </c>
      <c r="G22" s="96" t="n">
        <v>377983022.6027053</v>
      </c>
      <c r="H22" s="151" t="n">
        <v>0.4701281375655539</v>
      </c>
    </row>
    <row r="23">
      <c r="A23" t="n">
        <v>21</v>
      </c>
      <c r="B23" t="n">
        <v>1.75</v>
      </c>
      <c r="C23" t="inlineStr">
        <is>
          <t>Phase 1</t>
        </is>
      </c>
      <c r="D23" s="72" t="n">
        <v>459000000</v>
      </c>
      <c r="E23" s="72" t="n">
        <v>57000000</v>
      </c>
      <c r="F23" s="96" t="n">
        <v>2834872.66952029</v>
      </c>
      <c r="G23" s="96" t="n">
        <v>432117895.2722256</v>
      </c>
      <c r="H23" s="151" t="n">
        <v>0.4707166615165856</v>
      </c>
    </row>
    <row r="24">
      <c r="A24" t="n">
        <v>22</v>
      </c>
      <c r="B24" t="n">
        <v>1.83</v>
      </c>
      <c r="C24" t="inlineStr">
        <is>
          <t>Phase 1</t>
        </is>
      </c>
      <c r="D24" s="72" t="n">
        <v>521000000</v>
      </c>
      <c r="E24" s="72" t="n">
        <v>62000000</v>
      </c>
      <c r="F24" s="96" t="n">
        <v>3240884.214541692</v>
      </c>
      <c r="G24" s="96" t="n">
        <v>491158779.4867673</v>
      </c>
      <c r="H24" s="151" t="n">
        <v>0.4713615925976654</v>
      </c>
    </row>
    <row r="25">
      <c r="A25" t="n">
        <v>23</v>
      </c>
      <c r="B25" t="n">
        <v>1.92</v>
      </c>
      <c r="C25" t="inlineStr">
        <is>
          <t>Phase 1</t>
        </is>
      </c>
      <c r="D25" s="72" t="n">
        <v>588000000</v>
      </c>
      <c r="E25" s="72" t="n">
        <v>67000000</v>
      </c>
      <c r="F25" s="96" t="n">
        <v>3683690.846150754</v>
      </c>
      <c r="G25" s="96" t="n">
        <v>555142470.332918</v>
      </c>
      <c r="H25" s="151" t="n">
        <v>0.4720599237524813</v>
      </c>
    </row>
    <row r="26">
      <c r="A26" t="n">
        <v>24</v>
      </c>
      <c r="B26" t="n">
        <v>2</v>
      </c>
      <c r="C26" t="inlineStr">
        <is>
          <t>Phase 1</t>
        </is>
      </c>
      <c r="D26" s="72" t="n">
        <v>660000000</v>
      </c>
      <c r="E26" s="72" t="n">
        <v>72000000</v>
      </c>
      <c r="F26" s="96" t="n">
        <v>4163568.527496885</v>
      </c>
      <c r="G26" s="96" t="n">
        <v>624106038.860415</v>
      </c>
      <c r="H26" s="151" t="n">
        <v>0.4728076051972841</v>
      </c>
    </row>
    <row r="27">
      <c r="A27" t="n">
        <v>25</v>
      </c>
      <c r="B27" t="n">
        <v>2.08</v>
      </c>
      <c r="C27" t="inlineStr">
        <is>
          <t>Phase 1</t>
        </is>
      </c>
      <c r="D27" s="72" t="n">
        <v>737000000</v>
      </c>
      <c r="E27" s="72" t="n">
        <v>77000000</v>
      </c>
      <c r="F27" s="96" t="n">
        <v>4680795.291453112</v>
      </c>
      <c r="G27" s="96" t="n">
        <v>698086834.1518681</v>
      </c>
      <c r="H27" s="151" t="n">
        <v>0.4736002945399377</v>
      </c>
    </row>
    <row r="28">
      <c r="A28" t="n">
        <v>26</v>
      </c>
      <c r="B28" t="n">
        <v>2.17</v>
      </c>
      <c r="C28" t="inlineStr">
        <is>
          <t>Phase 1</t>
        </is>
      </c>
      <c r="D28" s="72" t="n">
        <v>819000000</v>
      </c>
      <c r="E28" s="72" t="n">
        <v>82000000</v>
      </c>
      <c r="F28" s="96" t="n">
        <v>5235651.25613901</v>
      </c>
      <c r="G28" s="96" t="n">
        <v>777122485.4080071</v>
      </c>
      <c r="H28" s="151" t="n">
        <v>0.4744337517753401</v>
      </c>
    </row>
    <row r="29">
      <c r="A29" t="n">
        <v>27</v>
      </c>
      <c r="B29" t="n">
        <v>2.25</v>
      </c>
      <c r="C29" t="inlineStr">
        <is>
          <t>Phase 1</t>
        </is>
      </c>
      <c r="D29" s="72" t="n">
        <v>906000000</v>
      </c>
      <c r="E29" s="72" t="n">
        <v>87000000</v>
      </c>
      <c r="F29" s="96" t="n">
        <v>5828418.640560053</v>
      </c>
      <c r="G29" s="96" t="n">
        <v>860890904.0485672</v>
      </c>
      <c r="H29" s="151" t="n">
        <v>0.4751053554351916</v>
      </c>
    </row>
    <row r="30">
      <c r="A30" t="n">
        <v>28</v>
      </c>
      <c r="B30" t="n">
        <v>2.33</v>
      </c>
      <c r="C30" t="inlineStr">
        <is>
          <t>Phase 1</t>
        </is>
      </c>
      <c r="D30" s="72" t="n">
        <v>998000000</v>
      </c>
      <c r="E30" s="72" t="n">
        <v>92000000</v>
      </c>
      <c r="F30" s="96" t="n">
        <v>6456681.780364254</v>
      </c>
      <c r="G30" s="96" t="n">
        <v>949367585.8289315</v>
      </c>
      <c r="H30" s="151" t="n">
        <v>0.4756350630405468</v>
      </c>
    </row>
    <row r="31">
      <c r="A31" t="n">
        <v>29</v>
      </c>
      <c r="B31" t="n">
        <v>2.42</v>
      </c>
      <c r="C31" t="inlineStr">
        <is>
          <t>Phase 1</t>
        </is>
      </c>
      <c r="D31" s="72" t="n">
        <v>1095000000</v>
      </c>
      <c r="E31" s="72" t="n">
        <v>97000000</v>
      </c>
      <c r="F31" s="96" t="n">
        <v>7120256.893716985</v>
      </c>
      <c r="G31" s="96" t="n">
        <v>1042537842.722648</v>
      </c>
      <c r="H31" s="151" t="n">
        <v>0.4760446770423052</v>
      </c>
    </row>
    <row r="32">
      <c r="A32" t="n">
        <v>30</v>
      </c>
      <c r="B32" t="n">
        <v>2.5</v>
      </c>
      <c r="C32" t="inlineStr">
        <is>
          <t>Phase 1</t>
        </is>
      </c>
      <c r="D32" s="72" t="n">
        <v>1197000000</v>
      </c>
      <c r="E32" s="72" t="n">
        <v>102000000</v>
      </c>
      <c r="F32" s="96" t="n">
        <v>7819033.820419863</v>
      </c>
      <c r="G32" s="96" t="n">
        <v>1140386876.543068</v>
      </c>
      <c r="H32" s="151" t="n">
        <v>0.476352078756503</v>
      </c>
    </row>
    <row r="33">
      <c r="A33" t="n">
        <v>31</v>
      </c>
      <c r="B33" t="n">
        <v>2.58</v>
      </c>
      <c r="C33" t="inlineStr">
        <is>
          <t>Phase 1</t>
        </is>
      </c>
      <c r="D33" s="72" t="n">
        <v>1304000000</v>
      </c>
      <c r="E33" s="72" t="n">
        <v>107000000</v>
      </c>
      <c r="F33" s="96" t="n">
        <v>8552901.574073011</v>
      </c>
      <c r="G33" s="96" t="n">
        <v>1242899778.117141</v>
      </c>
      <c r="H33" s="151" t="n">
        <v>0.4765720008117873</v>
      </c>
    </row>
    <row r="34">
      <c r="A34" t="n">
        <v>32</v>
      </c>
      <c r="B34" t="n">
        <v>2.67</v>
      </c>
      <c r="C34" t="inlineStr">
        <is>
          <t>Phase 1</t>
        </is>
      </c>
      <c r="D34" s="72" t="n">
        <v>1416000000</v>
      </c>
      <c r="E34" s="72" t="n">
        <v>112000000</v>
      </c>
      <c r="F34" s="96" t="n">
        <v>9321748.335878558</v>
      </c>
      <c r="G34" s="96" t="n">
        <v>1350061526.45302</v>
      </c>
      <c r="H34" s="151" t="n">
        <v>0.4767166406966878</v>
      </c>
    </row>
    <row r="35">
      <c r="A35" t="n">
        <v>33</v>
      </c>
      <c r="B35" t="n">
        <v>2.75</v>
      </c>
      <c r="C35" t="inlineStr">
        <is>
          <t>Phase 1</t>
        </is>
      </c>
      <c r="D35" s="72" t="n">
        <v>1533000000</v>
      </c>
      <c r="E35" s="72" t="n">
        <v>117000000</v>
      </c>
      <c r="F35" s="96" t="n">
        <v>10125461.44839765</v>
      </c>
      <c r="G35" s="96" t="n">
        <v>1461856987.901417</v>
      </c>
      <c r="H35" s="151" t="n">
        <v>0.4767961473911995</v>
      </c>
    </row>
    <row r="36">
      <c r="A36" t="n">
        <v>34</v>
      </c>
      <c r="B36" t="n">
        <v>2.83</v>
      </c>
      <c r="C36" t="inlineStr">
        <is>
          <t>Phase 1</t>
        </is>
      </c>
      <c r="D36" s="72" t="n">
        <v>1655000000</v>
      </c>
      <c r="E36" s="72" t="n">
        <v>122000000</v>
      </c>
      <c r="F36" s="96" t="n">
        <v>10963927.40926063</v>
      </c>
      <c r="G36" s="96" t="n">
        <v>1578270915.310678</v>
      </c>
      <c r="H36" s="151" t="n">
        <v>0.4768190076467305</v>
      </c>
    </row>
    <row r="37">
      <c r="A37" t="n">
        <v>35</v>
      </c>
      <c r="B37" t="n">
        <v>2.92</v>
      </c>
      <c r="C37" t="inlineStr">
        <is>
          <t>Phase 1</t>
        </is>
      </c>
      <c r="D37" s="72" t="n">
        <v>1782000000</v>
      </c>
      <c r="E37" s="72" t="n">
        <v>127000000</v>
      </c>
      <c r="F37" s="96" t="n">
        <v>11837031.86483008</v>
      </c>
      <c r="G37" s="96" t="n">
        <v>1699287947.175508</v>
      </c>
      <c r="H37" s="151" t="n">
        <v>0.4767923533040146</v>
      </c>
    </row>
    <row r="38">
      <c r="A38" t="n">
        <v>36</v>
      </c>
      <c r="B38" t="n">
        <v>3</v>
      </c>
      <c r="C38" t="inlineStr">
        <is>
          <t>Phase 1</t>
        </is>
      </c>
      <c r="D38" s="72" t="n">
        <v>1914000000</v>
      </c>
      <c r="E38" s="72" t="n">
        <v>132000000</v>
      </c>
      <c r="F38" s="96" t="n">
        <v>12744659.60381631</v>
      </c>
      <c r="G38" s="96" t="n">
        <v>1824892606.779324</v>
      </c>
      <c r="H38" s="151" t="n">
        <v>0.4767222065776709</v>
      </c>
    </row>
    <row r="39">
      <c r="A39" t="n">
        <v>37</v>
      </c>
      <c r="B39" t="n">
        <v>3.08</v>
      </c>
      <c r="C39" t="inlineStr">
        <is>
          <t>Phase 1</t>
        </is>
      </c>
      <c r="D39" s="72" t="n">
        <v>2051000000</v>
      </c>
      <c r="E39" s="72" t="n">
        <v>137000000</v>
      </c>
      <c r="F39" s="96" t="n">
        <v>13686694.55084493</v>
      </c>
      <c r="G39" s="96" t="n">
        <v>1955069301.330169</v>
      </c>
      <c r="H39" s="151" t="n">
        <v>0.4766136765797584</v>
      </c>
    </row>
    <row r="40">
      <c r="A40" t="n">
        <v>38</v>
      </c>
      <c r="B40" t="n">
        <v>3.17</v>
      </c>
      <c r="C40" t="inlineStr">
        <is>
          <t>Phase 1</t>
        </is>
      </c>
      <c r="D40" s="72" t="n">
        <v>2193000000</v>
      </c>
      <c r="E40" s="72" t="n">
        <v>142000000</v>
      </c>
      <c r="F40" s="96" t="n">
        <v>14663019.75997627</v>
      </c>
      <c r="G40" s="96" t="n">
        <v>2089802321.090146</v>
      </c>
      <c r="H40" s="151" t="n">
        <v>0.4764711174396137</v>
      </c>
    </row>
    <row r="41">
      <c r="A41" t="n">
        <v>39</v>
      </c>
      <c r="B41" t="n">
        <v>3.25</v>
      </c>
      <c r="C41" t="inlineStr">
        <is>
          <t>Phase 1</t>
        </is>
      </c>
      <c r="D41" s="72" t="n">
        <v>2340000000</v>
      </c>
      <c r="E41" s="72" t="n">
        <v>147000000</v>
      </c>
      <c r="F41" s="96" t="n">
        <v>15673517.40817609</v>
      </c>
      <c r="G41" s="96" t="n">
        <v>2229075838.498322</v>
      </c>
      <c r="H41" s="151" t="n">
        <v>0.4762982560893849</v>
      </c>
    </row>
    <row r="42">
      <c r="A42" t="n">
        <v>40</v>
      </c>
      <c r="B42" t="n">
        <v>3.33</v>
      </c>
      <c r="C42" t="inlineStr">
        <is>
          <t>Phase 1</t>
        </is>
      </c>
      <c r="D42" s="72" t="n">
        <v>2492000000</v>
      </c>
      <c r="E42" s="72" t="n">
        <v>152000000</v>
      </c>
      <c r="F42" s="96" t="n">
        <v>16718068.78873741</v>
      </c>
      <c r="G42" s="96" t="n">
        <v>2372873907.287059</v>
      </c>
      <c r="H42" s="151" t="n">
        <v>0.4760982960046266</v>
      </c>
    </row>
    <row r="43">
      <c r="A43" t="n">
        <v>41</v>
      </c>
      <c r="B43" t="n">
        <v>3.42</v>
      </c>
      <c r="C43" t="inlineStr">
        <is>
          <t>Phase 1</t>
        </is>
      </c>
      <c r="D43" s="72" t="n">
        <v>2649000000</v>
      </c>
      <c r="E43" s="72" t="n">
        <v>157000000</v>
      </c>
      <c r="F43" s="96" t="n">
        <v>17796554.30465294</v>
      </c>
      <c r="G43" s="96" t="n">
        <v>2521180461.591712</v>
      </c>
      <c r="H43" s="151" t="n">
        <v>0.4758740018104402</v>
      </c>
    </row>
    <row r="44">
      <c r="A44" t="n">
        <v>42</v>
      </c>
      <c r="B44" t="n">
        <v>3.5</v>
      </c>
      <c r="C44" t="inlineStr">
        <is>
          <t>Phase 1</t>
        </is>
      </c>
      <c r="D44" s="72" t="n">
        <v>2811000000</v>
      </c>
      <c r="E44" s="72" t="n">
        <v>162000000</v>
      </c>
      <c r="F44" s="96" t="n">
        <v>18908853.46193784</v>
      </c>
      <c r="G44" s="96" t="n">
        <v>2673979315.05365</v>
      </c>
      <c r="H44" s="151" t="n">
        <v>0.475627768597234</v>
      </c>
    </row>
    <row r="45">
      <c r="A45" t="n">
        <v>43</v>
      </c>
      <c r="B45" t="n">
        <v>3.58</v>
      </c>
      <c r="C45" t="inlineStr">
        <is>
          <t>Phase 1</t>
        </is>
      </c>
      <c r="D45" s="72" t="n">
        <v>2978000000</v>
      </c>
      <c r="E45" s="72" t="n">
        <v>167000000</v>
      </c>
      <c r="F45" s="96" t="n">
        <v>20054844.86290237</v>
      </c>
      <c r="G45" s="96" t="n">
        <v>2831254159.916552</v>
      </c>
      <c r="H45" s="151" t="n">
        <v>0.4753616789651699</v>
      </c>
    </row>
    <row r="46">
      <c r="A46" t="n">
        <v>44</v>
      </c>
      <c r="B46" t="n">
        <v>3.67</v>
      </c>
      <c r="C46" t="inlineStr">
        <is>
          <t>Phase 1</t>
        </is>
      </c>
      <c r="D46" s="72" t="n">
        <v>3150000000</v>
      </c>
      <c r="E46" s="72" t="n">
        <v>172000000</v>
      </c>
      <c r="F46" s="96" t="n">
        <v>21234406.19937414</v>
      </c>
      <c r="G46" s="96" t="n">
        <v>2992988566.115926</v>
      </c>
      <c r="H46" s="151" t="n">
        <v>0.4750775501771312</v>
      </c>
    </row>
    <row r="47">
      <c r="A47" t="n">
        <v>45</v>
      </c>
      <c r="B47" t="n">
        <v>3.75</v>
      </c>
      <c r="C47" t="inlineStr">
        <is>
          <t>Phase 1</t>
        </is>
      </c>
      <c r="D47" s="72" t="n">
        <v>3327000000</v>
      </c>
      <c r="E47" s="72" t="n">
        <v>177000000</v>
      </c>
      <c r="F47" s="96" t="n">
        <v>22447414.24586945</v>
      </c>
      <c r="G47" s="96" t="n">
        <v>3159165980.361796</v>
      </c>
      <c r="H47" s="151" t="n">
        <v>0.4747769733035461</v>
      </c>
    </row>
    <row r="48">
      <c r="A48" t="n">
        <v>46</v>
      </c>
      <c r="B48" t="n">
        <v>3.83</v>
      </c>
      <c r="C48" t="inlineStr">
        <is>
          <t>Phase 1</t>
        </is>
      </c>
      <c r="D48" s="72" t="n">
        <v>3509000000</v>
      </c>
      <c r="E48" s="72" t="n">
        <v>182000000</v>
      </c>
      <c r="F48" s="96" t="n">
        <v>23693744.85271347</v>
      </c>
      <c r="G48" s="96" t="n">
        <v>3329769725.214509</v>
      </c>
      <c r="H48" s="151" t="n">
        <v>0.474461345855587</v>
      </c>
    </row>
    <row r="49">
      <c r="A49" t="n">
        <v>47</v>
      </c>
      <c r="B49" t="n">
        <v>3.92</v>
      </c>
      <c r="C49" t="inlineStr">
        <is>
          <t>Phase 1</t>
        </is>
      </c>
      <c r="D49" s="72" t="n">
        <v>3696000000</v>
      </c>
      <c r="E49" s="72" t="n">
        <v>187000000</v>
      </c>
      <c r="F49" s="96" t="n">
        <v>24973272.93910882</v>
      </c>
      <c r="G49" s="96" t="n">
        <v>3504782998.153618</v>
      </c>
      <c r="H49" s="151" t="n">
        <v>0.4741318991008683</v>
      </c>
    </row>
    <row r="50">
      <c r="A50" t="n">
        <v>48</v>
      </c>
      <c r="B50" t="n">
        <v>4</v>
      </c>
      <c r="C50" t="inlineStr">
        <is>
          <t>Phase 1</t>
        </is>
      </c>
      <c r="D50" s="72" t="n">
        <v>3888000000</v>
      </c>
      <c r="E50" s="72" t="n">
        <v>192000000</v>
      </c>
      <c r="F50" s="96" t="n">
        <v>26285872.48615213</v>
      </c>
      <c r="G50" s="96" t="n">
        <v>3684188870.639771</v>
      </c>
      <c r="H50" s="151" t="n">
        <v>0.473789721018489</v>
      </c>
    </row>
    <row r="51">
      <c r="A51" t="n">
        <v>49</v>
      </c>
      <c r="B51" t="n">
        <v>4.08</v>
      </c>
      <c r="C51" t="inlineStr">
        <is>
          <t>Phase 1</t>
        </is>
      </c>
      <c r="D51" s="72" t="n">
        <v>4085000000</v>
      </c>
      <c r="E51" s="72" t="n">
        <v>197000000</v>
      </c>
      <c r="F51" s="96" t="n">
        <v>27631416.52979828</v>
      </c>
      <c r="G51" s="96" t="n">
        <v>3867970287.169569</v>
      </c>
      <c r="H51" s="151" t="n">
        <v>0.4734357756633499</v>
      </c>
    </row>
    <row r="52">
      <c r="A52" t="n">
        <v>50</v>
      </c>
      <c r="B52" t="n">
        <v>4.17</v>
      </c>
      <c r="C52" t="inlineStr">
        <is>
          <t>Phase 1</t>
        </is>
      </c>
      <c r="D52" s="72" t="n">
        <v>4288000000</v>
      </c>
      <c r="E52" s="72" t="n">
        <v>203000000</v>
      </c>
      <c r="F52" s="96" t="n">
        <v>29009777.15377177</v>
      </c>
      <c r="G52" s="96" t="n">
        <v>4057100064.323341</v>
      </c>
      <c r="H52" s="151" t="n">
        <v>0.4730760336197926</v>
      </c>
    </row>
    <row r="53">
      <c r="A53" t="n">
        <v>51</v>
      </c>
      <c r="B53" t="n">
        <v>4.25</v>
      </c>
      <c r="C53" t="inlineStr">
        <is>
          <t>Phase 1</t>
        </is>
      </c>
      <c r="D53" s="72" t="n">
        <v>4497000000</v>
      </c>
      <c r="E53" s="72" t="n">
        <v>209000000</v>
      </c>
      <c r="F53" s="96" t="n">
        <v>30428250.48242506</v>
      </c>
      <c r="G53" s="96" t="n">
        <v>4251558314.805766</v>
      </c>
      <c r="H53" s="151" t="n">
        <v>0.4727105086508523</v>
      </c>
    </row>
    <row r="54">
      <c r="A54" t="n">
        <v>52</v>
      </c>
      <c r="B54" t="n">
        <v>4.33</v>
      </c>
      <c r="C54" t="inlineStr">
        <is>
          <t>Phase 1</t>
        </is>
      </c>
      <c r="D54" s="72" t="n">
        <v>4712000000</v>
      </c>
      <c r="E54" s="72" t="n">
        <v>215000000</v>
      </c>
      <c r="F54" s="96" t="n">
        <v>31886687.36104324</v>
      </c>
      <c r="G54" s="96" t="n">
        <v>4451325002.166809</v>
      </c>
      <c r="H54" s="151" t="n">
        <v>0.4723392404676156</v>
      </c>
    </row>
    <row r="55">
      <c r="A55" t="n">
        <v>53</v>
      </c>
      <c r="B55" t="n">
        <v>4.42</v>
      </c>
      <c r="C55" t="inlineStr">
        <is>
          <t>Phase 1</t>
        </is>
      </c>
      <c r="D55" s="72" t="n">
        <v>4933000000</v>
      </c>
      <c r="E55" s="72" t="n">
        <v>221000000</v>
      </c>
      <c r="F55" s="96" t="n">
        <v>33384937.51625107</v>
      </c>
      <c r="G55" s="96" t="n">
        <v>4656379939.68306</v>
      </c>
      <c r="H55" s="151" t="n">
        <v>0.4719622886360287</v>
      </c>
    </row>
    <row r="56">
      <c r="A56" t="n">
        <v>54</v>
      </c>
      <c r="B56" t="n">
        <v>4.5</v>
      </c>
      <c r="C56" t="inlineStr">
        <is>
          <t>Phase 1</t>
        </is>
      </c>
      <c r="D56" s="72" t="n">
        <v>5160000000</v>
      </c>
      <c r="E56" s="72" t="n">
        <v>227000000</v>
      </c>
      <c r="F56" s="96" t="n">
        <v>34922849.54762295</v>
      </c>
      <c r="G56" s="96" t="n">
        <v>4866702789.230682</v>
      </c>
      <c r="H56" s="151" t="n">
        <v>0.471579727638632</v>
      </c>
    </row>
    <row r="57">
      <c r="A57" t="n">
        <v>55</v>
      </c>
      <c r="B57" t="n">
        <v>4.58</v>
      </c>
      <c r="C57" t="inlineStr">
        <is>
          <t>Phase 1</t>
        </is>
      </c>
      <c r="D57" s="72" t="n">
        <v>5393000000</v>
      </c>
      <c r="E57" s="72" t="n">
        <v>233000000</v>
      </c>
      <c r="F57" s="96" t="n">
        <v>36500270.91923012</v>
      </c>
      <c r="G57" s="96" t="n">
        <v>5082273060.149913</v>
      </c>
      <c r="H57" s="151" t="n">
        <v>0.4711916428842864</v>
      </c>
    </row>
    <row r="58">
      <c r="A58" t="n">
        <v>56</v>
      </c>
      <c r="B58" t="n">
        <v>4.67</v>
      </c>
      <c r="C58" t="inlineStr">
        <is>
          <t>Phase 1</t>
        </is>
      </c>
      <c r="D58" s="72" t="n">
        <v>5632000000</v>
      </c>
      <c r="E58" s="72" t="n">
        <v>239000000</v>
      </c>
      <c r="F58" s="96" t="n">
        <v>38117047.95112435</v>
      </c>
      <c r="G58" s="96" t="n">
        <v>5303070108.101037</v>
      </c>
      <c r="H58" s="151" t="n">
        <v>0.4707981274947654</v>
      </c>
    </row>
    <row r="59">
      <c r="A59" t="n">
        <v>57</v>
      </c>
      <c r="B59" t="n">
        <v>4.75</v>
      </c>
      <c r="C59" t="inlineStr">
        <is>
          <t>Phase 1</t>
        </is>
      </c>
      <c r="D59" s="72" t="n">
        <v>5877000000</v>
      </c>
      <c r="E59" s="72" t="n">
        <v>245000000</v>
      </c>
      <c r="F59" s="96" t="n">
        <v>39773025.81075778</v>
      </c>
      <c r="G59" s="96" t="n">
        <v>5529073133.911795</v>
      </c>
      <c r="H59" s="151" t="n">
        <v>0.4703992797270541</v>
      </c>
    </row>
    <row r="60">
      <c r="A60" t="n">
        <v>58</v>
      </c>
      <c r="B60" t="n">
        <v>4.83</v>
      </c>
      <c r="C60" t="inlineStr">
        <is>
          <t>Phase 1</t>
        </is>
      </c>
      <c r="D60" s="72" t="n">
        <v>6128000000</v>
      </c>
      <c r="E60" s="72" t="n">
        <v>251000000</v>
      </c>
      <c r="F60" s="96" t="n">
        <v>41468048.50433846</v>
      </c>
      <c r="G60" s="96" t="n">
        <v>5760261182.416133</v>
      </c>
      <c r="H60" s="151" t="n">
        <v>0.4699952009151545</v>
      </c>
    </row>
    <row r="61">
      <c r="A61" t="n">
        <v>59</v>
      </c>
      <c r="B61" t="n">
        <v>4.92</v>
      </c>
      <c r="C61" t="inlineStr">
        <is>
          <t>Phase 1</t>
        </is>
      </c>
      <c r="D61" s="72" t="n">
        <v>6385000000</v>
      </c>
      <c r="E61" s="72" t="n">
        <v>257000000</v>
      </c>
      <c r="F61" s="96" t="n">
        <v>43201958.868121</v>
      </c>
      <c r="G61" s="96" t="n">
        <v>5996613141.284254</v>
      </c>
      <c r="H61" s="151" t="n">
        <v>0.4695859938358852</v>
      </c>
    </row>
    <row r="62">
      <c r="A62" t="n">
        <v>60</v>
      </c>
      <c r="B62" t="n">
        <v>5</v>
      </c>
      <c r="C62" t="inlineStr">
        <is>
          <t>Phase 1</t>
        </is>
      </c>
      <c r="D62" s="72" t="n">
        <v>6648000000</v>
      </c>
      <c r="E62" s="72" t="n">
        <v>263000000</v>
      </c>
      <c r="F62" s="96" t="n">
        <v>44974598.55963191</v>
      </c>
      <c r="G62" s="96" t="n">
        <v>6238107739.843886</v>
      </c>
      <c r="H62" s="151" t="n">
        <v>0.4691717614202682</v>
      </c>
    </row>
    <row r="63">
      <c r="A63" t="n">
        <v>61</v>
      </c>
      <c r="B63" t="n">
        <v>5.08</v>
      </c>
      <c r="C63" t="inlineStr">
        <is>
          <t>Phase 1</t>
        </is>
      </c>
      <c r="D63" s="72" t="n">
        <v>6917000000</v>
      </c>
      <c r="E63" s="72" t="n">
        <v>269000000</v>
      </c>
      <c r="F63" s="96" t="n">
        <v>46785808.04882915</v>
      </c>
      <c r="G63" s="96" t="n">
        <v>6484723547.892715</v>
      </c>
      <c r="H63" s="151" t="n">
        <v>0.4687526057461844</v>
      </c>
    </row>
    <row r="64">
      <c r="A64" t="n">
        <v>62</v>
      </c>
      <c r="B64" t="n">
        <v>5.17</v>
      </c>
      <c r="C64" t="inlineStr">
        <is>
          <t>Phase 1</t>
        </is>
      </c>
      <c r="D64" s="72" t="n">
        <v>7193000000</v>
      </c>
      <c r="E64" s="72" t="n">
        <v>276000000</v>
      </c>
      <c r="F64" s="96" t="n">
        <v>48635426.60919537</v>
      </c>
      <c r="G64" s="96" t="n">
        <v>6737428974.501911</v>
      </c>
      <c r="H64" s="151" t="n">
        <v>0.4683323352218762</v>
      </c>
    </row>
    <row r="65">
      <c r="A65" t="n">
        <v>63</v>
      </c>
      <c r="B65" t="n">
        <v>5.25</v>
      </c>
      <c r="C65" t="inlineStr">
        <is>
          <t>Phase 1</t>
        </is>
      </c>
      <c r="D65" s="72" t="n">
        <v>7476000000</v>
      </c>
      <c r="E65" s="72" t="n">
        <v>283000000</v>
      </c>
      <c r="F65" s="96" t="n">
        <v>50530717.30876433</v>
      </c>
      <c r="G65" s="96" t="n">
        <v>6996199691.810676</v>
      </c>
      <c r="H65" s="151" t="n">
        <v>0.4679106267931163</v>
      </c>
    </row>
    <row r="66">
      <c r="A66" t="n">
        <v>64</v>
      </c>
      <c r="B66" t="n">
        <v>5.33</v>
      </c>
      <c r="C66" t="inlineStr">
        <is>
          <t>Phase 1</t>
        </is>
      </c>
      <c r="D66" s="72" t="n">
        <v>7766000000</v>
      </c>
      <c r="E66" s="72" t="n">
        <v>290000000</v>
      </c>
      <c r="F66" s="96" t="n">
        <v>52471497.68858007</v>
      </c>
      <c r="G66" s="96" t="n">
        <v>7261011189.499256</v>
      </c>
      <c r="H66" s="151" t="n">
        <v>0.4674871999420072</v>
      </c>
    </row>
    <row r="67">
      <c r="A67" t="n">
        <v>65</v>
      </c>
      <c r="B67" t="n">
        <v>5.42</v>
      </c>
      <c r="C67" t="inlineStr">
        <is>
          <t>Phase 1</t>
        </is>
      </c>
      <c r="D67" s="72" t="n">
        <v>8063000000</v>
      </c>
      <c r="E67" s="72" t="n">
        <v>297000000</v>
      </c>
      <c r="F67" s="96" t="n">
        <v>54457583.92124442</v>
      </c>
      <c r="G67" s="96" t="n">
        <v>7531838773.420501</v>
      </c>
      <c r="H67" s="151" t="n">
        <v>0.4670618115726467</v>
      </c>
    </row>
    <row r="68">
      <c r="A68" t="n">
        <v>66</v>
      </c>
      <c r="B68" t="n">
        <v>5.5</v>
      </c>
      <c r="C68" t="inlineStr">
        <is>
          <t>Phase 1</t>
        </is>
      </c>
      <c r="D68" s="72" t="n">
        <v>8367000000</v>
      </c>
      <c r="E68" s="72" t="n">
        <v>304000000</v>
      </c>
      <c r="F68" s="96" t="n">
        <v>56488790.80065376</v>
      </c>
      <c r="G68" s="96" t="n">
        <v>7808657564.221154</v>
      </c>
      <c r="H68" s="151" t="n">
        <v>0.466634251477301</v>
      </c>
    </row>
    <row r="69">
      <c r="A69" t="n">
        <v>67</v>
      </c>
      <c r="B69" t="n">
        <v>5.58</v>
      </c>
      <c r="C69" t="inlineStr">
        <is>
          <t>Phase 1</t>
        </is>
      </c>
      <c r="D69" s="72" t="n">
        <v>8678000000</v>
      </c>
      <c r="E69" s="72" t="n">
        <v>311000000</v>
      </c>
      <c r="F69" s="96" t="n">
        <v>58564931.73165865</v>
      </c>
      <c r="G69" s="96" t="n">
        <v>8091442495.952813</v>
      </c>
      <c r="H69" s="151" t="n">
        <v>0.4662043383240846</v>
      </c>
    </row>
    <row r="70">
      <c r="A70" t="n">
        <v>68</v>
      </c>
      <c r="B70" t="n">
        <v>5.67</v>
      </c>
      <c r="C70" t="inlineStr">
        <is>
          <t>Phase 1</t>
        </is>
      </c>
      <c r="D70" s="72" t="n">
        <v>8996000000</v>
      </c>
      <c r="E70" s="72" t="n">
        <v>318000000</v>
      </c>
      <c r="F70" s="96" t="n">
        <v>60685818.7196461</v>
      </c>
      <c r="G70" s="96" t="n">
        <v>8380168314.67246</v>
      </c>
      <c r="H70" s="151" t="n">
        <v>0.4657719161111861</v>
      </c>
    </row>
    <row r="71">
      <c r="A71" t="n">
        <v>69</v>
      </c>
      <c r="B71" t="n">
        <v>5.75</v>
      </c>
      <c r="C71" t="inlineStr">
        <is>
          <t>Phase 1</t>
        </is>
      </c>
      <c r="D71" s="72" t="n">
        <v>9321000000</v>
      </c>
      <c r="E71" s="72" t="n">
        <v>325000000</v>
      </c>
      <c r="F71" s="96" t="n">
        <v>62851262.36004344</v>
      </c>
      <c r="G71" s="96" t="n">
        <v>8674809577.032501</v>
      </c>
      <c r="H71" s="151" t="n">
        <v>0.4653368510370401</v>
      </c>
    </row>
    <row r="72">
      <c r="A72" t="n">
        <v>70</v>
      </c>
      <c r="B72" t="n">
        <v>5.83</v>
      </c>
      <c r="C72" t="inlineStr">
        <is>
          <t>Phase 1</t>
        </is>
      </c>
      <c r="D72" s="72" t="n">
        <v>9653000000</v>
      </c>
      <c r="E72" s="72" t="n">
        <v>332000000</v>
      </c>
      <c r="F72" s="96" t="n">
        <v>65061071.82774375</v>
      </c>
      <c r="G72" s="96" t="n">
        <v>8975340648.860245</v>
      </c>
      <c r="H72" s="151" t="n">
        <v>0.4648990287403006</v>
      </c>
    </row>
    <row r="73">
      <c r="A73" t="n">
        <v>71</v>
      </c>
      <c r="B73" t="n">
        <v>5.92</v>
      </c>
      <c r="C73" t="inlineStr">
        <is>
          <t>Phase 1</t>
        </is>
      </c>
      <c r="D73" s="72" t="n">
        <v>9992000000</v>
      </c>
      <c r="E73" s="72" t="n">
        <v>339000000</v>
      </c>
      <c r="F73" s="96" t="n">
        <v>67315054.86645183</v>
      </c>
      <c r="G73" s="96" t="n">
        <v>9281735703.726696</v>
      </c>
      <c r="H73" s="151" t="n">
        <v>0.4644583518678291</v>
      </c>
    </row>
    <row r="74">
      <c r="A74" t="n">
        <v>72</v>
      </c>
      <c r="B74" t="n">
        <v>6</v>
      </c>
      <c r="C74" t="inlineStr">
        <is>
          <t>Phase 1</t>
        </is>
      </c>
      <c r="D74" s="72" t="n">
        <v>10338000000</v>
      </c>
      <c r="E74" s="72" t="n">
        <v>346000000</v>
      </c>
      <c r="F74" s="96" t="n">
        <v>69613017.77795021</v>
      </c>
      <c r="G74" s="96" t="n">
        <v>9593968721.504646</v>
      </c>
      <c r="H74" s="151" t="n">
        <v>0.4640147379330937</v>
      </c>
    </row>
    <row r="75">
      <c r="A75" t="n">
        <v>73</v>
      </c>
      <c r="B75" t="n">
        <v>6.08</v>
      </c>
      <c r="C75" t="inlineStr">
        <is>
          <t>Phase 1</t>
        </is>
      </c>
      <c r="D75" s="72" t="n">
        <v>10691000000</v>
      </c>
      <c r="E75" s="72" t="n">
        <v>353000000</v>
      </c>
      <c r="F75" s="96" t="n">
        <v>71954765.41128485</v>
      </c>
      <c r="G75" s="96" t="n">
        <v>9912013486.915932</v>
      </c>
      <c r="H75" s="151" t="n">
        <v>0.4635681174312942</v>
      </c>
    </row>
    <row r="76">
      <c r="A76" t="n">
        <v>74</v>
      </c>
      <c r="B76" t="n">
        <v>6.17</v>
      </c>
      <c r="C76" t="inlineStr">
        <is>
          <t>Phase 1</t>
        </is>
      </c>
      <c r="D76" s="72" t="n">
        <v>11052000000</v>
      </c>
      <c r="E76" s="72" t="n">
        <v>361000000</v>
      </c>
      <c r="F76" s="96" t="n">
        <v>74340101.15186949</v>
      </c>
      <c r="G76" s="96" t="n">
        <v>10236833588.0678</v>
      </c>
      <c r="H76" s="151" t="n">
        <v>0.463121316868793</v>
      </c>
    </row>
    <row r="77">
      <c r="A77" t="n">
        <v>75</v>
      </c>
      <c r="B77" t="n">
        <v>6.25</v>
      </c>
      <c r="C77" t="inlineStr">
        <is>
          <t>Phase 1</t>
        </is>
      </c>
      <c r="D77" s="72" t="n">
        <v>11421000000</v>
      </c>
      <c r="E77" s="72" t="n">
        <v>369000000</v>
      </c>
      <c r="F77" s="96" t="n">
        <v>76776251.9105085</v>
      </c>
      <c r="G77" s="96" t="n">
        <v>10568399839.97831</v>
      </c>
      <c r="H77" s="151" t="n">
        <v>0.4626740145336796</v>
      </c>
    </row>
    <row r="78">
      <c r="A78" t="n">
        <v>76</v>
      </c>
      <c r="B78" t="n">
        <v>6.33</v>
      </c>
      <c r="C78" t="inlineStr">
        <is>
          <t>Phase 1</t>
        </is>
      </c>
      <c r="D78" s="72" t="n">
        <v>11798000000</v>
      </c>
      <c r="E78" s="72" t="n">
        <v>377000000</v>
      </c>
      <c r="F78" s="96" t="n">
        <v>79262998.79983732</v>
      </c>
      <c r="G78" s="96" t="n">
        <v>10906682838.77815</v>
      </c>
      <c r="H78" s="151" t="n">
        <v>0.4622259212908182</v>
      </c>
    </row>
    <row r="79">
      <c r="A79" t="n">
        <v>77</v>
      </c>
      <c r="B79" t="n">
        <v>6.42</v>
      </c>
      <c r="C79" t="inlineStr">
        <is>
          <t>Phase 1</t>
        </is>
      </c>
      <c r="D79" s="72" t="n">
        <v>12183000000</v>
      </c>
      <c r="E79" s="72" t="n">
        <v>385000000</v>
      </c>
      <c r="F79" s="96" t="n">
        <v>81800121.2908361</v>
      </c>
      <c r="G79" s="96" t="n">
        <v>11251652960.06898</v>
      </c>
      <c r="H79" s="151" t="n">
        <v>0.4617767774796431</v>
      </c>
    </row>
    <row r="80">
      <c r="A80" t="n">
        <v>78</v>
      </c>
      <c r="B80" t="n">
        <v>6.5</v>
      </c>
      <c r="C80" t="inlineStr">
        <is>
          <t>Phase 1</t>
        </is>
      </c>
      <c r="D80" s="72" t="n">
        <v>12576000000</v>
      </c>
      <c r="E80" s="72" t="n">
        <v>393000000</v>
      </c>
      <c r="F80" s="96" t="n">
        <v>84387397.20051737</v>
      </c>
      <c r="G80" s="96" t="n">
        <v>11603280357.2695</v>
      </c>
      <c r="H80" s="151" t="n">
        <v>0.4613263500822798</v>
      </c>
    </row>
    <row r="81">
      <c r="A81" t="n">
        <v>79</v>
      </c>
      <c r="B81" t="n">
        <v>6.58</v>
      </c>
      <c r="C81" t="inlineStr">
        <is>
          <t>Phase 1</t>
        </is>
      </c>
      <c r="D81" s="72" t="n">
        <v>12977000000</v>
      </c>
      <c r="E81" s="72" t="n">
        <v>401000000</v>
      </c>
      <c r="F81" s="96" t="n">
        <v>87024602.67952125</v>
      </c>
      <c r="G81" s="96" t="n">
        <v>11961534959.94902</v>
      </c>
      <c r="H81" s="151" t="n">
        <v>0.4608744301436781</v>
      </c>
    </row>
    <row r="82">
      <c r="A82" t="n">
        <v>80</v>
      </c>
      <c r="B82" t="n">
        <v>6.67</v>
      </c>
      <c r="C82" t="inlineStr">
        <is>
          <t>Phase 1</t>
        </is>
      </c>
      <c r="D82" s="72" t="n">
        <v>13386000000</v>
      </c>
      <c r="E82" s="72" t="n">
        <v>409000000</v>
      </c>
      <c r="F82" s="96" t="n">
        <v>89711512.19961767</v>
      </c>
      <c r="G82" s="96" t="n">
        <v>12326386472.14864</v>
      </c>
      <c r="H82" s="151" t="n">
        <v>0.4604208304253937</v>
      </c>
    </row>
    <row r="83">
      <c r="A83" t="n">
        <v>81</v>
      </c>
      <c r="B83" t="n">
        <v>6.75</v>
      </c>
      <c r="C83" t="inlineStr">
        <is>
          <t>Phase 1</t>
        </is>
      </c>
      <c r="D83" s="72" t="n">
        <v>13803000000</v>
      </c>
      <c r="E83" s="72" t="n">
        <v>417000000</v>
      </c>
      <c r="F83" s="96" t="n">
        <v>92447898.54111479</v>
      </c>
      <c r="G83" s="96" t="n">
        <v>12697804370.68975</v>
      </c>
      <c r="H83" s="151" t="n">
        <v>0.4599653832750038</v>
      </c>
    </row>
    <row r="84">
      <c r="A84" t="n">
        <v>82</v>
      </c>
      <c r="B84" t="n">
        <v>6.83</v>
      </c>
      <c r="C84" t="inlineStr">
        <is>
          <t>Phase 1</t>
        </is>
      </c>
      <c r="D84" s="72" t="n">
        <v>14228000000</v>
      </c>
      <c r="E84" s="72" t="n">
        <v>425000000</v>
      </c>
      <c r="F84" s="96" t="n">
        <v>95233532.78017315</v>
      </c>
      <c r="G84" s="96" t="n">
        <v>13075757903.46993</v>
      </c>
      <c r="H84" s="151" t="n">
        <v>0.4595079386937703</v>
      </c>
    </row>
    <row r="85">
      <c r="A85" t="n">
        <v>83</v>
      </c>
      <c r="B85" t="n">
        <v>6.92</v>
      </c>
      <c r="C85" t="inlineStr">
        <is>
          <t>Phase 1</t>
        </is>
      </c>
      <c r="D85" s="72" t="n">
        <v>14661000000</v>
      </c>
      <c r="E85" s="72" t="n">
        <v>433000000</v>
      </c>
      <c r="F85" s="96" t="n">
        <v>98068184.27602445</v>
      </c>
      <c r="G85" s="96" t="n">
        <v>13460216087.74595</v>
      </c>
      <c r="H85" s="151" t="n">
        <v>0.4590483625859747</v>
      </c>
    </row>
    <row r="86">
      <c r="A86" t="n">
        <v>84</v>
      </c>
      <c r="B86" t="n">
        <v>7</v>
      </c>
      <c r="C86" t="inlineStr">
        <is>
          <t>Phase 1</t>
        </is>
      </c>
      <c r="D86" s="72" t="n">
        <v>15102000000</v>
      </c>
      <c r="E86" s="72" t="n">
        <v>441000000</v>
      </c>
      <c r="F86" s="96" t="n">
        <v>100951620.6580946</v>
      </c>
      <c r="G86" s="96" t="n">
        <v>13851147708.40405</v>
      </c>
      <c r="H86" s="151" t="n">
        <v>0.458586535174283</v>
      </c>
    </row>
    <row r="87">
      <c r="A87" t="n">
        <v>85</v>
      </c>
      <c r="B87" t="n">
        <v>7.08</v>
      </c>
      <c r="C87" t="inlineStr">
        <is>
          <t>Phase 1</t>
        </is>
      </c>
      <c r="D87" s="72" t="n">
        <v>15551000000</v>
      </c>
      <c r="E87" s="72" t="n">
        <v>449000000</v>
      </c>
      <c r="F87" s="96" t="n">
        <v>103883607.8130303</v>
      </c>
      <c r="G87" s="96" t="n">
        <v>14248521316.21708</v>
      </c>
      <c r="H87" s="151" t="n">
        <v>0.4581223495664933</v>
      </c>
    </row>
    <row r="88">
      <c r="A88" t="n">
        <v>86</v>
      </c>
      <c r="B88" t="n">
        <v>7.17</v>
      </c>
      <c r="C88" t="inlineStr">
        <is>
          <t>Phase 1</t>
        </is>
      </c>
      <c r="D88" s="72" t="n">
        <v>16010000000</v>
      </c>
      <c r="E88" s="72" t="n">
        <v>459000000</v>
      </c>
      <c r="F88" s="96" t="n">
        <v>106863909.8716281</v>
      </c>
      <c r="G88" s="96" t="n">
        <v>14654285226.0887</v>
      </c>
      <c r="H88" s="151" t="n">
        <v>0.4576603755805341</v>
      </c>
    </row>
    <row r="89">
      <c r="A89" t="n">
        <v>87</v>
      </c>
      <c r="B89" t="n">
        <v>7.25</v>
      </c>
      <c r="C89" t="inlineStr">
        <is>
          <t>Phase 1</t>
        </is>
      </c>
      <c r="D89" s="72" t="n">
        <v>16479000000</v>
      </c>
      <c r="E89" s="72" t="n">
        <v>469000000</v>
      </c>
      <c r="F89" s="96" t="n">
        <v>109907139.1956653</v>
      </c>
      <c r="G89" s="96" t="n">
        <v>15068402365.28437</v>
      </c>
      <c r="H89" s="151" t="n">
        <v>0.4572001445865759</v>
      </c>
    </row>
    <row r="90">
      <c r="A90" t="n">
        <v>88</v>
      </c>
      <c r="B90" t="n">
        <v>7.33</v>
      </c>
      <c r="C90" t="inlineStr">
        <is>
          <t>Phase 1</t>
        </is>
      </c>
      <c r="D90" s="72" t="n">
        <v>16958000000</v>
      </c>
      <c r="E90" s="72" t="n">
        <v>479000000</v>
      </c>
      <c r="F90" s="96" t="n">
        <v>113013017.7396328</v>
      </c>
      <c r="G90" s="96" t="n">
        <v>15490835383.024</v>
      </c>
      <c r="H90" s="151" t="n">
        <v>0.4567412248798208</v>
      </c>
    </row>
    <row r="91">
      <c r="A91" t="n">
        <v>89</v>
      </c>
      <c r="B91" t="n">
        <v>7.42</v>
      </c>
      <c r="C91" t="inlineStr">
        <is>
          <t>Phase 1</t>
        </is>
      </c>
      <c r="D91" s="72" t="n">
        <v>17447000000</v>
      </c>
      <c r="E91" s="72" t="n">
        <v>489000000</v>
      </c>
      <c r="F91" s="96" t="n">
        <v>116181265.37268</v>
      </c>
      <c r="G91" s="96" t="n">
        <v>15921546648.39668</v>
      </c>
      <c r="H91" s="151" t="n">
        <v>0.456283219132134</v>
      </c>
    </row>
    <row r="92">
      <c r="A92" t="n">
        <v>90</v>
      </c>
      <c r="B92" t="n">
        <v>7.5</v>
      </c>
      <c r="C92" t="inlineStr">
        <is>
          <t>Phase 1</t>
        </is>
      </c>
      <c r="D92" s="72" t="n">
        <v>17946000000</v>
      </c>
      <c r="E92" s="72" t="n">
        <v>499000000</v>
      </c>
      <c r="F92" s="96" t="n">
        <v>119411599.8629751</v>
      </c>
      <c r="G92" s="96" t="n">
        <v>16360498248.25966</v>
      </c>
      <c r="H92" s="151" t="n">
        <v>0.4558257619597587</v>
      </c>
    </row>
    <row r="93">
      <c r="A93" t="n">
        <v>91</v>
      </c>
      <c r="B93" t="n">
        <v>7.58</v>
      </c>
      <c r="C93" t="inlineStr">
        <is>
          <t>Phase 1</t>
        </is>
      </c>
      <c r="D93" s="72" t="n">
        <v>18455000000</v>
      </c>
      <c r="E93" s="72" t="n">
        <v>509000000</v>
      </c>
      <c r="F93" s="96" t="n">
        <v>122703736.8619474</v>
      </c>
      <c r="G93" s="96" t="n">
        <v>16807651985.12161</v>
      </c>
      <c r="H93" s="151" t="n">
        <v>0.4553685176136983</v>
      </c>
    </row>
    <row r="94">
      <c r="A94" t="n">
        <v>92</v>
      </c>
      <c r="B94" t="n">
        <v>7.67</v>
      </c>
      <c r="C94" t="inlineStr">
        <is>
          <t>Phase 1</t>
        </is>
      </c>
      <c r="D94" s="72" t="n">
        <v>18974000000</v>
      </c>
      <c r="E94" s="72" t="n">
        <v>519000000</v>
      </c>
      <c r="F94" s="96" t="n">
        <v>126057389.888412</v>
      </c>
      <c r="G94" s="96" t="n">
        <v>17262969375.01002</v>
      </c>
      <c r="H94" s="151" t="n">
        <v>0.4549111777961953</v>
      </c>
    </row>
    <row r="95">
      <c r="A95" t="n">
        <v>93</v>
      </c>
      <c r="B95" t="n">
        <v>7.75</v>
      </c>
      <c r="C95" t="inlineStr">
        <is>
          <t>Phase 1</t>
        </is>
      </c>
      <c r="D95" s="72" t="n">
        <v>19503000000</v>
      </c>
      <c r="E95" s="72" t="n">
        <v>529000000</v>
      </c>
      <c r="F95" s="96" t="n">
        <v>129472270.3125751</v>
      </c>
      <c r="G95" s="96" t="n">
        <v>17726411645.32259</v>
      </c>
      <c r="H95" s="151" t="n">
        <v>0.4544534596042299</v>
      </c>
    </row>
    <row r="96">
      <c r="A96" t="n">
        <v>94</v>
      </c>
      <c r="B96" t="n">
        <v>7.83</v>
      </c>
      <c r="C96" t="inlineStr">
        <is>
          <t>Phase 1</t>
        </is>
      </c>
      <c r="D96" s="72" t="n">
        <v>20042000000</v>
      </c>
      <c r="E96" s="72" t="n">
        <v>539000000</v>
      </c>
      <c r="F96" s="96" t="n">
        <v>132948087.3399194</v>
      </c>
      <c r="G96" s="96" t="n">
        <v>18197939732.66251</v>
      </c>
      <c r="H96" s="151" t="n">
        <v>0.4539951035990049</v>
      </c>
    </row>
    <row r="97">
      <c r="A97" t="n">
        <v>95</v>
      </c>
      <c r="B97" t="n">
        <v>7.92</v>
      </c>
      <c r="C97" t="inlineStr">
        <is>
          <t>Phase 1</t>
        </is>
      </c>
      <c r="D97" s="72" t="n">
        <v>20591000000</v>
      </c>
      <c r="E97" s="72" t="n">
        <v>549000000</v>
      </c>
      <c r="F97" s="96" t="n">
        <v>136484547.9949689</v>
      </c>
      <c r="G97" s="96" t="n">
        <v>18677514280.65748</v>
      </c>
      <c r="H97" s="151" t="n">
        <v>0.4535358719988704</v>
      </c>
    </row>
    <row r="98">
      <c r="A98" t="n">
        <v>96</v>
      </c>
      <c r="B98" t="n">
        <v>8</v>
      </c>
      <c r="C98" t="inlineStr">
        <is>
          <t>Phase 1</t>
        </is>
      </c>
      <c r="D98" s="72" t="n">
        <v>21150000000</v>
      </c>
      <c r="E98" s="72" t="n">
        <v>559000000</v>
      </c>
      <c r="F98" s="96" t="n">
        <v>140081357.1049311</v>
      </c>
      <c r="G98" s="96" t="n">
        <v>19165095637.76241</v>
      </c>
      <c r="H98" s="151" t="n">
        <v>0.4530755469920192</v>
      </c>
    </row>
    <row r="99">
      <c r="A99" t="n">
        <v>97</v>
      </c>
      <c r="B99" t="n">
        <v>8.08</v>
      </c>
      <c r="C99" t="inlineStr">
        <is>
          <t>Phase 1</t>
        </is>
      </c>
      <c r="D99" s="72" t="n">
        <v>21719000000</v>
      </c>
      <c r="E99" s="72" t="n">
        <v>569000000</v>
      </c>
      <c r="F99" s="96" t="n">
        <v>143738217.2832181</v>
      </c>
      <c r="G99" s="96" t="n">
        <v>19660643855.04563</v>
      </c>
      <c r="H99" s="151" t="n">
        <v>0.4526139291644558</v>
      </c>
    </row>
    <row r="100">
      <c r="A100" t="n">
        <v>98</v>
      </c>
      <c r="B100" t="n">
        <v>8.17</v>
      </c>
      <c r="C100" t="inlineStr">
        <is>
          <t>Phase 1</t>
        </is>
      </c>
      <c r="D100" s="72" t="n">
        <v>22298000000</v>
      </c>
      <c r="E100" s="72" t="n">
        <v>579000000</v>
      </c>
      <c r="F100" s="96" t="n">
        <v>147454828.9128422</v>
      </c>
      <c r="G100" s="96" t="n">
        <v>20164118683.95847</v>
      </c>
      <c r="H100" s="151" t="n">
        <v>0.4521508360381755</v>
      </c>
    </row>
    <row r="101">
      <c r="A101" t="n">
        <v>99</v>
      </c>
      <c r="B101" t="n">
        <v>8.25</v>
      </c>
      <c r="C101" t="inlineStr">
        <is>
          <t>Phase 1</t>
        </is>
      </c>
      <c r="D101" s="72" t="n">
        <v>22887000000</v>
      </c>
      <c r="E101" s="72" t="n">
        <v>589000000</v>
      </c>
      <c r="F101" s="96" t="n">
        <v>151230890.1296885</v>
      </c>
      <c r="G101" s="96" t="n">
        <v>20675479574.08816</v>
      </c>
      <c r="H101" s="151" t="n">
        <v>0.4516861007141207</v>
      </c>
    </row>
    <row r="102">
      <c r="A102" t="n">
        <v>100</v>
      </c>
      <c r="B102" t="n">
        <v>8.33</v>
      </c>
      <c r="C102" t="inlineStr">
        <is>
          <t>Phase 1</t>
        </is>
      </c>
      <c r="D102" s="72" t="n">
        <v>23486000000</v>
      </c>
      <c r="E102" s="72" t="n">
        <v>599000000</v>
      </c>
      <c r="F102" s="96" t="n">
        <v>155066096.8056612</v>
      </c>
      <c r="G102" s="96" t="n">
        <v>21194685670.89382</v>
      </c>
      <c r="H102" s="151" t="n">
        <v>0.451219570614277</v>
      </c>
    </row>
    <row r="103">
      <c r="A103" t="n">
        <v>101</v>
      </c>
      <c r="B103" t="n">
        <v>8.42</v>
      </c>
      <c r="C103" t="inlineStr">
        <is>
          <t>Phase 1</t>
        </is>
      </c>
      <c r="D103" s="72" t="n">
        <v>24095000000</v>
      </c>
      <c r="E103" s="72" t="n">
        <v>609000000</v>
      </c>
      <c r="F103" s="96" t="n">
        <v>158960142.5317037</v>
      </c>
      <c r="G103" s="96" t="n">
        <v>21721695813.42553</v>
      </c>
      <c r="H103" s="151" t="n">
        <v>0.4507511063171929</v>
      </c>
    </row>
    <row r="104">
      <c r="A104" t="n">
        <v>102</v>
      </c>
      <c r="B104" t="n">
        <v>8.5</v>
      </c>
      <c r="C104" t="inlineStr">
        <is>
          <t>Phase 1</t>
        </is>
      </c>
      <c r="D104" s="72" t="n">
        <v>24714000000</v>
      </c>
      <c r="E104" s="72" t="n">
        <v>619000000</v>
      </c>
      <c r="F104" s="96" t="n">
        <v>162912718.6006914</v>
      </c>
      <c r="G104" s="96" t="n">
        <v>22256468532.02622</v>
      </c>
      <c r="H104" s="151" t="n">
        <v>0.4502805804812297</v>
      </c>
    </row>
    <row r="105">
      <c r="A105" t="n">
        <v>103</v>
      </c>
      <c r="B105" t="n">
        <v>8.58</v>
      </c>
      <c r="C105" t="inlineStr">
        <is>
          <t>Phase 1</t>
        </is>
      </c>
      <c r="D105" s="72" t="n">
        <v>25343000000</v>
      </c>
      <c r="E105" s="72" t="n">
        <v>629000000</v>
      </c>
      <c r="F105" s="96" t="n">
        <v>166923513.9901966</v>
      </c>
      <c r="G105" s="96" t="n">
        <v>22798962046.01641</v>
      </c>
      <c r="H105" s="151" t="n">
        <v>0.449807876849947</v>
      </c>
    </row>
    <row r="106">
      <c r="A106" t="n">
        <v>104</v>
      </c>
      <c r="B106" t="n">
        <v>8.67</v>
      </c>
      <c r="C106" t="inlineStr">
        <is>
          <t>Phase 1</t>
        </is>
      </c>
      <c r="D106" s="72" t="n">
        <v>25982000000</v>
      </c>
      <c r="E106" s="72" t="n">
        <v>639000000</v>
      </c>
      <c r="F106" s="96" t="n">
        <v>170992215.3451231</v>
      </c>
      <c r="G106" s="96" t="n">
        <v>23349134261.36154</v>
      </c>
      <c r="H106" s="151" t="n">
        <v>0.449332889334184</v>
      </c>
    </row>
    <row r="107">
      <c r="A107" t="n">
        <v>105</v>
      </c>
      <c r="B107" t="n">
        <v>8.75</v>
      </c>
      <c r="C107" t="inlineStr">
        <is>
          <t>Phase 1</t>
        </is>
      </c>
      <c r="D107" s="72" t="n">
        <v>26631000000</v>
      </c>
      <c r="E107" s="72" t="n">
        <v>649000000</v>
      </c>
      <c r="F107" s="96" t="n">
        <v>175118506.9602115</v>
      </c>
      <c r="G107" s="96" t="n">
        <v>23906942768.32175</v>
      </c>
      <c r="H107" s="151" t="n">
        <v>0.4488555211655918</v>
      </c>
    </row>
    <row r="108">
      <c r="A108" t="n">
        <v>106</v>
      </c>
      <c r="B108" t="n">
        <v>8.83</v>
      </c>
      <c r="C108" t="inlineStr">
        <is>
          <t>Phase 1</t>
        </is>
      </c>
      <c r="D108" s="72" t="n">
        <v>27290000000</v>
      </c>
      <c r="E108" s="72" t="n">
        <v>659000000</v>
      </c>
      <c r="F108" s="96" t="n">
        <v>179302070.7624131</v>
      </c>
      <c r="G108" s="96" t="n">
        <v>24472344839.08416</v>
      </c>
      <c r="H108" s="151" t="n">
        <v>0.4483756841166025</v>
      </c>
    </row>
    <row r="109">
      <c r="A109" t="n">
        <v>107</v>
      </c>
      <c r="B109" t="n">
        <v>8.92</v>
      </c>
      <c r="C109" t="inlineStr">
        <is>
          <t>Phase 1</t>
        </is>
      </c>
      <c r="D109" s="72" t="n">
        <v>27959000000</v>
      </c>
      <c r="E109" s="72" t="n">
        <v>669000000</v>
      </c>
      <c r="F109" s="96" t="n">
        <v>183542586.2931312</v>
      </c>
      <c r="G109" s="96" t="n">
        <v>25045297425.3773</v>
      </c>
      <c r="H109" s="151" t="n">
        <v>0.4478932977820612</v>
      </c>
    </row>
    <row r="110">
      <c r="A110" t="n">
        <v>108</v>
      </c>
      <c r="B110" t="n">
        <v>9</v>
      </c>
      <c r="C110" t="inlineStr">
        <is>
          <t>Phase 1</t>
        </is>
      </c>
      <c r="D110" s="72" t="n">
        <v>28638000000</v>
      </c>
      <c r="E110" s="72" t="n">
        <v>679000000</v>
      </c>
      <c r="F110" s="96" t="n">
        <v>187839730.6903297</v>
      </c>
      <c r="G110" s="96" t="n">
        <v>25625757156.06763</v>
      </c>
      <c r="H110" s="151" t="n">
        <v>0.4474082889180045</v>
      </c>
    </row>
    <row r="111">
      <c r="A111" t="n">
        <v>109</v>
      </c>
      <c r="B111" t="n">
        <v>9.08</v>
      </c>
      <c r="C111" t="inlineStr">
        <is>
          <t>Phase 1</t>
        </is>
      </c>
      <c r="D111" s="72" t="n">
        <v>29327000000</v>
      </c>
      <c r="E111" s="72" t="n">
        <v>689000000</v>
      </c>
      <c r="F111" s="96" t="n">
        <v>192193178.6705072</v>
      </c>
      <c r="G111" s="96" t="n">
        <v>26213680334.73813</v>
      </c>
      <c r="H111" s="151" t="n">
        <v>0.4469205908333299</v>
      </c>
    </row>
    <row r="112">
      <c r="A112" t="n">
        <v>110</v>
      </c>
      <c r="B112" t="n">
        <v>9.17</v>
      </c>
      <c r="C112" t="inlineStr">
        <is>
          <t>Phase 1</t>
        </is>
      </c>
      <c r="D112" s="72" t="n">
        <v>30026000000</v>
      </c>
      <c r="E112" s="72" t="n">
        <v>699000000</v>
      </c>
      <c r="F112" s="96" t="n">
        <v>196602602.510536</v>
      </c>
      <c r="G112" s="96" t="n">
        <v>26809022937.24867</v>
      </c>
      <c r="H112" s="151" t="n">
        <v>0.4464301428303581</v>
      </c>
    </row>
    <row r="113">
      <c r="A113" t="n">
        <v>111</v>
      </c>
      <c r="B113" t="n">
        <v>9.25</v>
      </c>
      <c r="C113" t="inlineStr">
        <is>
          <t>Phase 1</t>
        </is>
      </c>
      <c r="D113" s="72" t="n">
        <v>30735000000</v>
      </c>
      <c r="E113" s="72" t="n">
        <v>709000000</v>
      </c>
      <c r="F113" s="96" t="n">
        <v>201067672.029365</v>
      </c>
      <c r="G113" s="96" t="n">
        <v>27411740609.27803</v>
      </c>
      <c r="H113" s="151" t="n">
        <v>0.4459368896905488</v>
      </c>
    </row>
    <row r="114">
      <c r="A114" t="n">
        <v>112</v>
      </c>
      <c r="B114" t="n">
        <v>9.33</v>
      </c>
      <c r="C114" t="inlineStr">
        <is>
          <t>Phase 1</t>
        </is>
      </c>
      <c r="D114" s="72" t="n">
        <v>31454000000</v>
      </c>
      <c r="E114" s="72" t="n">
        <v>719000000</v>
      </c>
      <c r="F114" s="96" t="n">
        <v>205588054.5695853</v>
      </c>
      <c r="G114" s="96" t="n">
        <v>28021788663.84762</v>
      </c>
      <c r="H114" s="151" t="n">
        <v>0.445440781201876</v>
      </c>
    </row>
    <row r="115">
      <c r="A115" t="n">
        <v>113</v>
      </c>
      <c r="B115" t="n">
        <v>9.42</v>
      </c>
      <c r="C115" t="inlineStr">
        <is>
          <t>Phase 1</t>
        </is>
      </c>
      <c r="D115" s="72" t="n">
        <v>32183000000</v>
      </c>
      <c r="E115" s="72" t="n">
        <v>729000000</v>
      </c>
      <c r="F115" s="96" t="n">
        <v>210163414.9788571</v>
      </c>
      <c r="G115" s="96" t="n">
        <v>28639122078.82648</v>
      </c>
      <c r="H115" s="151" t="n">
        <v>0.4449417717246136</v>
      </c>
    </row>
    <row r="116">
      <c r="A116" t="n">
        <v>114</v>
      </c>
      <c r="B116" t="n">
        <v>9.5</v>
      </c>
      <c r="C116" t="inlineStr">
        <is>
          <t>Phase 1</t>
        </is>
      </c>
      <c r="D116" s="72" t="n">
        <v>32922000000</v>
      </c>
      <c r="E116" s="72" t="n">
        <v>739000000</v>
      </c>
      <c r="F116" s="96" t="n">
        <v>214793415.5911986</v>
      </c>
      <c r="G116" s="96" t="n">
        <v>29263695494.41768</v>
      </c>
      <c r="H116" s="151" t="n">
        <v>0.4444398197925046</v>
      </c>
    </row>
    <row r="117">
      <c r="A117" t="n">
        <v>115</v>
      </c>
      <c r="B117" t="n">
        <v>9.58</v>
      </c>
      <c r="C117" t="inlineStr">
        <is>
          <t>Phase 1</t>
        </is>
      </c>
      <c r="D117" s="72" t="n">
        <v>33671000000</v>
      </c>
      <c r="E117" s="72" t="n">
        <v>749000000</v>
      </c>
      <c r="F117" s="96" t="n">
        <v>219477716.2081326</v>
      </c>
      <c r="G117" s="96" t="n">
        <v>29895463210.62581</v>
      </c>
      <c r="H117" s="151" t="n">
        <v>0.443934887746515</v>
      </c>
    </row>
    <row r="118">
      <c r="A118" t="n">
        <v>116</v>
      </c>
      <c r="B118" t="n">
        <v>9.67</v>
      </c>
      <c r="C118" t="inlineStr">
        <is>
          <t>Phase 1</t>
        </is>
      </c>
      <c r="D118" s="72" t="n">
        <v>34430000000</v>
      </c>
      <c r="E118" s="72" t="n">
        <v>759000000</v>
      </c>
      <c r="F118" s="96" t="n">
        <v>224215974.0796936</v>
      </c>
      <c r="G118" s="96" t="n">
        <v>30534379184.7055</v>
      </c>
      <c r="H118" s="151" t="n">
        <v>0.4434269413985696</v>
      </c>
    </row>
    <row r="119">
      <c r="A119" t="n">
        <v>117</v>
      </c>
      <c r="B119" t="n">
        <v>9.75</v>
      </c>
      <c r="C119" t="inlineStr">
        <is>
          <t>Phase 1</t>
        </is>
      </c>
      <c r="D119" s="72" t="n">
        <v>35199000000</v>
      </c>
      <c r="E119" s="72" t="n">
        <v>769000000</v>
      </c>
      <c r="F119" s="96" t="n">
        <v>229007843.8852912</v>
      </c>
      <c r="G119" s="96" t="n">
        <v>31180397028.59079</v>
      </c>
      <c r="H119" s="151" t="n">
        <v>0.4429159497228727</v>
      </c>
    </row>
    <row r="120">
      <c r="A120" t="n">
        <v>118</v>
      </c>
      <c r="B120" t="n">
        <v>9.83</v>
      </c>
      <c r="C120" t="inlineStr">
        <is>
          <t>Phase 1</t>
        </is>
      </c>
      <c r="D120" s="72" t="n">
        <v>35978000000</v>
      </c>
      <c r="E120" s="72" t="n">
        <v>779000000</v>
      </c>
      <c r="F120" s="96" t="n">
        <v>233852977.714431</v>
      </c>
      <c r="G120" s="96" t="n">
        <v>31833470006.30523</v>
      </c>
      <c r="H120" s="151" t="n">
        <v>0.4424018845725892</v>
      </c>
    </row>
    <row r="121">
      <c r="A121" t="n">
        <v>119</v>
      </c>
      <c r="B121" t="n">
        <v>9.92</v>
      </c>
      <c r="C121" t="inlineStr">
        <is>
          <t>Phase 1</t>
        </is>
      </c>
      <c r="D121" s="72" t="n">
        <v>36767000000</v>
      </c>
      <c r="E121" s="72" t="n">
        <v>789000000</v>
      </c>
      <c r="F121" s="96" t="n">
        <v>238751025.0472892</v>
      </c>
      <c r="G121" s="96" t="n">
        <v>32493551031.35252</v>
      </c>
      <c r="H121" s="151" t="n">
        <v>0.44188472041984</v>
      </c>
    </row>
    <row r="122">
      <c r="A122" t="n">
        <v>120</v>
      </c>
      <c r="B122" t="n">
        <v>10</v>
      </c>
      <c r="C122" t="inlineStr">
        <is>
          <t>Phase 1</t>
        </is>
      </c>
      <c r="D122" s="72" t="n">
        <v>37566000000</v>
      </c>
      <c r="E122" s="72" t="n">
        <v>799000000</v>
      </c>
      <c r="F122" s="96" t="n">
        <v>243701632.7351439</v>
      </c>
      <c r="G122" s="96" t="n">
        <v>33160592664.08766</v>
      </c>
      <c r="H122" s="151" t="n">
        <v>0.4413644341171227</v>
      </c>
    </row>
    <row r="123">
      <c r="A123" t="n">
        <v>121</v>
      </c>
      <c r="B123" t="n">
        <v>10.08</v>
      </c>
      <c r="C123" t="inlineStr">
        <is>
          <t>Phase 1</t>
        </is>
      </c>
      <c r="D123" s="72" t="n">
        <v>38375000000</v>
      </c>
      <c r="E123" s="72" t="n">
        <v>809000000</v>
      </c>
      <c r="F123" s="96" t="n">
        <v>248704444.9806575</v>
      </c>
      <c r="G123" s="96" t="n">
        <v>33834547109.06832</v>
      </c>
      <c r="H123" s="151" t="n">
        <v>0.4408410046784146</v>
      </c>
    </row>
    <row r="124">
      <c r="A124" t="n">
        <v>122</v>
      </c>
      <c r="B124" t="n">
        <v>10.17</v>
      </c>
      <c r="C124" t="inlineStr">
        <is>
          <t>Phase 1</t>
        </is>
      </c>
      <c r="D124" s="72" t="n">
        <v>39194000000</v>
      </c>
      <c r="E124" s="72" t="n">
        <v>819000000</v>
      </c>
      <c r="F124" s="96" t="n">
        <v>253759103.3180124</v>
      </c>
      <c r="G124" s="96" t="n">
        <v>34515366212.38633</v>
      </c>
      <c r="H124" s="151" t="n">
        <v>0.4403144130783581</v>
      </c>
    </row>
    <row r="125">
      <c r="A125" t="n">
        <v>123</v>
      </c>
      <c r="B125" t="n">
        <v>10.25</v>
      </c>
      <c r="C125" t="inlineStr">
        <is>
          <t>Phase 1</t>
        </is>
      </c>
      <c r="D125" s="72" t="n">
        <v>40023000000</v>
      </c>
      <c r="E125" s="72" t="n">
        <v>829000000</v>
      </c>
      <c r="F125" s="96" t="n">
        <v>258865246.5928975</v>
      </c>
      <c r="G125" s="96" t="n">
        <v>35203001458.97923</v>
      </c>
      <c r="H125" s="151" t="n">
        <v>0.4397846420680512</v>
      </c>
    </row>
    <row r="126">
      <c r="A126" t="n">
        <v>124</v>
      </c>
      <c r="B126" t="n">
        <v>10.33</v>
      </c>
      <c r="C126" t="inlineStr">
        <is>
          <t>Phase 1</t>
        </is>
      </c>
      <c r="D126" s="72" t="n">
        <v>40862000000</v>
      </c>
      <c r="E126" s="72" t="n">
        <v>839000000</v>
      </c>
      <c r="F126" s="96" t="n">
        <v>264022510.9423442</v>
      </c>
      <c r="G126" s="96" t="n">
        <v>35897403969.92157</v>
      </c>
      <c r="H126" s="151" t="n">
        <v>0.4392516760060884</v>
      </c>
    </row>
    <row r="127">
      <c r="A127" t="n">
        <v>125</v>
      </c>
      <c r="B127" t="n">
        <v>10.42</v>
      </c>
      <c r="C127" t="inlineStr">
        <is>
          <t>Phase 1</t>
        </is>
      </c>
      <c r="D127" s="72" t="n">
        <v>41711000000</v>
      </c>
      <c r="E127" s="72" t="n">
        <v>849000000</v>
      </c>
      <c r="F127" s="96" t="n">
        <v>269230529.7744117</v>
      </c>
      <c r="G127" s="96" t="n">
        <v>36598524499.69598</v>
      </c>
      <c r="H127" s="151" t="n">
        <v>0.4387155007036032</v>
      </c>
    </row>
    <row r="128">
      <c r="A128" t="n">
        <v>126</v>
      </c>
      <c r="B128" t="n">
        <v>10.5</v>
      </c>
      <c r="C128" t="inlineStr">
        <is>
          <t>Phase 1</t>
        </is>
      </c>
      <c r="D128" s="72" t="n">
        <v>42570000000</v>
      </c>
      <c r="E128" s="72" t="n">
        <v>859000000</v>
      </c>
      <c r="F128" s="96" t="n">
        <v>274488933.7477199</v>
      </c>
      <c r="G128" s="96" t="n">
        <v>37306313433.4437</v>
      </c>
      <c r="H128" s="151" t="n">
        <v>0.4381761032821671</v>
      </c>
    </row>
    <row r="129">
      <c r="A129" t="n">
        <v>127</v>
      </c>
      <c r="B129" t="n">
        <v>10.58</v>
      </c>
      <c r="C129" t="inlineStr">
        <is>
          <t>Phase 1</t>
        </is>
      </c>
      <c r="D129" s="72" t="n">
        <v>43439000000</v>
      </c>
      <c r="E129" s="72" t="n">
        <v>869000000</v>
      </c>
      <c r="F129" s="96" t="n">
        <v>279797350.7508278</v>
      </c>
      <c r="G129" s="96" t="n">
        <v>38020720784.19453</v>
      </c>
      <c r="H129" s="151" t="n">
        <v>0.4376334720434924</v>
      </c>
    </row>
    <row r="130">
      <c r="A130" t="n">
        <v>128</v>
      </c>
      <c r="B130" t="n">
        <v>10.67</v>
      </c>
      <c r="C130" t="inlineStr">
        <is>
          <t>Phase 1</t>
        </is>
      </c>
      <c r="D130" s="72" t="n">
        <v>44318000000</v>
      </c>
      <c r="E130" s="72" t="n">
        <v>879000000</v>
      </c>
      <c r="F130" s="96" t="n">
        <v>285155405.881459</v>
      </c>
      <c r="G130" s="96" t="n">
        <v>38741696190.076</v>
      </c>
      <c r="H130" s="151" t="n">
        <v>0.4370875963499706</v>
      </c>
    </row>
    <row r="131">
      <c r="A131" t="n">
        <v>129</v>
      </c>
      <c r="B131" t="n">
        <v>10.75</v>
      </c>
      <c r="C131" t="inlineStr">
        <is>
          <t>Phase 1</t>
        </is>
      </c>
      <c r="D131" s="72" t="n">
        <v>45207000000</v>
      </c>
      <c r="E131" s="72" t="n">
        <v>889000000</v>
      </c>
      <c r="F131" s="96" t="n">
        <v>290562721.42557</v>
      </c>
      <c r="G131" s="96" t="n">
        <v>39469188911.50156</v>
      </c>
      <c r="H131" s="151" t="n">
        <v>0.4365384665151588</v>
      </c>
    </row>
    <row r="132">
      <c r="A132" t="n">
        <v>130</v>
      </c>
      <c r="B132" t="n">
        <v>10.83</v>
      </c>
      <c r="C132" t="inlineStr">
        <is>
          <t>Phase 1</t>
        </is>
      </c>
      <c r="D132" s="72" t="n">
        <v>46106000000</v>
      </c>
      <c r="E132" s="72" t="n">
        <v>899000000</v>
      </c>
      <c r="F132" s="96" t="n">
        <v>296018916.8362617</v>
      </c>
      <c r="G132" s="96" t="n">
        <v>40203147828.33782</v>
      </c>
      <c r="H132" s="151" t="n">
        <v>0.4359860737033989</v>
      </c>
    </row>
    <row r="133">
      <c r="A133" t="n">
        <v>131</v>
      </c>
      <c r="B133" t="n">
        <v>10.92</v>
      </c>
      <c r="C133" t="inlineStr">
        <is>
          <t>Phase 1</t>
        </is>
      </c>
      <c r="D133" s="72" t="n">
        <v>47015000000</v>
      </c>
      <c r="E133" s="72" t="n">
        <v>909000000</v>
      </c>
      <c r="F133" s="96" t="n">
        <v>301523608.7125337</v>
      </c>
      <c r="G133" s="96" t="n">
        <v>40943521437.05035</v>
      </c>
      <c r="H133" s="151" t="n">
        <v>0.4354304098378215</v>
      </c>
    </row>
    <row r="134">
      <c r="A134" t="n">
        <v>132</v>
      </c>
      <c r="B134" t="n">
        <v>11</v>
      </c>
      <c r="C134" t="inlineStr">
        <is>
          <t>Phase 1</t>
        </is>
      </c>
      <c r="D134" s="72" t="n">
        <v>47934000000</v>
      </c>
      <c r="E134" s="72" t="n">
        <v>919000000</v>
      </c>
      <c r="F134" s="96" t="n">
        <v>307076410.7778776</v>
      </c>
      <c r="G134" s="96" t="n">
        <v>41690257847.82823</v>
      </c>
      <c r="H134" s="151" t="n">
        <v>0.4348714675160453</v>
      </c>
    </row>
    <row r="135">
      <c r="A135" t="n">
        <v>133</v>
      </c>
      <c r="B135" t="n">
        <v>11.08</v>
      </c>
      <c r="C135" t="inlineStr">
        <is>
          <t>Phase 1</t>
        </is>
      </c>
      <c r="D135" s="72" t="n">
        <v>48863000000</v>
      </c>
      <c r="E135" s="72" t="n">
        <v>929000000</v>
      </c>
      <c r="F135" s="96" t="n">
        <v>312676933.8587117</v>
      </c>
      <c r="G135" s="96" t="n">
        <v>42443304781.68694</v>
      </c>
      <c r="H135" s="151" t="n">
        <v>0.4343092399329446</v>
      </c>
    </row>
    <row r="136">
      <c r="A136" t="n">
        <v>134</v>
      </c>
      <c r="B136" t="n">
        <v>11.17</v>
      </c>
      <c r="C136" t="inlineStr">
        <is>
          <t>Phase 1</t>
        </is>
      </c>
      <c r="D136" s="72" t="n">
        <v>49802000000</v>
      </c>
      <c r="E136" s="72" t="n">
        <v>939000000</v>
      </c>
      <c r="F136" s="96" t="n">
        <v>318324785.8626521</v>
      </c>
      <c r="G136" s="96" t="n">
        <v>43202609567.5496</v>
      </c>
      <c r="H136" s="151" t="n">
        <v>0.4337437208099032</v>
      </c>
    </row>
    <row r="137">
      <c r="A137" t="n">
        <v>135</v>
      </c>
      <c r="B137" t="n">
        <v>11.25</v>
      </c>
      <c r="C137" t="inlineStr">
        <is>
          <t>Phase 1</t>
        </is>
      </c>
      <c r="D137" s="72" t="n">
        <v>50751000000</v>
      </c>
      <c r="E137" s="72" t="n">
        <v>949000000</v>
      </c>
      <c r="F137" s="96" t="n">
        <v>324019571.756622</v>
      </c>
      <c r="G137" s="96" t="n">
        <v>43968119139.30622</v>
      </c>
      <c r="H137" s="151" t="n">
        <v>0.4331749043300253</v>
      </c>
    </row>
    <row r="138">
      <c r="A138" t="n">
        <v>136</v>
      </c>
      <c r="B138" t="n">
        <v>11.33</v>
      </c>
      <c r="C138" t="inlineStr">
        <is>
          <t>Phase 1</t>
        </is>
      </c>
      <c r="D138" s="72" t="n">
        <v>51710000000</v>
      </c>
      <c r="E138" s="72" t="n">
        <v>959000000</v>
      </c>
      <c r="F138" s="96" t="n">
        <v>329760893.5447966</v>
      </c>
      <c r="G138" s="96" t="n">
        <v>44739780032.85102</v>
      </c>
      <c r="H138" s="151" t="n">
        <v>0.4326027850788147</v>
      </c>
    </row>
    <row r="139">
      <c r="A139" t="n">
        <v>137</v>
      </c>
      <c r="B139" t="n">
        <v>11.42</v>
      </c>
      <c r="C139" t="inlineStr">
        <is>
          <t>Phase 1</t>
        </is>
      </c>
      <c r="D139" s="72" t="n">
        <v>52679000000</v>
      </c>
      <c r="E139" s="72" t="n">
        <v>969000000</v>
      </c>
      <c r="F139" s="96" t="n">
        <v>335548350.2463827</v>
      </c>
      <c r="G139" s="96" t="n">
        <v>45517538383.0974</v>
      </c>
      <c r="H139" s="151" t="n">
        <v>0.4320273579898765</v>
      </c>
    </row>
    <row r="140">
      <c r="A140" t="n">
        <v>138</v>
      </c>
      <c r="B140" t="n">
        <v>11.5</v>
      </c>
      <c r="C140" t="inlineStr">
        <is>
          <t>Phase 1</t>
        </is>
      </c>
      <c r="D140" s="72" t="n">
        <v>53658000000</v>
      </c>
      <c r="E140" s="72" t="n">
        <v>979000000</v>
      </c>
      <c r="F140" s="96" t="n">
        <v>341381537.8732305</v>
      </c>
      <c r="G140" s="96" t="n">
        <v>46301339920.97063</v>
      </c>
      <c r="H140" s="151" t="n">
        <v>0.4314486182952275</v>
      </c>
    </row>
    <row r="141">
      <c r="A141" t="n">
        <v>139</v>
      </c>
      <c r="B141" t="n">
        <v>11.58</v>
      </c>
      <c r="C141" t="inlineStr">
        <is>
          <t>Phase 1</t>
        </is>
      </c>
      <c r="D141" s="72" t="n">
        <v>54647000000</v>
      </c>
      <c r="E141" s="72" t="n">
        <v>989000000</v>
      </c>
      <c r="F141" s="96" t="n">
        <v>347260049.4072797</v>
      </c>
      <c r="G141" s="96" t="n">
        <v>47091129970.37791</v>
      </c>
      <c r="H141" s="151" t="n">
        <v>0.4308665614798426</v>
      </c>
    </row>
    <row r="142">
      <c r="A142" t="n">
        <v>140</v>
      </c>
      <c r="B142" t="n">
        <v>11.67</v>
      </c>
      <c r="C142" t="inlineStr">
        <is>
          <t>Phase 1</t>
        </is>
      </c>
      <c r="D142" s="72" t="n">
        <v>55646000000</v>
      </c>
      <c r="E142" s="72" t="n">
        <v>999000000</v>
      </c>
      <c r="F142" s="96" t="n">
        <v>353183474.7778344</v>
      </c>
      <c r="G142" s="96" t="n">
        <v>47886853445.15575</v>
      </c>
      <c r="H142" s="151" t="n">
        <v>0.4302811832400869</v>
      </c>
    </row>
    <row r="143">
      <c r="A143" t="n">
        <v>141</v>
      </c>
      <c r="B143" t="n">
        <v>11.75</v>
      </c>
      <c r="C143" t="inlineStr">
        <is>
          <t>Phase 1</t>
        </is>
      </c>
      <c r="D143" s="72" t="n">
        <v>56655000000</v>
      </c>
      <c r="E143" s="72" t="n">
        <v>1009000000</v>
      </c>
      <c r="F143" s="96" t="n">
        <v>359151400.8386681</v>
      </c>
      <c r="G143" s="96" t="n">
        <v>48688454845.99442</v>
      </c>
      <c r="H143" s="151" t="n">
        <v>0.429692479445719</v>
      </c>
    </row>
    <row r="144">
      <c r="A144" t="n">
        <v>142</v>
      </c>
      <c r="B144" t="n">
        <v>11.83</v>
      </c>
      <c r="C144" t="inlineStr">
        <is>
          <t>Phase 1</t>
        </is>
      </c>
      <c r="D144" s="72" t="n">
        <v>57674000000</v>
      </c>
      <c r="E144" s="72" t="n">
        <v>1019000000</v>
      </c>
      <c r="F144" s="96" t="n">
        <v>365163411.3449581</v>
      </c>
      <c r="G144" s="96" t="n">
        <v>49495878257.33937</v>
      </c>
      <c r="H144" s="151" t="n">
        <v>0.4291004461051719</v>
      </c>
    </row>
    <row r="145">
      <c r="A145" t="n">
        <v>143</v>
      </c>
      <c r="B145" t="n">
        <v>11.92</v>
      </c>
      <c r="C145" t="inlineStr">
        <is>
          <t>Phase 1</t>
        </is>
      </c>
      <c r="D145" s="72" t="n">
        <v>58703000000</v>
      </c>
      <c r="E145" s="72" t="n">
        <v>1029000000</v>
      </c>
      <c r="F145" s="96" t="n">
        <v>371219086.9300452</v>
      </c>
      <c r="G145" s="96" t="n">
        <v>50309067344.26942</v>
      </c>
      <c r="H145" s="151" t="n">
        <v>0.4285050793338451</v>
      </c>
    </row>
    <row r="146">
      <c r="A146" t="n">
        <v>144</v>
      </c>
      <c r="B146" t="n">
        <v>12</v>
      </c>
      <c r="C146" t="inlineStr">
        <is>
          <t>Phase 1</t>
        </is>
      </c>
      <c r="D146" s="72" t="n">
        <v>59742000000</v>
      </c>
      <c r="E146" s="72" t="n">
        <v>1039000000</v>
      </c>
      <c r="F146" s="96" t="n">
        <v>377318005.0820206</v>
      </c>
      <c r="G146" s="96" t="n">
        <v>51127965349.35144</v>
      </c>
      <c r="H146" s="151" t="n">
        <v>0.4279063753251602</v>
      </c>
    </row>
    <row r="147">
      <c r="A147" t="n">
        <v>145</v>
      </c>
      <c r="B147" t="n">
        <v>12.08</v>
      </c>
      <c r="C147" t="inlineStr">
        <is>
          <t>Phase 1</t>
        </is>
      </c>
      <c r="D147" s="72" t="n">
        <v>60791000000</v>
      </c>
      <c r="E147" s="72" t="n">
        <v>1049000000</v>
      </c>
      <c r="F147" s="96" t="n">
        <v>383459740.1201358</v>
      </c>
      <c r="G147" s="96" t="n">
        <v>51952515089.47157</v>
      </c>
      <c r="H147" s="151" t="n">
        <v>0.4273043303241563</v>
      </c>
    </row>
    <row r="148">
      <c r="A148" t="n">
        <v>146</v>
      </c>
      <c r="B148" t="n">
        <v>12.17</v>
      </c>
      <c r="C148" t="inlineStr">
        <is>
          <t>Phase 1</t>
        </is>
      </c>
      <c r="D148" s="72" t="n">
        <v>61850000000</v>
      </c>
      <c r="E148" s="72" t="n">
        <v>1059000000</v>
      </c>
      <c r="F148" s="96" t="n">
        <v>389643863.1710368</v>
      </c>
      <c r="G148" s="96" t="n">
        <v>52782658952.64261</v>
      </c>
      <c r="H148" s="151" t="n">
        <v>0.4266989406034164</v>
      </c>
    </row>
    <row r="149">
      <c r="A149" t="n">
        <v>147</v>
      </c>
      <c r="B149" t="n">
        <v>12.25</v>
      </c>
      <c r="C149" t="inlineStr">
        <is>
          <t>Phase 1</t>
        </is>
      </c>
      <c r="D149" s="72" t="n">
        <v>62919000000</v>
      </c>
      <c r="E149" s="72" t="n">
        <v>1069000000</v>
      </c>
      <c r="F149" s="96" t="n">
        <v>395869942.1448196</v>
      </c>
      <c r="G149" s="96" t="n">
        <v>53618338894.78743</v>
      </c>
      <c r="H149" s="151" t="n">
        <v>0.4260902024411341</v>
      </c>
    </row>
    <row r="150">
      <c r="A150" t="n">
        <v>148</v>
      </c>
      <c r="B150" t="n">
        <v>12.33</v>
      </c>
      <c r="C150" t="inlineStr">
        <is>
          <t>Phase 1</t>
        </is>
      </c>
      <c r="D150" s="72" t="n">
        <v>63998000000</v>
      </c>
      <c r="E150" s="72" t="n">
        <v>1079000000</v>
      </c>
      <c r="F150" s="96" t="n">
        <v>402137541.7109057</v>
      </c>
      <c r="G150" s="96" t="n">
        <v>54459496436.49834</v>
      </c>
      <c r="H150" s="151" t="n">
        <v>0.4254781121011464</v>
      </c>
    </row>
    <row r="151">
      <c r="A151" t="n">
        <v>149</v>
      </c>
      <c r="B151" t="n">
        <v>12.42</v>
      </c>
      <c r="C151" t="inlineStr">
        <is>
          <t>Phase 1</t>
        </is>
      </c>
      <c r="D151" s="72" t="n">
        <v>65087000000</v>
      </c>
      <c r="E151" s="72" t="n">
        <v>1089000000</v>
      </c>
      <c r="F151" s="96" t="n">
        <v>408446223.2737375</v>
      </c>
      <c r="G151" s="96" t="n">
        <v>55306072659.77207</v>
      </c>
      <c r="H151" s="151" t="n">
        <v>0.4248626658147716</v>
      </c>
    </row>
    <row r="152">
      <c r="A152" t="n">
        <v>150</v>
      </c>
      <c r="B152" t="n">
        <v>12.5</v>
      </c>
      <c r="C152" t="inlineStr">
        <is>
          <t>Phase 1</t>
        </is>
      </c>
      <c r="D152" s="72" t="n">
        <v>66186000000</v>
      </c>
      <c r="E152" s="72" t="n">
        <v>1099000000</v>
      </c>
      <c r="F152" s="96" t="n">
        <v>414795544.9482905</v>
      </c>
      <c r="G152" s="96" t="n">
        <v>56158008204.72036</v>
      </c>
      <c r="H152" s="151" t="n">
        <v>0.4242438597643033</v>
      </c>
    </row>
    <row r="153">
      <c r="A153" t="n">
        <v>151</v>
      </c>
      <c r="B153" t="n">
        <v>12.58</v>
      </c>
      <c r="C153" t="inlineStr">
        <is>
          <t>Phase 1</t>
        </is>
      </c>
      <c r="D153" s="72" t="n">
        <v>67295000000</v>
      </c>
      <c r="E153" s="72" t="n">
        <v>1109000000</v>
      </c>
      <c r="F153" s="96" t="n">
        <v>421185061.5354027</v>
      </c>
      <c r="G153" s="96" t="n">
        <v>57015243266.25576</v>
      </c>
      <c r="H153" s="151" t="n">
        <v>0.423621690068027</v>
      </c>
    </row>
    <row r="154">
      <c r="A154" t="n">
        <v>152</v>
      </c>
      <c r="B154" t="n">
        <v>12.67</v>
      </c>
      <c r="C154" t="inlineStr">
        <is>
          <t>Phase 1</t>
        </is>
      </c>
      <c r="D154" s="72" t="n">
        <v>68414000000</v>
      </c>
      <c r="E154" s="72" t="n">
        <v>1119000000</v>
      </c>
      <c r="F154" s="96" t="n">
        <v>427614324.4969182</v>
      </c>
      <c r="G154" s="96" t="n">
        <v>57877717590.75268</v>
      </c>
      <c r="H154" s="151" t="n">
        <v>0.4229961527666317</v>
      </c>
    </row>
    <row r="155">
      <c r="A155" t="n">
        <v>153</v>
      </c>
      <c r="B155" t="n">
        <v>12.75</v>
      </c>
      <c r="C155" t="inlineStr">
        <is>
          <t>Phase 1</t>
        </is>
      </c>
      <c r="D155" s="72" t="n">
        <v>69543000000</v>
      </c>
      <c r="E155" s="72" t="n">
        <v>1129000000</v>
      </c>
      <c r="F155" s="96" t="n">
        <v>434082881.930645</v>
      </c>
      <c r="G155" s="96" t="n">
        <v>58745370472.68333</v>
      </c>
      <c r="H155" s="151" t="n">
        <v>0.4223672438109035</v>
      </c>
    </row>
    <row r="156">
      <c r="A156" t="n">
        <v>154</v>
      </c>
      <c r="B156" t="n">
        <v>12.83</v>
      </c>
      <c r="C156" t="inlineStr">
        <is>
          <t>Phase 1</t>
        </is>
      </c>
      <c r="D156" s="72" t="n">
        <v>70682000000</v>
      </c>
      <c r="E156" s="72" t="n">
        <v>1139000000</v>
      </c>
      <c r="F156" s="96" t="n">
        <v>440590278.5451249</v>
      </c>
      <c r="G156" s="96" t="n">
        <v>59618140751.22845</v>
      </c>
      <c r="H156" s="151" t="n">
        <v>0.421734959050596</v>
      </c>
    </row>
    <row r="157">
      <c r="A157" t="n">
        <v>155</v>
      </c>
      <c r="B157" t="n">
        <v>12.92</v>
      </c>
      <c r="C157" t="inlineStr">
        <is>
          <t>Phase 1</t>
        </is>
      </c>
      <c r="D157" s="72" t="n">
        <v>71831000000</v>
      </c>
      <c r="E157" s="72" t="n">
        <v>1149000000</v>
      </c>
      <c r="F157" s="96" t="n">
        <v>447136055.6342134</v>
      </c>
      <c r="G157" s="96" t="n">
        <v>60495966806.86267</v>
      </c>
      <c r="H157" s="151" t="n">
        <v>0.4210992942243785</v>
      </c>
    </row>
    <row r="158">
      <c r="A158" t="n">
        <v>156</v>
      </c>
      <c r="B158" t="n">
        <v>13</v>
      </c>
      <c r="C158" t="inlineStr">
        <is>
          <t>Phase 1</t>
        </is>
      </c>
      <c r="D158" s="72" t="n">
        <v>72990000000</v>
      </c>
      <c r="E158" s="72" t="n">
        <v>1159000000</v>
      </c>
      <c r="F158" s="96" t="n">
        <v>453719751.05147</v>
      </c>
      <c r="G158" s="96" t="n">
        <v>61378786557.91414</v>
      </c>
      <c r="H158" s="151" t="n">
        <v>0.4204602449507751</v>
      </c>
    </row>
    <row r="159">
      <c r="A159" t="n">
        <v>157</v>
      </c>
      <c r="B159" t="n">
        <v>13.08</v>
      </c>
      <c r="C159" t="inlineStr">
        <is>
          <t>Phase 1</t>
        </is>
      </c>
      <c r="D159" s="72" t="n">
        <v>74159000000</v>
      </c>
      <c r="E159" s="72" t="n">
        <v>1169000000</v>
      </c>
      <c r="F159" s="96" t="n">
        <v>460340899.184356</v>
      </c>
      <c r="G159" s="96" t="n">
        <v>62266537457.0985</v>
      </c>
      <c r="H159" s="151" t="n">
        <v>0.4198178067200103</v>
      </c>
    </row>
    <row r="160">
      <c r="A160" t="n">
        <v>158</v>
      </c>
      <c r="B160" t="n">
        <v>13.17</v>
      </c>
      <c r="C160" t="inlineStr">
        <is>
          <t>Phase 1</t>
        </is>
      </c>
      <c r="D160" s="72" t="n">
        <v>75348000000</v>
      </c>
      <c r="E160" s="72" t="n">
        <v>1189000000</v>
      </c>
      <c r="F160" s="96" t="n">
        <v>466999030.9282387</v>
      </c>
      <c r="G160" s="96" t="n">
        <v>63169056488.02673</v>
      </c>
      <c r="H160" s="151" t="n">
        <v>0.4191820385944334</v>
      </c>
    </row>
    <row r="161">
      <c r="A161" t="n">
        <v>159</v>
      </c>
      <c r="B161" t="n">
        <v>13.25</v>
      </c>
      <c r="C161" t="inlineStr">
        <is>
          <t>Phase 1</t>
        </is>
      </c>
      <c r="D161" s="72" t="n">
        <v>76557000000</v>
      </c>
      <c r="E161" s="72" t="n">
        <v>1209000000</v>
      </c>
      <c r="F161" s="96" t="n">
        <v>473767923.6602005</v>
      </c>
      <c r="G161" s="96" t="n">
        <v>64086254411.68694</v>
      </c>
      <c r="H161" s="151" t="n">
        <v>0.4185525452387563</v>
      </c>
    </row>
    <row r="162">
      <c r="A162" t="n">
        <v>160</v>
      </c>
      <c r="B162" t="n">
        <v>13.33</v>
      </c>
      <c r="C162" t="inlineStr">
        <is>
          <t>Phase 1</t>
        </is>
      </c>
      <c r="D162" s="72" t="n">
        <v>77786000000</v>
      </c>
      <c r="E162" s="72" t="n">
        <v>1229000000</v>
      </c>
      <c r="F162" s="96" t="n">
        <v>480646908.087652</v>
      </c>
      <c r="G162" s="96" t="n">
        <v>65018041319.77459</v>
      </c>
      <c r="H162" s="151" t="n">
        <v>0.4179289417104273</v>
      </c>
    </row>
    <row r="163">
      <c r="A163" t="n">
        <v>161</v>
      </c>
      <c r="B163" t="n">
        <v>13.42</v>
      </c>
      <c r="C163" t="inlineStr">
        <is>
          <t>Phase 1</t>
        </is>
      </c>
      <c r="D163" s="72" t="n">
        <v>79035000000</v>
      </c>
      <c r="E163" s="72" t="n">
        <v>1249000000</v>
      </c>
      <c r="F163" s="96" t="n">
        <v>487635309.8983094</v>
      </c>
      <c r="G163" s="96" t="n">
        <v>65964326629.6729</v>
      </c>
      <c r="H163" s="151" t="n">
        <v>0.4173108536070911</v>
      </c>
    </row>
    <row r="164">
      <c r="A164" t="n">
        <v>162</v>
      </c>
      <c r="B164" t="n">
        <v>13.5</v>
      </c>
      <c r="C164" t="inlineStr">
        <is>
          <t>Phase 1</t>
        </is>
      </c>
      <c r="D164" s="72" t="n">
        <v>80304000000</v>
      </c>
      <c r="E164" s="72" t="n">
        <v>1269000000</v>
      </c>
      <c r="F164" s="96" t="n">
        <v>494732449.7225467</v>
      </c>
      <c r="G164" s="96" t="n">
        <v>66925019079.39545</v>
      </c>
      <c r="H164" s="151" t="n">
        <v>0.4166979171610097</v>
      </c>
    </row>
    <row r="165">
      <c r="A165" t="n">
        <v>163</v>
      </c>
      <c r="B165" t="n">
        <v>13.58</v>
      </c>
      <c r="C165" t="inlineStr">
        <is>
          <t>Phase 1</t>
        </is>
      </c>
      <c r="D165" s="72" t="n">
        <v>81593000000</v>
      </c>
      <c r="E165" s="72" t="n">
        <v>1289000000</v>
      </c>
      <c r="F165" s="96" t="n">
        <v>501937643.0954658</v>
      </c>
      <c r="G165" s="96" t="n">
        <v>67900026722.49091</v>
      </c>
      <c r="H165" s="151" t="n">
        <v>0.4160897792855448</v>
      </c>
    </row>
    <row r="166">
      <c r="A166" t="n">
        <v>164</v>
      </c>
      <c r="B166" t="n">
        <v>13.67</v>
      </c>
      <c r="C166" t="inlineStr">
        <is>
          <t>Phase 1</t>
        </is>
      </c>
      <c r="D166" s="72" t="n">
        <v>82902000000</v>
      </c>
      <c r="E166" s="72" t="n">
        <v>1309000000</v>
      </c>
      <c r="F166" s="96" t="n">
        <v>509250200.4186819</v>
      </c>
      <c r="G166" s="96" t="n">
        <v>68889256922.90959</v>
      </c>
      <c r="H166" s="151" t="n">
        <v>0.415486097578524</v>
      </c>
    </row>
    <row r="167">
      <c r="A167" t="n">
        <v>165</v>
      </c>
      <c r="B167" t="n">
        <v>13.75</v>
      </c>
      <c r="C167" t="inlineStr">
        <is>
          <t>Phase 1</t>
        </is>
      </c>
      <c r="D167" s="72" t="n">
        <v>84231000000</v>
      </c>
      <c r="E167" s="72" t="n">
        <v>1329000000</v>
      </c>
      <c r="F167" s="96" t="n">
        <v>516669426.9218219</v>
      </c>
      <c r="G167" s="96" t="n">
        <v>69892616349.83142</v>
      </c>
      <c r="H167" s="151" t="n">
        <v>0.4148865402870168</v>
      </c>
    </row>
    <row r="168">
      <c r="A168" t="n">
        <v>166</v>
      </c>
      <c r="B168" t="n">
        <v>13.83</v>
      </c>
      <c r="C168" t="inlineStr">
        <is>
          <t>Phase 1</t>
        </is>
      </c>
      <c r="D168" s="72" t="n">
        <v>85580000000</v>
      </c>
      <c r="E168" s="72" t="n">
        <v>1349000000</v>
      </c>
      <c r="F168" s="96" t="n">
        <v>524194622.6237357</v>
      </c>
      <c r="G168" s="96" t="n">
        <v>70910010972.45515</v>
      </c>
      <c r="H168" s="151" t="n">
        <v>0.4142907862377609</v>
      </c>
    </row>
    <row r="169">
      <c r="A169" t="n">
        <v>167</v>
      </c>
      <c r="B169" t="n">
        <v>13.92</v>
      </c>
      <c r="C169" t="inlineStr">
        <is>
          <t>Phase 1</t>
        </is>
      </c>
      <c r="D169" s="72" t="n">
        <v>86949000000</v>
      </c>
      <c r="E169" s="72" t="n">
        <v>1369000000</v>
      </c>
      <c r="F169" s="96" t="n">
        <v>531825082.2934136</v>
      </c>
      <c r="G169" s="96" t="n">
        <v>71941346054.74857</v>
      </c>
      <c r="H169" s="151" t="n">
        <v>0.413698524737194</v>
      </c>
    </row>
    <row r="170">
      <c r="A170" t="n">
        <v>168</v>
      </c>
      <c r="B170" t="n">
        <v>14</v>
      </c>
      <c r="C170" t="inlineStr">
        <is>
          <t>Phase 1</t>
        </is>
      </c>
      <c r="D170" s="72" t="n">
        <v>88338000000</v>
      </c>
      <c r="E170" s="72" t="n">
        <v>1389000000</v>
      </c>
      <c r="F170" s="96" t="n">
        <v>539560095.4106143</v>
      </c>
      <c r="G170" s="96" t="n">
        <v>72986526150.15918</v>
      </c>
      <c r="H170" s="151" t="n">
        <v>0.4131094554447643</v>
      </c>
    </row>
    <row r="171">
      <c r="A171" t="n">
        <v>169</v>
      </c>
      <c r="B171" t="n">
        <v>14.08</v>
      </c>
      <c r="C171" t="inlineStr">
        <is>
          <t>Phase 1</t>
        </is>
      </c>
      <c r="D171" s="72" t="n">
        <v>89747000000</v>
      </c>
      <c r="E171" s="72" t="n">
        <v>1409000000</v>
      </c>
      <c r="F171" s="96" t="n">
        <v>547398946.1261939</v>
      </c>
      <c r="G171" s="96" t="n">
        <v>74045455096.28537</v>
      </c>
      <c r="H171" s="151" t="n">
        <v>0.4125232882229232</v>
      </c>
    </row>
    <row r="172">
      <c r="A172" t="n">
        <v>170</v>
      </c>
      <c r="B172" t="n">
        <v>14.17</v>
      </c>
      <c r="C172" t="inlineStr">
        <is>
          <t>Phase 1</t>
        </is>
      </c>
      <c r="D172" s="72" t="n">
        <v>91176000000</v>
      </c>
      <c r="E172" s="72" t="n">
        <v>1429000000</v>
      </c>
      <c r="F172" s="96" t="n">
        <v>555340913.2221403</v>
      </c>
      <c r="G172" s="96" t="n">
        <v>75118036009.50751</v>
      </c>
      <c r="H172" s="151" t="n">
        <v>0.4119397429669404</v>
      </c>
    </row>
    <row r="173">
      <c r="A173" t="n">
        <v>171</v>
      </c>
      <c r="B173" t="n">
        <v>14.25</v>
      </c>
      <c r="C173" t="inlineStr">
        <is>
          <t>Phase 1</t>
        </is>
      </c>
      <c r="D173" s="72" t="n">
        <v>92625000000</v>
      </c>
      <c r="E173" s="72" t="n">
        <v>1449000000</v>
      </c>
      <c r="F173" s="96" t="n">
        <v>563385270.0713062</v>
      </c>
      <c r="G173" s="96" t="n">
        <v>76204171279.57881</v>
      </c>
      <c r="H173" s="151" t="n">
        <v>0.4113585494174295</v>
      </c>
    </row>
    <row r="174">
      <c r="A174" t="n">
        <v>172</v>
      </c>
      <c r="B174" t="n">
        <v>14.33</v>
      </c>
      <c r="C174" t="inlineStr">
        <is>
          <t>Phase 1</t>
        </is>
      </c>
      <c r="D174" s="72" t="n">
        <v>94094000000</v>
      </c>
      <c r="E174" s="72" t="n">
        <v>1469000000</v>
      </c>
      <c r="F174" s="96" t="n">
        <v>571531284.5968411</v>
      </c>
      <c r="G174" s="96" t="n">
        <v>77303762564.17566</v>
      </c>
      <c r="H174" s="151" t="n">
        <v>0.4107794469582314</v>
      </c>
    </row>
    <row r="175">
      <c r="A175" t="n">
        <v>173</v>
      </c>
      <c r="B175" t="n">
        <v>14.42</v>
      </c>
      <c r="C175" t="inlineStr">
        <is>
          <t>Phase 1</t>
        </is>
      </c>
      <c r="D175" s="72" t="n">
        <v>95583000000</v>
      </c>
      <c r="E175" s="72" t="n">
        <v>1489000000</v>
      </c>
      <c r="F175" s="96" t="n">
        <v>579778219.2313174</v>
      </c>
      <c r="G175" s="96" t="n">
        <v>78416710783.40698</v>
      </c>
      <c r="H175" s="151" t="n">
        <v>0.4102021844020746</v>
      </c>
    </row>
    <row r="176">
      <c r="A176" t="n">
        <v>174</v>
      </c>
      <c r="B176" t="n">
        <v>14.5</v>
      </c>
      <c r="C176" t="inlineStr">
        <is>
          <t>Phase 1</t>
        </is>
      </c>
      <c r="D176" s="72" t="n">
        <v>97092000000</v>
      </c>
      <c r="E176" s="72" t="n">
        <v>1509000000</v>
      </c>
      <c r="F176" s="96" t="n">
        <v>588125330.8755523</v>
      </c>
      <c r="G176" s="96" t="n">
        <v>79542916114.28253</v>
      </c>
      <c r="H176" s="151" t="n">
        <v>0.4096265197662142</v>
      </c>
    </row>
    <row r="177">
      <c r="A177" t="n">
        <v>175</v>
      </c>
      <c r="B177" t="n">
        <v>14.58</v>
      </c>
      <c r="C177" t="inlineStr">
        <is>
          <t>Phase 1</t>
        </is>
      </c>
      <c r="D177" s="72" t="n">
        <v>98621000000</v>
      </c>
      <c r="E177" s="72" t="n">
        <v>1529000000</v>
      </c>
      <c r="F177" s="96" t="n">
        <v>596571870.857119</v>
      </c>
      <c r="G177" s="96" t="n">
        <v>80682277985.13965</v>
      </c>
      <c r="H177" s="151" t="n">
        <v>0.4090522200400505</v>
      </c>
    </row>
    <row r="178">
      <c r="A178" t="n">
        <v>176</v>
      </c>
      <c r="B178" t="n">
        <v>14.67</v>
      </c>
      <c r="C178" t="inlineStr">
        <is>
          <t>Phase 1</t>
        </is>
      </c>
      <c r="D178" s="72" t="n">
        <v>100170000000</v>
      </c>
      <c r="E178" s="72" t="n">
        <v>1549000000</v>
      </c>
      <c r="F178" s="96" t="n">
        <v>605117084.8885473</v>
      </c>
      <c r="G178" s="96" t="n">
        <v>81834695070.0282</v>
      </c>
      <c r="H178" s="151" t="n">
        <v>0.4084790609465319</v>
      </c>
    </row>
    <row r="179">
      <c r="A179" t="n">
        <v>177</v>
      </c>
      <c r="B179" t="n">
        <v>14.75</v>
      </c>
      <c r="C179" t="inlineStr">
        <is>
          <t>Phase 1</t>
        </is>
      </c>
      <c r="D179" s="72" t="n">
        <v>101739000000</v>
      </c>
      <c r="E179" s="72" t="n">
        <v>1569000000</v>
      </c>
      <c r="F179" s="96" t="n">
        <v>613760213.0252115</v>
      </c>
      <c r="G179" s="96" t="n">
        <v>83000065283.05341</v>
      </c>
      <c r="H179" s="151" t="n">
        <v>0.4079068266989719</v>
      </c>
    </row>
    <row r="180">
      <c r="A180" t="n">
        <v>178</v>
      </c>
      <c r="B180" t="n">
        <v>14.83</v>
      </c>
      <c r="C180" t="inlineStr">
        <is>
          <t>Phase 1</t>
        </is>
      </c>
      <c r="D180" s="72" t="n">
        <v>103328000000</v>
      </c>
      <c r="E180" s="72" t="n">
        <v>1589000000</v>
      </c>
      <c r="F180" s="96" t="n">
        <v>622500489.6229005</v>
      </c>
      <c r="G180" s="96" t="n">
        <v>84178285772.6763</v>
      </c>
      <c r="H180" s="151" t="n">
        <v>0.4073353097547436</v>
      </c>
    </row>
    <row r="181">
      <c r="A181" t="n">
        <v>179</v>
      </c>
      <c r="B181" t="n">
        <v>14.92</v>
      </c>
      <c r="C181" t="inlineStr">
        <is>
          <t>Phase 1</t>
        </is>
      </c>
      <c r="D181" s="72" t="n">
        <v>104937000000</v>
      </c>
      <c r="E181" s="72" t="n">
        <v>1609000000</v>
      </c>
      <c r="F181" s="96" t="n">
        <v>631337143.2950722</v>
      </c>
      <c r="G181" s="96" t="n">
        <v>85369252915.97137</v>
      </c>
      <c r="H181" s="151" t="n">
        <v>0.4067643105671563</v>
      </c>
    </row>
    <row r="182">
      <c r="A182" t="n">
        <v>180</v>
      </c>
      <c r="B182" t="n">
        <v>15</v>
      </c>
      <c r="C182" t="inlineStr">
        <is>
          <t>Phase 1</t>
        </is>
      </c>
      <c r="D182" s="72" t="n">
        <v>106566000000</v>
      </c>
      <c r="E182" s="72" t="n">
        <v>1629000000</v>
      </c>
      <c r="F182" s="96" t="n">
        <v>640269396.8697853</v>
      </c>
      <c r="G182" s="96" t="n">
        <v>86572862312.84116</v>
      </c>
      <c r="H182" s="151" t="n">
        <v>0.4061936373366794</v>
      </c>
    </row>
    <row r="183">
      <c r="A183" t="n">
        <v>181</v>
      </c>
      <c r="B183" t="n">
        <v>15.08</v>
      </c>
      <c r="C183" t="inlineStr">
        <is>
          <t>Phase 1</t>
        </is>
      </c>
      <c r="D183" s="72" t="n">
        <v>108215000000</v>
      </c>
      <c r="E183" s="72" t="n">
        <v>1649000000</v>
      </c>
      <c r="F183" s="96" t="n">
        <v>649296467.3463086</v>
      </c>
      <c r="G183" s="96" t="n">
        <v>87789008780.18747</v>
      </c>
      <c r="H183" s="151" t="n">
        <v>0.4056231057625443</v>
      </c>
    </row>
    <row r="184">
      <c r="A184" t="n">
        <v>182</v>
      </c>
      <c r="B184" t="n">
        <v>15.17</v>
      </c>
      <c r="C184" t="inlineStr">
        <is>
          <t>Phase 1</t>
        </is>
      </c>
      <c r="D184" s="72" t="n">
        <v>109884000000</v>
      </c>
      <c r="E184" s="72" t="n">
        <v>1669000000</v>
      </c>
      <c r="F184" s="96" t="n">
        <v>658417565.851406</v>
      </c>
      <c r="G184" s="96" t="n">
        <v>89017586346.03888</v>
      </c>
      <c r="H184" s="151" t="n">
        <v>0.405052538795634</v>
      </c>
    </row>
    <row r="185">
      <c r="A185" t="n">
        <v>183</v>
      </c>
      <c r="B185" t="n">
        <v>15.25</v>
      </c>
      <c r="C185" t="inlineStr">
        <is>
          <t>Phase 1</t>
        </is>
      </c>
      <c r="D185" s="72" t="n">
        <v>111573000000</v>
      </c>
      <c r="E185" s="72" t="n">
        <v>1689000000</v>
      </c>
      <c r="F185" s="96" t="n">
        <v>667631897.5952916</v>
      </c>
      <c r="G185" s="96" t="n">
        <v>90258488243.63417</v>
      </c>
      <c r="H185" s="151" t="n">
        <v>0.4044817663934562</v>
      </c>
    </row>
    <row r="186">
      <c r="A186" t="n">
        <v>184</v>
      </c>
      <c r="B186" t="n">
        <v>15.33</v>
      </c>
      <c r="C186" t="inlineStr">
        <is>
          <t>Phase 1</t>
        </is>
      </c>
      <c r="D186" s="72" t="n">
        <v>113282000000</v>
      </c>
      <c r="E186" s="72" t="n">
        <v>1709000000</v>
      </c>
      <c r="F186" s="96" t="n">
        <v>676938661.8272562</v>
      </c>
      <c r="G186" s="96" t="n">
        <v>91511606905.46143</v>
      </c>
      <c r="H186" s="151" t="n">
        <v>0.4039106252778968</v>
      </c>
    </row>
    <row r="187">
      <c r="A187" t="n">
        <v>185</v>
      </c>
      <c r="B187" t="n">
        <v>15.42</v>
      </c>
      <c r="C187" t="inlineStr">
        <is>
          <t>Phase 1</t>
        </is>
      </c>
      <c r="D187" s="72" t="n">
        <v>115011000000</v>
      </c>
      <c r="E187" s="72" t="n">
        <v>1729000000</v>
      </c>
      <c r="F187" s="96" t="n">
        <v>686337051.7909607</v>
      </c>
      <c r="G187" s="96" t="n">
        <v>92776833957.25238</v>
      </c>
      <c r="H187" s="151" t="n">
        <v>0.4033389586963524</v>
      </c>
    </row>
    <row r="188">
      <c r="A188" t="n">
        <v>186</v>
      </c>
      <c r="B188" t="n">
        <v>15.5</v>
      </c>
      <c r="C188" t="inlineStr">
        <is>
          <t>Phase 1</t>
        </is>
      </c>
      <c r="D188" s="72" t="n">
        <v>116760000000</v>
      </c>
      <c r="E188" s="72" t="n">
        <v>1749000000</v>
      </c>
      <c r="F188" s="96" t="n">
        <v>695826254.6793928</v>
      </c>
      <c r="G188" s="96" t="n">
        <v>94054060211.93178</v>
      </c>
      <c r="H188" s="151" t="n">
        <v>0.4027666161867582</v>
      </c>
    </row>
    <row r="189">
      <c r="A189" t="n">
        <v>187</v>
      </c>
      <c r="B189" t="n">
        <v>15.58</v>
      </c>
      <c r="C189" t="inlineStr">
        <is>
          <t>Phase 1</t>
        </is>
      </c>
      <c r="D189" s="72" t="n">
        <v>118529000000</v>
      </c>
      <c r="E189" s="72" t="n">
        <v>1769000000</v>
      </c>
      <c r="F189" s="96" t="n">
        <v>705405451.5894883</v>
      </c>
      <c r="G189" s="96" t="n">
        <v>95343175663.52127</v>
      </c>
      <c r="H189" s="151" t="n">
        <v>0.40219345334695</v>
      </c>
    </row>
    <row r="190">
      <c r="A190" t="n">
        <v>188</v>
      </c>
      <c r="B190" t="n">
        <v>15.67</v>
      </c>
      <c r="C190" t="inlineStr">
        <is>
          <t>Phase 1</t>
        </is>
      </c>
      <c r="D190" s="72" t="n">
        <v>120318000000</v>
      </c>
      <c r="E190" s="72" t="n">
        <v>1789000000</v>
      </c>
      <c r="F190" s="96" t="n">
        <v>715073817.4764096</v>
      </c>
      <c r="G190" s="96" t="n">
        <v>96644069480.99768</v>
      </c>
      <c r="H190" s="151" t="n">
        <v>0.4016193316087272</v>
      </c>
    </row>
    <row r="191">
      <c r="A191" t="n">
        <v>189</v>
      </c>
      <c r="B191" t="n">
        <v>15.75</v>
      </c>
      <c r="C191" t="inlineStr">
        <is>
          <t>Phase 1</t>
        </is>
      </c>
      <c r="D191" s="72" t="n">
        <v>122127000000</v>
      </c>
      <c r="E191" s="72" t="n">
        <v>1809000000</v>
      </c>
      <c r="F191" s="96" t="n">
        <v>724830521.1074826</v>
      </c>
      <c r="G191" s="96" t="n">
        <v>97956630002.10516</v>
      </c>
      <c r="H191" s="151" t="n">
        <v>0.4010441180169216</v>
      </c>
    </row>
    <row r="192">
      <c r="A192" t="n">
        <v>190</v>
      </c>
      <c r="B192" t="n">
        <v>15.83</v>
      </c>
      <c r="C192" t="inlineStr">
        <is>
          <t>Phase 1</t>
        </is>
      </c>
      <c r="D192" s="72" t="n">
        <v>123956000000</v>
      </c>
      <c r="E192" s="72" t="n">
        <v>1829000000</v>
      </c>
      <c r="F192" s="96" t="n">
        <v>734674725.0157887</v>
      </c>
      <c r="G192" s="96" t="n">
        <v>99280744727.12096</v>
      </c>
      <c r="H192" s="151" t="n">
        <v>0.4004676850137184</v>
      </c>
    </row>
    <row r="193">
      <c r="A193" t="n">
        <v>191</v>
      </c>
      <c r="B193" t="n">
        <v>15.92</v>
      </c>
      <c r="C193" t="inlineStr">
        <is>
          <t>Phase 1</t>
        </is>
      </c>
      <c r="D193" s="72" t="n">
        <v>125805000000</v>
      </c>
      <c r="E193" s="72" t="n">
        <v>1849000000</v>
      </c>
      <c r="F193" s="96" t="n">
        <v>744605585.4534072</v>
      </c>
      <c r="G193" s="96" t="n">
        <v>100616300312.5744</v>
      </c>
      <c r="H193" s="151" t="n">
        <v>0.3998899102284263</v>
      </c>
    </row>
    <row r="194">
      <c r="A194" t="n">
        <v>192</v>
      </c>
      <c r="B194" t="n">
        <v>16</v>
      </c>
      <c r="C194" t="inlineStr">
        <is>
          <t>Phase 1</t>
        </is>
      </c>
      <c r="D194" s="72" t="n">
        <v>127674000000</v>
      </c>
      <c r="E194" s="72" t="n">
        <v>1869000000</v>
      </c>
      <c r="F194" s="96" t="n">
        <v>754622252.3443077</v>
      </c>
      <c r="G194" s="96" t="n">
        <v>101963182564.9187</v>
      </c>
      <c r="H194" s="151" t="n">
        <v>0.3993106762728459</v>
      </c>
    </row>
    <row r="195">
      <c r="A195" t="n">
        <v>193</v>
      </c>
      <c r="B195" t="n">
        <v>16.08</v>
      </c>
      <c r="C195" t="inlineStr">
        <is>
          <t>Phase 1</t>
        </is>
      </c>
      <c r="D195" s="72" t="n">
        <v>129563000000</v>
      </c>
      <c r="E195" s="72" t="n">
        <v>1889000000</v>
      </c>
      <c r="F195" s="96" t="n">
        <v>764723869.23689</v>
      </c>
      <c r="G195" s="96" t="n">
        <v>103321276434.1556</v>
      </c>
      <c r="H195" s="151" t="n">
        <v>0.3987298705423445</v>
      </c>
    </row>
    <row r="196">
      <c r="A196" t="n">
        <v>194</v>
      </c>
      <c r="B196" t="n">
        <v>16.17</v>
      </c>
      <c r="C196" t="inlineStr">
        <is>
          <t>Phase 1</t>
        </is>
      </c>
      <c r="D196" s="72" t="n">
        <v>131472000000</v>
      </c>
      <c r="E196" s="72" t="n">
        <v>1909000000</v>
      </c>
      <c r="F196" s="96" t="n">
        <v>774909573.2561667</v>
      </c>
      <c r="G196" s="96" t="n">
        <v>104690466007.4117</v>
      </c>
      <c r="H196" s="151" t="n">
        <v>0.398147385022711</v>
      </c>
    </row>
    <row r="197">
      <c r="A197" t="n">
        <v>195</v>
      </c>
      <c r="B197" t="n">
        <v>16.25</v>
      </c>
      <c r="C197" t="inlineStr">
        <is>
          <t>Phase 1</t>
        </is>
      </c>
      <c r="D197" s="72" t="n">
        <v>133401000000</v>
      </c>
      <c r="E197" s="72" t="n">
        <v>1929000000</v>
      </c>
      <c r="F197" s="96" t="n">
        <v>785178495.0555879</v>
      </c>
      <c r="G197" s="96" t="n">
        <v>106070634502.4673</v>
      </c>
      <c r="H197" s="151" t="n">
        <v>0.3975631161028302</v>
      </c>
    </row>
    <row r="198">
      <c r="A198" t="n">
        <v>196</v>
      </c>
      <c r="B198" t="n">
        <v>16.33</v>
      </c>
      <c r="C198" t="inlineStr">
        <is>
          <t>Phase 1</t>
        </is>
      </c>
      <c r="D198" s="72" t="n">
        <v>135350000000</v>
      </c>
      <c r="E198" s="72" t="n">
        <v>1949000000</v>
      </c>
      <c r="F198" s="96" t="n">
        <v>795529758.7685049</v>
      </c>
      <c r="G198" s="96" t="n">
        <v>107461664261.2358</v>
      </c>
      <c r="H198" s="151" t="n">
        <v>0.3969769643931874</v>
      </c>
    </row>
    <row r="199">
      <c r="A199" t="n">
        <v>197</v>
      </c>
      <c r="B199" t="n">
        <v>16.42</v>
      </c>
      <c r="C199" t="inlineStr">
        <is>
          <t>Phase 1</t>
        </is>
      </c>
      <c r="D199" s="72" t="n">
        <v>137319000000</v>
      </c>
      <c r="E199" s="72" t="n">
        <v>1969000000</v>
      </c>
      <c r="F199" s="96" t="n">
        <v>805962481.9592687</v>
      </c>
      <c r="G199" s="96" t="n">
        <v>108863436743.1951</v>
      </c>
      <c r="H199" s="151" t="n">
        <v>0.3963888345501901</v>
      </c>
    </row>
    <row r="200">
      <c r="A200" t="n">
        <v>198</v>
      </c>
      <c r="B200" t="n">
        <v>16.5</v>
      </c>
      <c r="C200" t="inlineStr">
        <is>
          <t>Phase 1</t>
        </is>
      </c>
      <c r="D200" s="72" t="n">
        <v>139308000000</v>
      </c>
      <c r="E200" s="72" t="n">
        <v>1989000000</v>
      </c>
      <c r="F200" s="96" t="n">
        <v>816475775.5739632</v>
      </c>
      <c r="G200" s="96" t="n">
        <v>110275832518.7691</v>
      </c>
      <c r="H200" s="151" t="n">
        <v>0.3957986351062719</v>
      </c>
    </row>
    <row r="201">
      <c r="A201" t="n">
        <v>199</v>
      </c>
      <c r="B201" t="n">
        <v>16.58</v>
      </c>
      <c r="C201" t="inlineStr">
        <is>
          <t>Phase 1</t>
        </is>
      </c>
      <c r="D201" s="72" t="n">
        <v>141317000000</v>
      </c>
      <c r="E201" s="72" t="n">
        <v>2009000000</v>
      </c>
      <c r="F201" s="96" t="n">
        <v>827068743.8907679</v>
      </c>
      <c r="G201" s="96" t="n">
        <v>111698731262.6598</v>
      </c>
      <c r="H201" s="151" t="n">
        <v>0.3952062783057234</v>
      </c>
    </row>
    <row r="202">
      <c r="A202" t="n">
        <v>200</v>
      </c>
      <c r="B202" t="n">
        <v>16.67</v>
      </c>
      <c r="C202" t="inlineStr">
        <is>
          <t>Phase 1</t>
        </is>
      </c>
      <c r="D202" s="72" t="n">
        <v>143346000000</v>
      </c>
      <c r="E202" s="72" t="n">
        <v>2029000000</v>
      </c>
      <c r="F202" s="96" t="n">
        <v>837740484.4699486</v>
      </c>
      <c r="G202" s="96" t="n">
        <v>113132011747.1298</v>
      </c>
      <c r="H202" s="151" t="n">
        <v>0.3946116799461784</v>
      </c>
    </row>
    <row r="203">
      <c r="A203" t="n">
        <v>201</v>
      </c>
      <c r="B203" t="n">
        <v>16.75</v>
      </c>
      <c r="C203" t="inlineStr">
        <is>
          <t>Phase 1</t>
        </is>
      </c>
      <c r="D203" s="72" t="n">
        <v>145395000000</v>
      </c>
      <c r="E203" s="72" t="n">
        <v>2049000000</v>
      </c>
      <c r="F203" s="96" t="n">
        <v>848490088.1034733</v>
      </c>
      <c r="G203" s="96" t="n">
        <v>114575551835.2332</v>
      </c>
      <c r="H203" s="151" t="n">
        <v>0.3940147592256723</v>
      </c>
    </row>
    <row r="204">
      <c r="A204" t="n">
        <v>202</v>
      </c>
      <c r="B204" t="n">
        <v>16.83</v>
      </c>
      <c r="C204" t="inlineStr">
        <is>
          <t>Phase 1</t>
        </is>
      </c>
      <c r="D204" s="72" t="n">
        <v>147464000000</v>
      </c>
      <c r="E204" s="72" t="n">
        <v>2069000000</v>
      </c>
      <c r="F204" s="96" t="n">
        <v>859316638.7642493</v>
      </c>
      <c r="G204" s="96" t="n">
        <v>116029228473.9975</v>
      </c>
      <c r="H204" s="151" t="n">
        <v>0.3934154385951741</v>
      </c>
    </row>
    <row r="205">
      <c r="A205" t="n">
        <v>203</v>
      </c>
      <c r="B205" t="n">
        <v>16.92</v>
      </c>
      <c r="C205" t="inlineStr">
        <is>
          <t>Phase 1</t>
        </is>
      </c>
      <c r="D205" s="72" t="n">
        <v>149553000000</v>
      </c>
      <c r="E205" s="72" t="n">
        <v>2089000000</v>
      </c>
      <c r="F205" s="96" t="n">
        <v>870219213.5549812</v>
      </c>
      <c r="G205" s="96" t="n">
        <v>117492917687.5525</v>
      </c>
      <c r="H205" s="151" t="n">
        <v>0.3928136436164854</v>
      </c>
    </row>
    <row r="206">
      <c r="A206" t="n">
        <v>204</v>
      </c>
      <c r="B206" t="n">
        <v>17</v>
      </c>
      <c r="C206" t="inlineStr">
        <is>
          <t>Phase 1</t>
        </is>
      </c>
      <c r="D206" s="72" t="n">
        <v>151662000000</v>
      </c>
      <c r="E206" s="72" t="n">
        <v>2109000000</v>
      </c>
      <c r="F206" s="96" t="n">
        <v>881196882.6566435</v>
      </c>
      <c r="G206" s="96" t="n">
        <v>118966494570.2091</v>
      </c>
      <c r="H206" s="151" t="n">
        <v>0.3922093028253917</v>
      </c>
    </row>
    <row r="207">
      <c r="A207" t="n">
        <v>205</v>
      </c>
      <c r="B207" t="n">
        <v>17.08</v>
      </c>
      <c r="C207" t="inlineStr">
        <is>
          <t>Phase 1</t>
        </is>
      </c>
      <c r="D207" s="72" t="n">
        <v>153791000000</v>
      </c>
      <c r="E207" s="72" t="n">
        <v>2129000000</v>
      </c>
      <c r="F207" s="96" t="n">
        <v>892248709.2765684</v>
      </c>
      <c r="G207" s="96" t="n">
        <v>120449833279.4857</v>
      </c>
      <c r="H207" s="151" t="n">
        <v>0.3916023475999431</v>
      </c>
    </row>
    <row r="208">
      <c r="A208" t="n">
        <v>206</v>
      </c>
      <c r="B208" t="n">
        <v>17.17</v>
      </c>
      <c r="C208" t="inlineStr">
        <is>
          <t>Phase 1</t>
        </is>
      </c>
      <c r="D208" s="72" t="n">
        <v>155940000000</v>
      </c>
      <c r="E208" s="72" t="n">
        <v>2149000000</v>
      </c>
      <c r="F208" s="96" t="n">
        <v>903373749.5961426</v>
      </c>
      <c r="G208" s="96" t="n">
        <v>121942807029.0818</v>
      </c>
      <c r="H208" s="151" t="n">
        <v>0.3909927120337368</v>
      </c>
    </row>
    <row r="209">
      <c r="A209" t="n">
        <v>207</v>
      </c>
      <c r="B209" t="n">
        <v>17.25</v>
      </c>
      <c r="C209" t="inlineStr">
        <is>
          <t>Phase 1</t>
        </is>
      </c>
      <c r="D209" s="72" t="n">
        <v>158109000000</v>
      </c>
      <c r="E209" s="72" t="n">
        <v>2169000000</v>
      </c>
      <c r="F209" s="96" t="n">
        <v>914571052.7181137</v>
      </c>
      <c r="G209" s="96" t="n">
        <v>123445288081.7999</v>
      </c>
      <c r="H209" s="151" t="n">
        <v>0.3903803328140711</v>
      </c>
    </row>
    <row r="210">
      <c r="A210" t="n">
        <v>208</v>
      </c>
      <c r="B210" t="n">
        <v>17.33</v>
      </c>
      <c r="C210" t="inlineStr">
        <is>
          <t>Phase 1</t>
        </is>
      </c>
      <c r="D210" s="72" t="n">
        <v>160298000000</v>
      </c>
      <c r="E210" s="72" t="n">
        <v>2189000000</v>
      </c>
      <c r="F210" s="96" t="n">
        <v>925839660.6134995</v>
      </c>
      <c r="G210" s="96" t="n">
        <v>124957147742.4134</v>
      </c>
      <c r="H210" s="151" t="n">
        <v>0.3897651491048342</v>
      </c>
    </row>
    <row r="211">
      <c r="A211" t="n">
        <v>209</v>
      </c>
      <c r="B211" t="n">
        <v>17.42</v>
      </c>
      <c r="C211" t="inlineStr">
        <is>
          <t>Phase 1</t>
        </is>
      </c>
      <c r="D211" s="72" t="n">
        <v>162507000000</v>
      </c>
      <c r="E211" s="72" t="n">
        <v>2209000000</v>
      </c>
      <c r="F211" s="96" t="n">
        <v>937178608.0681007</v>
      </c>
      <c r="G211" s="96" t="n">
        <v>126478256350.4815</v>
      </c>
      <c r="H211" s="151" t="n">
        <v>0.3891471024339922</v>
      </c>
    </row>
    <row r="212">
      <c r="A212" t="n">
        <v>210</v>
      </c>
      <c r="B212" t="n">
        <v>17.5</v>
      </c>
      <c r="C212" t="inlineStr">
        <is>
          <t>Phase 1</t>
        </is>
      </c>
      <c r="D212" s="72" t="n">
        <v>164736000000</v>
      </c>
      <c r="E212" s="72" t="n">
        <v>2229000000</v>
      </c>
      <c r="F212" s="96" t="n">
        <v>948586922.6286114</v>
      </c>
      <c r="G212" s="96" t="n">
        <v>128008483273.1102</v>
      </c>
      <c r="H212" s="151" t="n">
        <v>0.3885261365855373</v>
      </c>
    </row>
    <row r="213">
      <c r="A213" t="n">
        <v>211</v>
      </c>
      <c r="B213" t="n">
        <v>17.58</v>
      </c>
      <c r="C213" t="inlineStr">
        <is>
          <t>Phase 1</t>
        </is>
      </c>
      <c r="D213" s="72" t="n">
        <v>166985000000</v>
      </c>
      <c r="E213" s="72" t="n">
        <v>2249000000</v>
      </c>
      <c r="F213" s="96" t="n">
        <v>960063624.5483261</v>
      </c>
      <c r="G213" s="96" t="n">
        <v>129547696897.6585</v>
      </c>
      <c r="H213" s="151" t="n">
        <v>0.3879021974957585</v>
      </c>
    </row>
    <row r="214">
      <c r="A214" t="n">
        <v>212</v>
      </c>
      <c r="B214" t="n">
        <v>17.67</v>
      </c>
      <c r="C214" t="inlineStr">
        <is>
          <t>Phase 1</t>
        </is>
      </c>
      <c r="D214" s="72" t="n">
        <v>169254000000</v>
      </c>
      <c r="E214" s="72" t="n">
        <v>2269000000</v>
      </c>
      <c r="F214" s="96" t="n">
        <v>971607726.7324386</v>
      </c>
      <c r="G214" s="96" t="n">
        <v>131095764624.3909</v>
      </c>
      <c r="H214" s="151" t="n">
        <v>0.3872752331536948</v>
      </c>
    </row>
    <row r="215">
      <c r="A215" t="n">
        <v>213</v>
      </c>
      <c r="B215" t="n">
        <v>17.75</v>
      </c>
      <c r="C215" t="inlineStr">
        <is>
          <t>Phase 1</t>
        </is>
      </c>
      <c r="D215" s="72" t="n">
        <v>171543000000</v>
      </c>
      <c r="E215" s="72" t="n">
        <v>2289000000</v>
      </c>
      <c r="F215" s="96" t="n">
        <v>983218234.6829318</v>
      </c>
      <c r="G215" s="96" t="n">
        <v>132652552859.0739</v>
      </c>
      <c r="H215" s="151" t="n">
        <v>0.3866451935056337</v>
      </c>
    </row>
    <row r="216">
      <c r="A216" t="n">
        <v>214</v>
      </c>
      <c r="B216" t="n">
        <v>17.83</v>
      </c>
      <c r="C216" t="inlineStr">
        <is>
          <t>Phase 1</t>
        </is>
      </c>
      <c r="D216" s="72" t="n">
        <v>173852000000</v>
      </c>
      <c r="E216" s="72" t="n">
        <v>2309000000</v>
      </c>
      <c r="F216" s="96" t="n">
        <v>994894146.4430538</v>
      </c>
      <c r="G216" s="96" t="n">
        <v>134217927005.5169</v>
      </c>
      <c r="H216" s="151" t="n">
        <v>0.3860120303635187</v>
      </c>
    </row>
    <row r="217">
      <c r="A217" t="n">
        <v>215</v>
      </c>
      <c r="B217" t="n">
        <v>17.92</v>
      </c>
      <c r="C217" t="inlineStr">
        <is>
          <t>Phase 1</t>
        </is>
      </c>
      <c r="D217" s="72" t="n">
        <v>176181000000</v>
      </c>
      <c r="E217" s="72" t="n">
        <v>2329000000</v>
      </c>
      <c r="F217" s="96" t="n">
        <v>1006634452.541377</v>
      </c>
      <c r="G217" s="96" t="n">
        <v>135791751458.0583</v>
      </c>
      <c r="H217" s="151" t="n">
        <v>0.3853756973171292</v>
      </c>
    </row>
    <row r="218">
      <c r="A218" t="n">
        <v>216</v>
      </c>
      <c r="B218" t="n">
        <v>18</v>
      </c>
      <c r="C218" t="inlineStr">
        <is>
          <t>Phase 1</t>
        </is>
      </c>
      <c r="D218" s="72" t="n">
        <v>178530000000</v>
      </c>
      <c r="E218" s="72" t="n">
        <v>2349000000</v>
      </c>
      <c r="F218" s="96" t="n">
        <v>1018438135.935437</v>
      </c>
      <c r="G218" s="96" t="n">
        <v>137373889593.9937</v>
      </c>
      <c r="H218" s="151" t="n">
        <v>0.3847361496499012</v>
      </c>
    </row>
    <row r="219">
      <c r="A219" t="n">
        <v>217</v>
      </c>
      <c r="B219" t="n">
        <v>18.08</v>
      </c>
      <c r="C219" t="inlineStr">
        <is>
          <t>Phase 1</t>
        </is>
      </c>
      <c r="D219" s="72" t="n">
        <v>180899000000</v>
      </c>
      <c r="E219" s="72" t="n">
        <v>2369000000</v>
      </c>
      <c r="F219" s="96" t="n">
        <v>1030304171.954953</v>
      </c>
      <c r="G219" s="96" t="n">
        <v>138964203765.9487</v>
      </c>
      <c r="H219" s="151" t="n">
        <v>0.3840933442582565</v>
      </c>
    </row>
    <row r="220">
      <c r="A220" t="n">
        <v>218</v>
      </c>
      <c r="B220" t="n">
        <v>18.17</v>
      </c>
      <c r="C220" t="inlineStr">
        <is>
          <t>Phase 1</t>
        </is>
      </c>
      <c r="D220" s="72" t="n">
        <v>183288000000</v>
      </c>
      <c r="E220" s="72" t="n">
        <v>2389000000</v>
      </c>
      <c r="F220" s="96" t="n">
        <v>1042231528.244615</v>
      </c>
      <c r="G220" s="96" t="n">
        <v>140562555294.1933</v>
      </c>
      <c r="H220" s="151" t="n">
        <v>0.3834472395743128</v>
      </c>
    </row>
    <row r="221">
      <c r="A221" t="n">
        <v>219</v>
      </c>
      <c r="B221" t="n">
        <v>18.25</v>
      </c>
      <c r="C221" t="inlineStr">
        <is>
          <t>Phase 1</t>
        </is>
      </c>
      <c r="D221" s="72" t="n">
        <v>185697000000</v>
      </c>
      <c r="E221" s="72" t="n">
        <v>2409000000</v>
      </c>
      <c r="F221" s="96" t="n">
        <v>1054219164.70645</v>
      </c>
      <c r="G221" s="96" t="n">
        <v>142168804458.8997</v>
      </c>
      <c r="H221" s="151" t="n">
        <v>0.3827977954918489</v>
      </c>
    </row>
    <row r="222">
      <c r="A222" t="n">
        <v>220</v>
      </c>
      <c r="B222" t="n">
        <v>18.33</v>
      </c>
      <c r="C222" t="inlineStr">
        <is>
          <t>Phase 1</t>
        </is>
      </c>
      <c r="D222" s="72" t="n">
        <v>188126000000</v>
      </c>
      <c r="E222" s="72" t="n">
        <v>2429000000</v>
      </c>
      <c r="F222" s="96" t="n">
        <v>1066266033.441748</v>
      </c>
      <c r="G222" s="96" t="n">
        <v>143782810492.3415</v>
      </c>
      <c r="H222" s="151" t="n">
        <v>0.3821449732954018</v>
      </c>
    </row>
    <row r="223">
      <c r="A223" t="n">
        <v>221</v>
      </c>
      <c r="B223" t="n">
        <v>18.42</v>
      </c>
      <c r="C223" t="inlineStr">
        <is>
          <t>Phase 1</t>
        </is>
      </c>
      <c r="D223" s="72" t="n">
        <v>190575000000</v>
      </c>
      <c r="E223" s="72" t="n">
        <v>2449000000</v>
      </c>
      <c r="F223" s="96" t="n">
        <v>1078371078.692561</v>
      </c>
      <c r="G223" s="96" t="n">
        <v>145404431571.0341</v>
      </c>
      <c r="H223" s="151" t="n">
        <v>0.3814887355923758</v>
      </c>
    </row>
    <row r="224">
      <c r="A224" t="n">
        <v>222</v>
      </c>
      <c r="B224" t="n">
        <v>18.5</v>
      </c>
      <c r="C224" t="inlineStr">
        <is>
          <t>Phase 1</t>
        </is>
      </c>
      <c r="D224" s="72" t="n">
        <v>193044000000</v>
      </c>
      <c r="E224" s="72" t="n">
        <v>2469000000</v>
      </c>
      <c r="F224" s="96" t="n">
        <v>1090533236.782755</v>
      </c>
      <c r="G224" s="96" t="n">
        <v>147033524807.8168</v>
      </c>
      <c r="H224" s="151" t="n">
        <v>0.3808290462480491</v>
      </c>
    </row>
    <row r="225">
      <c r="A225" t="n">
        <v>223</v>
      </c>
      <c r="B225" t="n">
        <v>18.58</v>
      </c>
      <c r="C225" t="inlineStr">
        <is>
          <t>Phase 1</t>
        </is>
      </c>
      <c r="D225" s="72" t="n">
        <v>195533000000</v>
      </c>
      <c r="E225" s="72" t="n">
        <v>2489000000</v>
      </c>
      <c r="F225" s="96" t="n">
        <v>1102751436.058626</v>
      </c>
      <c r="G225" s="96" t="n">
        <v>148669946243.8754</v>
      </c>
      <c r="H225" s="151" t="n">
        <v>0.3801658703233609</v>
      </c>
    </row>
    <row r="226">
      <c r="A226" t="n">
        <v>224</v>
      </c>
      <c r="B226" t="n">
        <v>18.67</v>
      </c>
      <c r="C226" t="inlineStr">
        <is>
          <t>Phase 1</t>
        </is>
      </c>
      <c r="D226" s="72" t="n">
        <v>198042000000</v>
      </c>
      <c r="E226" s="72" t="n">
        <v>2509000000</v>
      </c>
      <c r="F226" s="96" t="n">
        <v>1115024596.829066</v>
      </c>
      <c r="G226" s="96" t="n">
        <v>150313550840.7045</v>
      </c>
      <c r="H226" s="151" t="n">
        <v>0.3794991740153718</v>
      </c>
    </row>
    <row r="227">
      <c r="A227" t="n">
        <v>225</v>
      </c>
      <c r="B227" t="n">
        <v>18.75</v>
      </c>
      <c r="C227" t="inlineStr">
        <is>
          <t>Phase 1</t>
        </is>
      </c>
      <c r="D227" s="72" t="n">
        <v>200571000000</v>
      </c>
      <c r="E227" s="72" t="n">
        <v>2529000000</v>
      </c>
      <c r="F227" s="96" t="n">
        <v>1127351631.305284</v>
      </c>
      <c r="G227" s="96" t="n">
        <v>151964192472.0098</v>
      </c>
      <c r="H227" s="151" t="n">
        <v>0.3788289246002907</v>
      </c>
    </row>
    <row r="228">
      <c r="A228" t="n">
        <v>226</v>
      </c>
      <c r="B228" t="n">
        <v>18.83</v>
      </c>
      <c r="C228" t="inlineStr">
        <is>
          <t>Phase 1</t>
        </is>
      </c>
      <c r="D228" s="72" t="n">
        <v>203120000000</v>
      </c>
      <c r="E228" s="72" t="n">
        <v>2549000000</v>
      </c>
      <c r="F228" s="96" t="n">
        <v>1139731443.540073</v>
      </c>
      <c r="G228" s="96" t="n">
        <v>153621723915.5499</v>
      </c>
      <c r="H228" s="151" t="n">
        <v>0.3781550903789628</v>
      </c>
    </row>
    <row r="229">
      <c r="A229" t="n">
        <v>227</v>
      </c>
      <c r="B229" t="n">
        <v>18.92</v>
      </c>
      <c r="C229" t="inlineStr">
        <is>
          <t>Phase 1</t>
        </is>
      </c>
      <c r="D229" s="72" t="n">
        <v>205689000000</v>
      </c>
      <c r="E229" s="72" t="n">
        <v>2569000000</v>
      </c>
      <c r="F229" s="96" t="n">
        <v>1152162929.366624</v>
      </c>
      <c r="G229" s="96" t="n">
        <v>155285996844.9165</v>
      </c>
      <c r="H229" s="151" t="n">
        <v>0.3774776406247211</v>
      </c>
    </row>
    <row r="230">
      <c r="A230" t="n">
        <v>228</v>
      </c>
      <c r="B230" t="n">
        <v>19</v>
      </c>
      <c r="C230" t="inlineStr">
        <is>
          <t>Phase 1</t>
        </is>
      </c>
      <c r="D230" s="72" t="n">
        <v>208278000000</v>
      </c>
      <c r="E230" s="72" t="n">
        <v>2589000000</v>
      </c>
      <c r="F230" s="96" t="n">
        <v>1164644976.336874</v>
      </c>
      <c r="G230" s="96" t="n">
        <v>156956861821.2534</v>
      </c>
      <c r="H230" s="151" t="n">
        <v>0.3767965455335018</v>
      </c>
    </row>
    <row r="231">
      <c r="A231" t="n">
        <v>229</v>
      </c>
      <c r="B231" t="n">
        <v>19.08</v>
      </c>
      <c r="C231" t="inlineStr">
        <is>
          <t>Phase 1</t>
        </is>
      </c>
      <c r="D231" s="72" t="n">
        <v>210887000000</v>
      </c>
      <c r="E231" s="72" t="n">
        <v>2609000000</v>
      </c>
      <c r="F231" s="96" t="n">
        <v>1177176463.6594</v>
      </c>
      <c r="G231" s="96" t="n">
        <v>158634168284.9128</v>
      </c>
      <c r="H231" s="151" t="n">
        <v>0.3761117761761341</v>
      </c>
    </row>
    <row r="232">
      <c r="A232" t="n">
        <v>230</v>
      </c>
      <c r="B232" t="n">
        <v>19.17</v>
      </c>
      <c r="C232" t="inlineStr">
        <is>
          <t>Phase 1</t>
        </is>
      </c>
      <c r="D232" s="72" t="n">
        <v>213516000000</v>
      </c>
      <c r="E232" s="72" t="n">
        <v>2629000000</v>
      </c>
      <c r="F232" s="96" t="n">
        <v>1189756262.136846</v>
      </c>
      <c r="G232" s="96" t="n">
        <v>160317764547.0496</v>
      </c>
      <c r="H232" s="151" t="n">
        <v>0.3754233044527099</v>
      </c>
    </row>
    <row r="233">
      <c r="A233" t="n">
        <v>231</v>
      </c>
      <c r="B233" t="n">
        <v>19.25</v>
      </c>
      <c r="C233" t="inlineStr">
        <is>
          <t>Phase 1</t>
        </is>
      </c>
      <c r="D233" s="72" t="n">
        <v>216165000000</v>
      </c>
      <c r="E233" s="72" t="n">
        <v>2649000000</v>
      </c>
      <c r="F233" s="96" t="n">
        <v>1202383234.102872</v>
      </c>
      <c r="G233" s="96" t="n">
        <v>162007497781.1525</v>
      </c>
      <c r="H233" s="151" t="n">
        <v>0.3747311030489499</v>
      </c>
    </row>
    <row r="234">
      <c r="A234" t="n">
        <v>232</v>
      </c>
      <c r="B234" t="n">
        <v>19.33</v>
      </c>
      <c r="C234" t="inlineStr">
        <is>
          <t>Phase 1</t>
        </is>
      </c>
      <c r="D234" s="72" t="n">
        <v>218834000000</v>
      </c>
      <c r="E234" s="72" t="n">
        <v>2669000000</v>
      </c>
      <c r="F234" s="96" t="n">
        <v>1215056233.358644</v>
      </c>
      <c r="G234" s="96" t="n">
        <v>163703214014.5111</v>
      </c>
      <c r="H234" s="151" t="n">
        <v>0.3740351453944797</v>
      </c>
    </row>
    <row r="235">
      <c r="A235" t="n">
        <v>233</v>
      </c>
      <c r="B235" t="n">
        <v>19.42</v>
      </c>
      <c r="C235" t="inlineStr">
        <is>
          <t>Phase 1</t>
        </is>
      </c>
      <c r="D235" s="72" t="n">
        <v>221523000000</v>
      </c>
      <c r="E235" s="72" t="n">
        <v>2689000000</v>
      </c>
      <c r="F235" s="96" t="n">
        <v>1227774105.108834</v>
      </c>
      <c r="G235" s="96" t="n">
        <v>165404758119.62</v>
      </c>
      <c r="H235" s="151" t="n">
        <v>0.3733354056229375</v>
      </c>
    </row>
    <row r="236">
      <c r="A236" t="n">
        <v>234</v>
      </c>
      <c r="B236" t="n">
        <v>19.5</v>
      </c>
      <c r="C236" t="inlineStr">
        <is>
          <t>Phase 1</t>
        </is>
      </c>
      <c r="D236" s="72" t="n">
        <v>224232000000</v>
      </c>
      <c r="E236" s="72" t="n">
        <v>2709000000</v>
      </c>
      <c r="F236" s="96" t="n">
        <v>1240535685.89715</v>
      </c>
      <c r="G236" s="96" t="n">
        <v>167111973805.5171</v>
      </c>
      <c r="H236" s="151" t="n">
        <v>0.3726318585338335</v>
      </c>
    </row>
    <row r="237">
      <c r="A237" t="n">
        <v>235</v>
      </c>
      <c r="B237" t="n">
        <v>19.58</v>
      </c>
      <c r="C237" t="inlineStr">
        <is>
          <t>Phase 1</t>
        </is>
      </c>
      <c r="D237" s="72" t="n">
        <v>226961000000</v>
      </c>
      <c r="E237" s="72" t="n">
        <v>2729000000</v>
      </c>
      <c r="F237" s="96" t="n">
        <v>1253339803.541378</v>
      </c>
      <c r="G237" s="96" t="n">
        <v>168824703609.0585</v>
      </c>
      <c r="H237" s="151" t="n">
        <v>0.3719244795560878</v>
      </c>
    </row>
    <row r="238">
      <c r="A238" t="n">
        <v>236</v>
      </c>
      <c r="B238" t="n">
        <v>19.67</v>
      </c>
      <c r="C238" t="inlineStr">
        <is>
          <t>Phase 1</t>
        </is>
      </c>
      <c r="D238" s="72" t="n">
        <v>229710000000</v>
      </c>
      <c r="E238" s="72" t="n">
        <v>2749000000</v>
      </c>
      <c r="F238" s="96" t="n">
        <v>1266185277.067939</v>
      </c>
      <c r="G238" s="96" t="n">
        <v>170542788886.1264</v>
      </c>
      <c r="H238" s="151" t="n">
        <v>0.3712132447131741</v>
      </c>
    </row>
    <row r="239">
      <c r="A239" t="n">
        <v>237</v>
      </c>
      <c r="B239" t="n">
        <v>19.75</v>
      </c>
      <c r="C239" t="inlineStr">
        <is>
          <t>Phase 1</t>
        </is>
      </c>
      <c r="D239" s="72" t="n">
        <v>232479000000</v>
      </c>
      <c r="E239" s="72" t="n">
        <v>2769000000</v>
      </c>
      <c r="F239" s="96" t="n">
        <v>1279070916.645948</v>
      </c>
      <c r="G239" s="96" t="n">
        <v>172266069802.7724</v>
      </c>
      <c r="H239" s="151" t="n">
        <v>0.3704981305898003</v>
      </c>
    </row>
    <row r="240">
      <c r="A240" t="n">
        <v>238</v>
      </c>
      <c r="B240" t="n">
        <v>19.83</v>
      </c>
      <c r="C240" t="inlineStr">
        <is>
          <t>Phase 1</t>
        </is>
      </c>
      <c r="D240" s="72" t="n">
        <v>235268000000</v>
      </c>
      <c r="E240" s="72" t="n">
        <v>2789000000</v>
      </c>
      <c r="F240" s="96" t="n">
        <v>1291995523.520793</v>
      </c>
      <c r="G240" s="96" t="n">
        <v>173994385326.2932</v>
      </c>
      <c r="H240" s="151" t="n">
        <v>0.3697791143000603</v>
      </c>
    </row>
    <row r="241">
      <c r="A241" t="n">
        <v>239</v>
      </c>
      <c r="B241" t="n">
        <v>19.92</v>
      </c>
      <c r="C241" t="inlineStr">
        <is>
          <t>Phase 1</t>
        </is>
      </c>
      <c r="D241" s="72" t="n">
        <v>238077000000</v>
      </c>
      <c r="E241" s="72" t="n">
        <v>2809000000</v>
      </c>
      <c r="F241" s="96" t="n">
        <v>1304957889.947199</v>
      </c>
      <c r="G241" s="96" t="n">
        <v>175727573216.2404</v>
      </c>
      <c r="H241" s="151" t="n">
        <v>0.3690561734569915</v>
      </c>
    </row>
    <row r="242">
      <c r="A242" t="n">
        <v>240</v>
      </c>
      <c r="B242" t="n">
        <v>20</v>
      </c>
      <c r="C242" t="inlineStr">
        <is>
          <t>Phase 1</t>
        </is>
      </c>
      <c r="D242" s="72" t="n">
        <v>240906000000</v>
      </c>
      <c r="E242" s="72" t="n">
        <v>2829000000</v>
      </c>
      <c r="F242" s="96" t="n">
        <v>1317956799.121803</v>
      </c>
      <c r="G242" s="96" t="n">
        <v>177465470015.3622</v>
      </c>
      <c r="H242" s="151" t="n">
        <v>0.3683292861434795</v>
      </c>
    </row>
    <row r="243">
      <c r="A243" t="n">
        <v>241</v>
      </c>
      <c r="B243" t="n">
        <v>20.08</v>
      </c>
      <c r="C243" t="inlineStr">
        <is>
          <t>Phase 2</t>
        </is>
      </c>
      <c r="D243" s="72" t="n">
        <v>240906000000</v>
      </c>
      <c r="E243" t="n">
        <v>0</v>
      </c>
      <c r="F243" s="96" t="n">
        <v>1330991025.115216</v>
      </c>
      <c r="G243" s="96" t="n">
        <v>178796461040.4774</v>
      </c>
      <c r="H243" s="151" t="n">
        <v>0.3710917557895556</v>
      </c>
    </row>
    <row r="244">
      <c r="A244" t="n">
        <v>242</v>
      </c>
      <c r="B244" t="n">
        <v>20.17</v>
      </c>
      <c r="C244" t="inlineStr">
        <is>
          <t>Phase 2</t>
        </is>
      </c>
      <c r="D244" s="72" t="n">
        <v>240906000000</v>
      </c>
      <c r="E244" t="n">
        <v>0</v>
      </c>
      <c r="F244" s="96" t="n">
        <v>1340973457.80358</v>
      </c>
      <c r="G244" s="96" t="n">
        <v>180137434498.2809</v>
      </c>
      <c r="H244" s="151" t="n">
        <v>0.3738749439579773</v>
      </c>
    </row>
    <row r="245">
      <c r="A245" t="n">
        <v>243</v>
      </c>
      <c r="B245" t="n">
        <v>20.25</v>
      </c>
      <c r="C245" t="inlineStr">
        <is>
          <t>Phase 2</t>
        </is>
      </c>
      <c r="D245" s="72" t="n">
        <v>240906000000</v>
      </c>
      <c r="E245" t="n">
        <v>0</v>
      </c>
      <c r="F245" s="96" t="n">
        <v>1351030758.737107</v>
      </c>
      <c r="G245" s="96" t="n">
        <v>181488465257.0181</v>
      </c>
      <c r="H245" s="151" t="n">
        <v>0.3766790060376621</v>
      </c>
    </row>
    <row r="246">
      <c r="A246" t="n">
        <v>244</v>
      </c>
      <c r="B246" t="n">
        <v>20.33</v>
      </c>
      <c r="C246" t="inlineStr">
        <is>
          <t>Phase 2</t>
        </is>
      </c>
      <c r="D246" s="72" t="n">
        <v>240906000000</v>
      </c>
      <c r="E246" t="n">
        <v>0</v>
      </c>
      <c r="F246" s="96" t="n">
        <v>1361163489.427635</v>
      </c>
      <c r="G246" s="96" t="n">
        <v>182849628746.4457</v>
      </c>
      <c r="H246" s="151" t="n">
        <v>0.3795040985829446</v>
      </c>
    </row>
    <row r="247">
      <c r="A247" t="n">
        <v>245</v>
      </c>
      <c r="B247" t="n">
        <v>20.42</v>
      </c>
      <c r="C247" t="inlineStr">
        <is>
          <t>Phase 2</t>
        </is>
      </c>
      <c r="D247" s="72" t="n">
        <v>240906000000</v>
      </c>
      <c r="E247" t="n">
        <v>0</v>
      </c>
      <c r="F247" s="96" t="n">
        <v>1371372215.598343</v>
      </c>
      <c r="G247" s="96" t="n">
        <v>184221000962.044</v>
      </c>
      <c r="H247" s="151" t="n">
        <v>0.3823503793223167</v>
      </c>
    </row>
    <row r="248">
      <c r="A248" t="n">
        <v>246</v>
      </c>
      <c r="B248" t="n">
        <v>20.5</v>
      </c>
      <c r="C248" t="inlineStr">
        <is>
          <t>Phase 2</t>
        </is>
      </c>
      <c r="D248" s="72" t="n">
        <v>240906000000</v>
      </c>
      <c r="E248" t="n">
        <v>0</v>
      </c>
      <c r="F248" s="96" t="n">
        <v>1381657507.21533</v>
      </c>
      <c r="G248" s="96" t="n">
        <v>185602658469.2594</v>
      </c>
      <c r="H248" s="151" t="n">
        <v>0.385218007167234</v>
      </c>
    </row>
    <row r="249">
      <c r="A249" t="n">
        <v>247</v>
      </c>
      <c r="B249" t="n">
        <v>20.58</v>
      </c>
      <c r="C249" t="inlineStr">
        <is>
          <t>Phase 2</t>
        </is>
      </c>
      <c r="D249" s="72" t="n">
        <v>240906000000</v>
      </c>
      <c r="E249" t="n">
        <v>0</v>
      </c>
      <c r="F249" s="96" t="n">
        <v>1392019938.519445</v>
      </c>
      <c r="G249" s="96" t="n">
        <v>186994678407.7788</v>
      </c>
      <c r="H249" s="151" t="n">
        <v>0.3881071422209883</v>
      </c>
    </row>
    <row r="250">
      <c r="A250" t="n">
        <v>248</v>
      </c>
      <c r="B250" t="n">
        <v>20.67</v>
      </c>
      <c r="C250" t="inlineStr">
        <is>
          <t>Phase 2</t>
        </is>
      </c>
      <c r="D250" s="72" t="n">
        <v>240906000000</v>
      </c>
      <c r="E250" t="n">
        <v>0</v>
      </c>
      <c r="F250" s="96" t="n">
        <v>1402460088.058341</v>
      </c>
      <c r="G250" s="96" t="n">
        <v>188397138495.8372</v>
      </c>
      <c r="H250" s="151" t="n">
        <v>0.3910179457876457</v>
      </c>
    </row>
    <row r="251">
      <c r="A251" t="n">
        <v>249</v>
      </c>
      <c r="B251" t="n">
        <v>20.75</v>
      </c>
      <c r="C251" t="inlineStr">
        <is>
          <t>Phase 2</t>
        </is>
      </c>
      <c r="D251" s="72" t="n">
        <v>240906000000</v>
      </c>
      <c r="E251" t="n">
        <v>0</v>
      </c>
      <c r="F251" s="96" t="n">
        <v>1412978538.718779</v>
      </c>
      <c r="G251" s="96" t="n">
        <v>189810117034.5559</v>
      </c>
      <c r="H251" s="151" t="n">
        <v>0.3939505803810531</v>
      </c>
    </row>
    <row r="252">
      <c r="A252" t="n">
        <v>250</v>
      </c>
      <c r="B252" t="n">
        <v>20.83</v>
      </c>
      <c r="C252" t="inlineStr">
        <is>
          <t>Phase 2</t>
        </is>
      </c>
      <c r="D252" s="72" t="n">
        <v>240906000000</v>
      </c>
      <c r="E252" t="n">
        <v>0</v>
      </c>
      <c r="F252" s="96" t="n">
        <v>1423575877.75917</v>
      </c>
      <c r="G252" s="96" t="n">
        <v>191233692912.3151</v>
      </c>
      <c r="H252" s="151" t="n">
        <v>0.3969052097339109</v>
      </c>
    </row>
    <row r="253">
      <c r="A253" t="n">
        <v>251</v>
      </c>
      <c r="B253" t="n">
        <v>20.92</v>
      </c>
      <c r="C253" t="inlineStr">
        <is>
          <t>Phase 2</t>
        </is>
      </c>
      <c r="D253" s="72" t="n">
        <v>240906000000</v>
      </c>
      <c r="E253" t="n">
        <v>0</v>
      </c>
      <c r="F253" s="96" t="n">
        <v>1434252696.842363</v>
      </c>
      <c r="G253" s="96" t="n">
        <v>192667945609.1575</v>
      </c>
      <c r="H253" s="151" t="n">
        <v>0.3998819988069153</v>
      </c>
    </row>
    <row r="254">
      <c r="A254" t="n">
        <v>252</v>
      </c>
      <c r="B254" t="n">
        <v>21</v>
      </c>
      <c r="C254" t="inlineStr">
        <is>
          <t>Phase 2</t>
        </is>
      </c>
      <c r="D254" s="72" t="n">
        <v>240906000000</v>
      </c>
      <c r="E254" t="n">
        <v>0</v>
      </c>
      <c r="F254" s="96" t="n">
        <v>1445009592.068681</v>
      </c>
      <c r="G254" s="96" t="n">
        <v>194112955201.2262</v>
      </c>
      <c r="H254" s="151" t="n">
        <v>0.4028811137979672</v>
      </c>
    </row>
    <row r="255">
      <c r="A255" t="n">
        <v>253</v>
      </c>
      <c r="B255" t="n">
        <v>21.08</v>
      </c>
      <c r="C255" t="inlineStr">
        <is>
          <t>Phase 2</t>
        </is>
      </c>
      <c r="D255" s="72" t="n">
        <v>240906000000</v>
      </c>
      <c r="E255" t="n">
        <v>0</v>
      </c>
      <c r="F255" s="96" t="n">
        <v>1455847164.009196</v>
      </c>
      <c r="G255" s="96" t="n">
        <v>195568802365.2354</v>
      </c>
      <c r="H255" s="151" t="n">
        <v>0.4059027221514519</v>
      </c>
    </row>
    <row r="256">
      <c r="A256" t="n">
        <v>254</v>
      </c>
      <c r="B256" t="n">
        <v>21.17</v>
      </c>
      <c r="C256" t="inlineStr">
        <is>
          <t>Phase 2</t>
        </is>
      </c>
      <c r="D256" s="72" t="n">
        <v>240906000000</v>
      </c>
      <c r="E256" t="n">
        <v>0</v>
      </c>
      <c r="F256" s="96" t="n">
        <v>1466766017.739265</v>
      </c>
      <c r="G256" s="96" t="n">
        <v>197035568382.9746</v>
      </c>
      <c r="H256" s="151" t="n">
        <v>0.4089469925675878</v>
      </c>
    </row>
    <row r="257">
      <c r="A257" t="n">
        <v>255</v>
      </c>
      <c r="B257" t="n">
        <v>21.25</v>
      </c>
      <c r="C257" t="inlineStr">
        <is>
          <t>Phase 2</t>
        </is>
      </c>
      <c r="D257" s="72" t="n">
        <v>240906000000</v>
      </c>
      <c r="E257" t="n">
        <v>0</v>
      </c>
      <c r="F257" s="96" t="n">
        <v>1477766762.872309</v>
      </c>
      <c r="G257" s="96" t="n">
        <v>198513335145.8469</v>
      </c>
      <c r="H257" s="151" t="n">
        <v>0.4120140950118447</v>
      </c>
    </row>
    <row r="258">
      <c r="A258" t="n">
        <v>256</v>
      </c>
      <c r="B258" t="n">
        <v>21.33</v>
      </c>
      <c r="C258" t="inlineStr">
        <is>
          <t>Phase 2</t>
        </is>
      </c>
      <c r="D258" s="72" t="n">
        <v>240906000000</v>
      </c>
      <c r="E258" t="n">
        <v>0</v>
      </c>
      <c r="F258" s="96" t="n">
        <v>1488850013.593852</v>
      </c>
      <c r="G258" s="96" t="n">
        <v>200002185159.4408</v>
      </c>
      <c r="H258" s="151" t="n">
        <v>0.4151042007244335</v>
      </c>
    </row>
    <row r="259">
      <c r="A259" t="n">
        <v>257</v>
      </c>
      <c r="B259" t="n">
        <v>21.42</v>
      </c>
      <c r="C259" t="inlineStr">
        <is>
          <t>Phase 2</t>
        </is>
      </c>
      <c r="D259" s="72" t="n">
        <v>240906000000</v>
      </c>
      <c r="E259" t="n">
        <v>0</v>
      </c>
      <c r="F259" s="96" t="n">
        <v>1500016388.695806</v>
      </c>
      <c r="G259" s="96" t="n">
        <v>201502201548.1366</v>
      </c>
      <c r="H259" s="151" t="n">
        <v>0.4182174822298668</v>
      </c>
    </row>
    <row r="260">
      <c r="A260" t="n">
        <v>258</v>
      </c>
      <c r="B260" t="n">
        <v>21.5</v>
      </c>
      <c r="C260" t="inlineStr">
        <is>
          <t>Phase 2</t>
        </is>
      </c>
      <c r="D260" s="72" t="n">
        <v>240906000000</v>
      </c>
      <c r="E260" t="n">
        <v>0</v>
      </c>
      <c r="F260" s="96" t="n">
        <v>1511266511.611024</v>
      </c>
      <c r="G260" s="96" t="n">
        <v>203013468059.7476</v>
      </c>
      <c r="H260" s="151" t="n">
        <v>0.4213541133465908</v>
      </c>
    </row>
    <row r="261">
      <c r="A261" t="n">
        <v>259</v>
      </c>
      <c r="B261" t="n">
        <v>21.58</v>
      </c>
      <c r="C261" t="inlineStr">
        <is>
          <t>Phase 2</t>
        </is>
      </c>
      <c r="D261" s="72" t="n">
        <v>240906000000</v>
      </c>
      <c r="E261" t="n">
        <v>0</v>
      </c>
      <c r="F261" s="96" t="n">
        <v>1522601010.448107</v>
      </c>
      <c r="G261" s="96" t="n">
        <v>204536069070.1957</v>
      </c>
      <c r="H261" s="151" t="n">
        <v>0.4245142691966902</v>
      </c>
    </row>
    <row r="262">
      <c r="A262" t="n">
        <v>260</v>
      </c>
      <c r="B262" t="n">
        <v>21.67</v>
      </c>
      <c r="C262" t="inlineStr">
        <is>
          <t>Phase 2</t>
        </is>
      </c>
      <c r="D262" s="72" t="n">
        <v>240906000000</v>
      </c>
      <c r="E262" t="n">
        <v>0</v>
      </c>
      <c r="F262" s="96" t="n">
        <v>1534020518.026468</v>
      </c>
      <c r="G262" s="96" t="n">
        <v>206070089588.2222</v>
      </c>
      <c r="H262" s="151" t="n">
        <v>0.4276981262156654</v>
      </c>
    </row>
    <row r="263">
      <c r="A263" t="n">
        <v>261</v>
      </c>
      <c r="B263" t="n">
        <v>21.75</v>
      </c>
      <c r="C263" t="inlineStr">
        <is>
          <t>Phase 2</t>
        </is>
      </c>
      <c r="D263" s="72" t="n">
        <v>240906000000</v>
      </c>
      <c r="E263" t="n">
        <v>0</v>
      </c>
      <c r="F263" s="96" t="n">
        <v>1545525671.911666</v>
      </c>
      <c r="G263" s="96" t="n">
        <v>207615615260.1338</v>
      </c>
      <c r="H263" s="151" t="n">
        <v>0.4309058621622828</v>
      </c>
    </row>
    <row r="264">
      <c r="A264" t="n">
        <v>262</v>
      </c>
      <c r="B264" t="n">
        <v>21.83</v>
      </c>
      <c r="C264" t="inlineStr">
        <is>
          <t>Phase 2</t>
        </is>
      </c>
      <c r="D264" s="72" t="n">
        <v>240906000000</v>
      </c>
      <c r="E264" t="n">
        <v>0</v>
      </c>
      <c r="F264" s="96" t="n">
        <v>1557117114.451004</v>
      </c>
      <c r="G264" s="96" t="n">
        <v>209172732374.5848</v>
      </c>
      <c r="H264" s="151" t="n">
        <v>0.4341376561284999</v>
      </c>
    </row>
    <row r="265">
      <c r="A265" t="n">
        <v>263</v>
      </c>
      <c r="B265" t="n">
        <v>21.92</v>
      </c>
      <c r="C265" t="inlineStr">
        <is>
          <t>Phase 2</t>
        </is>
      </c>
      <c r="D265" s="72" t="n">
        <v>240906000000</v>
      </c>
      <c r="E265" t="n">
        <v>0</v>
      </c>
      <c r="F265" s="96" t="n">
        <v>1568795492.809386</v>
      </c>
      <c r="G265" s="96" t="n">
        <v>210741527867.3942</v>
      </c>
      <c r="H265" s="151" t="n">
        <v>0.4373936885494637</v>
      </c>
    </row>
    <row r="266">
      <c r="A266" t="n">
        <v>264</v>
      </c>
      <c r="B266" t="n">
        <v>22</v>
      </c>
      <c r="C266" t="inlineStr">
        <is>
          <t>Phase 2</t>
        </is>
      </c>
      <c r="D266" s="72" t="n">
        <v>240906000000</v>
      </c>
      <c r="E266" t="n">
        <v>0</v>
      </c>
      <c r="F266" s="96" t="n">
        <v>1580561459.005456</v>
      </c>
      <c r="G266" s="96" t="n">
        <v>212322089326.3997</v>
      </c>
      <c r="H266" s="151" t="n">
        <v>0.4406741412135847</v>
      </c>
    </row>
    <row r="267">
      <c r="A267" t="n">
        <v>265</v>
      </c>
      <c r="B267" t="n">
        <v>22.08</v>
      </c>
      <c r="C267" t="inlineStr">
        <is>
          <t>Phase 2</t>
        </is>
      </c>
      <c r="D267" s="72" t="n">
        <v>240906000000</v>
      </c>
      <c r="E267" t="n">
        <v>0</v>
      </c>
      <c r="F267" s="96" t="n">
        <v>1592415669.947997</v>
      </c>
      <c r="G267" s="96" t="n">
        <v>213914504996.3477</v>
      </c>
      <c r="H267" s="151" t="n">
        <v>0.4439791972726865</v>
      </c>
    </row>
    <row r="268">
      <c r="A268" t="n">
        <v>266</v>
      </c>
      <c r="B268" t="n">
        <v>22.17</v>
      </c>
      <c r="C268" t="inlineStr">
        <is>
          <t>Phase 2</t>
        </is>
      </c>
      <c r="D268" s="72" t="n">
        <v>240906000000</v>
      </c>
      <c r="E268" t="n">
        <v>0</v>
      </c>
      <c r="F268" s="96" t="n">
        <v>1604358787.472607</v>
      </c>
      <c r="G268" s="96" t="n">
        <v>215518863783.8203</v>
      </c>
      <c r="H268" s="151" t="n">
        <v>0.4473090412522317</v>
      </c>
    </row>
    <row r="269">
      <c r="A269" t="n">
        <v>267</v>
      </c>
      <c r="B269" t="n">
        <v>22.25</v>
      </c>
      <c r="C269" t="inlineStr">
        <is>
          <t>Phase 2</t>
        </is>
      </c>
      <c r="D269" s="72" t="n">
        <v>240906000000</v>
      </c>
      <c r="E269" t="n">
        <v>0</v>
      </c>
      <c r="F269" s="96" t="n">
        <v>1616391478.378652</v>
      </c>
      <c r="G269" s="96" t="n">
        <v>217135255262.1989</v>
      </c>
      <c r="H269" s="151" t="n">
        <v>0.4506638590616234</v>
      </c>
    </row>
    <row r="270">
      <c r="A270" t="n">
        <v>268</v>
      </c>
      <c r="B270" t="n">
        <v>22.33</v>
      </c>
      <c r="C270" t="inlineStr">
        <is>
          <t>Phase 2</t>
        </is>
      </c>
      <c r="D270" s="72" t="n">
        <v>240906000000</v>
      </c>
      <c r="E270" t="n">
        <v>0</v>
      </c>
      <c r="F270" s="96" t="n">
        <v>1628514414.466492</v>
      </c>
      <c r="G270" s="96" t="n">
        <v>218763769676.6654</v>
      </c>
      <c r="H270" s="151" t="n">
        <v>0.4540438380045856</v>
      </c>
    </row>
    <row r="271">
      <c r="A271" t="n">
        <v>269</v>
      </c>
      <c r="B271" t="n">
        <v>22.42</v>
      </c>
      <c r="C271" t="inlineStr">
        <is>
          <t>Phase 2</t>
        </is>
      </c>
      <c r="D271" s="72" t="n">
        <v>240906000000</v>
      </c>
      <c r="E271" t="n">
        <v>0</v>
      </c>
      <c r="F271" s="96" t="n">
        <v>1640728272.574991</v>
      </c>
      <c r="G271" s="96" t="n">
        <v>220404497949.2404</v>
      </c>
      <c r="H271" s="151" t="n">
        <v>0.45744916678962</v>
      </c>
    </row>
    <row r="272">
      <c r="A272" t="n">
        <v>270</v>
      </c>
      <c r="B272" t="n">
        <v>22.5</v>
      </c>
      <c r="C272" t="inlineStr">
        <is>
          <t>Phase 2</t>
        </is>
      </c>
      <c r="D272" s="72" t="n">
        <v>240906000000</v>
      </c>
      <c r="E272" t="n">
        <v>0</v>
      </c>
      <c r="F272" s="96" t="n">
        <v>1653033734.619303</v>
      </c>
      <c r="G272" s="96" t="n">
        <v>222057531683.8597</v>
      </c>
      <c r="H272" s="151" t="n">
        <v>0.4608800355405421</v>
      </c>
    </row>
    <row r="273">
      <c r="A273" t="n">
        <v>271</v>
      </c>
      <c r="B273" t="n">
        <v>22.58</v>
      </c>
      <c r="C273" t="inlineStr">
        <is>
          <t>Phase 2</t>
        </is>
      </c>
      <c r="D273" s="72" t="n">
        <v>240906000000</v>
      </c>
      <c r="E273" t="n">
        <v>0</v>
      </c>
      <c r="F273" s="96" t="n">
        <v>1665431487.628947</v>
      </c>
      <c r="G273" s="96" t="n">
        <v>223722963171.4886</v>
      </c>
      <c r="H273" s="151" t="n">
        <v>0.4643366358070962</v>
      </c>
    </row>
    <row r="274">
      <c r="A274" t="n">
        <v>272</v>
      </c>
      <c r="B274" t="n">
        <v>22.67</v>
      </c>
      <c r="C274" t="inlineStr">
        <is>
          <t>Phase 2</t>
        </is>
      </c>
      <c r="D274" s="72" t="n">
        <v>240906000000</v>
      </c>
      <c r="E274" t="n">
        <v>0</v>
      </c>
      <c r="F274" s="96" t="n">
        <v>1677922223.786165</v>
      </c>
      <c r="G274" s="96" t="n">
        <v>225400885395.2748</v>
      </c>
      <c r="H274" s="151" t="n">
        <v>0.4678191605756494</v>
      </c>
    </row>
    <row r="275">
      <c r="A275" t="n">
        <v>273</v>
      </c>
      <c r="B275" t="n">
        <v>22.75</v>
      </c>
      <c r="C275" t="inlineStr">
        <is>
          <t>Phase 2</t>
        </is>
      </c>
      <c r="D275" s="72" t="n">
        <v>240906000000</v>
      </c>
      <c r="E275" t="n">
        <v>0</v>
      </c>
      <c r="F275" s="96" t="n">
        <v>1690506640.464561</v>
      </c>
      <c r="G275" s="96" t="n">
        <v>227091392035.7393</v>
      </c>
      <c r="H275" s="151" t="n">
        <v>0.4713278042799668</v>
      </c>
    </row>
    <row r="276">
      <c r="A276" t="n">
        <v>274</v>
      </c>
      <c r="B276" t="n">
        <v>22.83</v>
      </c>
      <c r="C276" t="inlineStr">
        <is>
          <t>Phase 2</t>
        </is>
      </c>
      <c r="D276" s="72" t="n">
        <v>240906000000</v>
      </c>
      <c r="E276" t="n">
        <v>0</v>
      </c>
      <c r="F276" s="96" t="n">
        <v>1703185440.268045</v>
      </c>
      <c r="G276" s="96" t="n">
        <v>228794577476.0074</v>
      </c>
      <c r="H276" s="151" t="n">
        <v>0.4748627628120665</v>
      </c>
    </row>
    <row r="277">
      <c r="A277" t="n">
        <v>275</v>
      </c>
      <c r="B277" t="n">
        <v>22.92</v>
      </c>
      <c r="C277" t="inlineStr">
        <is>
          <t>Phase 2</t>
        </is>
      </c>
      <c r="D277" s="72" t="n">
        <v>240906000000</v>
      </c>
      <c r="E277" t="n">
        <v>0</v>
      </c>
      <c r="F277" s="96" t="n">
        <v>1715959331.070055</v>
      </c>
      <c r="G277" s="96" t="n">
        <v>230510536807.0775</v>
      </c>
      <c r="H277" s="151" t="n">
        <v>0.4784242335331571</v>
      </c>
    </row>
    <row r="278">
      <c r="A278" t="n">
        <v>276</v>
      </c>
      <c r="B278" t="n">
        <v>23</v>
      </c>
      <c r="C278" t="inlineStr">
        <is>
          <t>Phase 2</t>
        </is>
      </c>
      <c r="D278" s="72" t="n">
        <v>240906000000</v>
      </c>
      <c r="E278" t="n">
        <v>0</v>
      </c>
      <c r="F278" s="96" t="n">
        <v>1728829026.053081</v>
      </c>
      <c r="G278" s="96" t="n">
        <v>232239365833.1305</v>
      </c>
      <c r="H278" s="151" t="n">
        <v>0.4820124152846557</v>
      </c>
    </row>
    <row r="279">
      <c r="A279" t="n">
        <v>277</v>
      </c>
      <c r="B279" t="n">
        <v>23.08</v>
      </c>
      <c r="C279" t="inlineStr">
        <is>
          <t>Phase 2</t>
        </is>
      </c>
      <c r="D279" s="72" t="n">
        <v>240906000000</v>
      </c>
      <c r="E279" t="n">
        <v>0</v>
      </c>
      <c r="F279" s="96" t="n">
        <v>1741795243.748479</v>
      </c>
      <c r="G279" s="96" t="n">
        <v>233981161076.879</v>
      </c>
      <c r="H279" s="151" t="n">
        <v>0.4856275083992906</v>
      </c>
    </row>
    <row r="280">
      <c r="A280" t="n">
        <v>278</v>
      </c>
      <c r="B280" t="n">
        <v>23.17</v>
      </c>
      <c r="C280" t="inlineStr">
        <is>
          <t>Phase 2</t>
        </is>
      </c>
      <c r="D280" s="72" t="n">
        <v>240906000000</v>
      </c>
      <c r="E280" t="n">
        <v>0</v>
      </c>
      <c r="F280" s="96" t="n">
        <v>1754858708.076592</v>
      </c>
      <c r="G280" s="96" t="n">
        <v>235736019784.9556</v>
      </c>
      <c r="H280" s="151" t="n">
        <v>0.4892697147122853</v>
      </c>
    </row>
    <row r="281">
      <c r="A281" t="n">
        <v>279</v>
      </c>
      <c r="B281" t="n">
        <v>23.25</v>
      </c>
      <c r="C281" t="inlineStr">
        <is>
          <t>Phase 2</t>
        </is>
      </c>
      <c r="D281" s="72" t="n">
        <v>240906000000</v>
      </c>
      <c r="E281" t="n">
        <v>0</v>
      </c>
      <c r="F281" s="96" t="n">
        <v>1768020148.387167</v>
      </c>
      <c r="G281" s="96" t="n">
        <v>237504039933.3428</v>
      </c>
      <c r="H281" s="151" t="n">
        <v>0.4929392375726274</v>
      </c>
    </row>
    <row r="282">
      <c r="A282" t="n">
        <v>280</v>
      </c>
      <c r="B282" t="n">
        <v>23.33</v>
      </c>
      <c r="C282" t="inlineStr">
        <is>
          <t>Phase 2</t>
        </is>
      </c>
      <c r="D282" s="72" t="n">
        <v>240906000000</v>
      </c>
      <c r="E282" t="n">
        <v>0</v>
      </c>
      <c r="F282" s="96" t="n">
        <v>1781280299.500071</v>
      </c>
      <c r="G282" s="96" t="n">
        <v>239285320232.8428</v>
      </c>
      <c r="H282" s="151" t="n">
        <v>0.4966362818544221</v>
      </c>
    </row>
    <row r="283">
      <c r="A283" t="n">
        <v>281</v>
      </c>
      <c r="B283" t="n">
        <v>23.42</v>
      </c>
      <c r="C283" t="inlineStr">
        <is>
          <t>Phase 2</t>
        </is>
      </c>
      <c r="D283" s="72" t="n">
        <v>240906000000</v>
      </c>
      <c r="E283" t="n">
        <v>0</v>
      </c>
      <c r="F283" s="96" t="n">
        <v>1794639901.746321</v>
      </c>
      <c r="G283" s="96" t="n">
        <v>241079960134.5891</v>
      </c>
      <c r="H283" s="151" t="n">
        <v>0.5003610539683303</v>
      </c>
    </row>
    <row r="284">
      <c r="A284" t="n">
        <v>282</v>
      </c>
      <c r="B284" t="n">
        <v>23.5</v>
      </c>
      <c r="C284" t="inlineStr">
        <is>
          <t>Phase 2</t>
        </is>
      </c>
      <c r="D284" s="72" t="n">
        <v>240906000000</v>
      </c>
      <c r="E284" t="n">
        <v>0</v>
      </c>
      <c r="F284" s="96" t="n">
        <v>1808099701.009418</v>
      </c>
      <c r="G284" s="96" t="n">
        <v>242888059835.5986</v>
      </c>
      <c r="H284" s="151" t="n">
        <v>0.5041137618730928</v>
      </c>
    </row>
    <row r="285">
      <c r="A285" t="n">
        <v>283</v>
      </c>
      <c r="B285" t="n">
        <v>23.58</v>
      </c>
      <c r="C285" t="inlineStr">
        <is>
          <t>Phase 2</t>
        </is>
      </c>
      <c r="D285" s="72" t="n">
        <v>240906000000</v>
      </c>
      <c r="E285" t="n">
        <v>0</v>
      </c>
      <c r="F285" s="96" t="n">
        <v>1821660448.766989</v>
      </c>
      <c r="G285" s="96" t="n">
        <v>244709720284.3656</v>
      </c>
      <c r="H285" s="151" t="n">
        <v>0.507894615087141</v>
      </c>
    </row>
    <row r="286">
      <c r="A286" t="n">
        <v>284</v>
      </c>
      <c r="B286" t="n">
        <v>23.67</v>
      </c>
      <c r="C286" t="inlineStr">
        <is>
          <t>Phase 2</t>
        </is>
      </c>
      <c r="D286" s="72" t="n">
        <v>240906000000</v>
      </c>
      <c r="E286" t="n">
        <v>0</v>
      </c>
      <c r="F286" s="96" t="n">
        <v>1835322902.132742</v>
      </c>
      <c r="G286" s="96" t="n">
        <v>246545043186.4983</v>
      </c>
      <c r="H286" s="151" t="n">
        <v>0.5117038247002945</v>
      </c>
    </row>
    <row r="287">
      <c r="A287" t="n">
        <v>285</v>
      </c>
      <c r="B287" t="n">
        <v>23.75</v>
      </c>
      <c r="C287" t="inlineStr">
        <is>
          <t>Phase 2</t>
        </is>
      </c>
      <c r="D287" s="72" t="n">
        <v>240906000000</v>
      </c>
      <c r="E287" t="n">
        <v>0</v>
      </c>
      <c r="F287" s="96" t="n">
        <v>1849087823.898737</v>
      </c>
      <c r="G287" s="96" t="n">
        <v>248394131010.3971</v>
      </c>
      <c r="H287" s="151" t="n">
        <v>0.5155416033855468</v>
      </c>
    </row>
    <row r="288">
      <c r="A288" t="n">
        <v>286</v>
      </c>
      <c r="B288" t="n">
        <v>23.83</v>
      </c>
      <c r="C288" t="inlineStr">
        <is>
          <t>Phase 2</t>
        </is>
      </c>
      <c r="D288" s="72" t="n">
        <v>240906000000</v>
      </c>
      <c r="E288" t="n">
        <v>0</v>
      </c>
      <c r="F288" s="96" t="n">
        <v>1862955982.577978</v>
      </c>
      <c r="G288" s="96" t="n">
        <v>250257086992.975</v>
      </c>
      <c r="H288" s="151" t="n">
        <v>0.5194081654109384</v>
      </c>
    </row>
    <row r="289">
      <c r="A289" t="n">
        <v>287</v>
      </c>
      <c r="B289" t="n">
        <v>23.92</v>
      </c>
      <c r="C289" t="inlineStr">
        <is>
          <t>Phase 2</t>
        </is>
      </c>
      <c r="D289" s="72" t="n">
        <v>240906000000</v>
      </c>
      <c r="E289" t="n">
        <v>0</v>
      </c>
      <c r="F289" s="96" t="n">
        <v>1876928152.447313</v>
      </c>
      <c r="G289" s="96" t="n">
        <v>252134015145.4224</v>
      </c>
      <c r="H289" s="151" t="n">
        <v>0.5233037266515205</v>
      </c>
    </row>
    <row r="290">
      <c r="A290" t="n">
        <v>288</v>
      </c>
      <c r="B290" t="n">
        <v>24</v>
      </c>
      <c r="C290" t="inlineStr">
        <is>
          <t>Phase 2</t>
        </is>
      </c>
      <c r="D290" s="72" t="n">
        <v>240906000000</v>
      </c>
      <c r="E290" t="n">
        <v>0</v>
      </c>
      <c r="F290" s="96" t="n">
        <v>1891005113.590668</v>
      </c>
      <c r="G290" s="96" t="n">
        <v>254025020259.013</v>
      </c>
      <c r="H290" s="151" t="n">
        <v>0.5272285046014068</v>
      </c>
    </row>
    <row r="291">
      <c r="A291" t="n">
        <v>289</v>
      </c>
      <c r="B291" t="n">
        <v>24.08</v>
      </c>
      <c r="C291" t="inlineStr">
        <is>
          <t>Phase 2</t>
        </is>
      </c>
      <c r="D291" s="72" t="n">
        <v>240906000000</v>
      </c>
      <c r="E291" t="n">
        <v>0</v>
      </c>
      <c r="F291" s="96" t="n">
        <v>1905187651.942598</v>
      </c>
      <c r="G291" s="96" t="n">
        <v>255930207910.9556</v>
      </c>
      <c r="H291" s="151" t="n">
        <v>0.5311827183859174</v>
      </c>
    </row>
    <row r="292">
      <c r="A292" t="n">
        <v>290</v>
      </c>
      <c r="B292" t="n">
        <v>24.17</v>
      </c>
      <c r="C292" t="inlineStr">
        <is>
          <t>Phase 2</t>
        </is>
      </c>
      <c r="D292" s="72" t="n">
        <v>240906000000</v>
      </c>
      <c r="E292" t="n">
        <v>0</v>
      </c>
      <c r="F292" s="96" t="n">
        <v>1919476559.332167</v>
      </c>
      <c r="G292" s="96" t="n">
        <v>257849684470.2878</v>
      </c>
      <c r="H292" s="151" t="n">
        <v>0.5351665887738117</v>
      </c>
    </row>
    <row r="293">
      <c r="A293" t="n">
        <v>291</v>
      </c>
      <c r="B293" t="n">
        <v>24.25</v>
      </c>
      <c r="C293" t="inlineStr">
        <is>
          <t>Phase 2</t>
        </is>
      </c>
      <c r="D293" s="72" t="n">
        <v>240906000000</v>
      </c>
      <c r="E293" t="n">
        <v>0</v>
      </c>
      <c r="F293" s="96" t="n">
        <v>1933872633.527158</v>
      </c>
      <c r="G293" s="96" t="n">
        <v>259783557103.8149</v>
      </c>
      <c r="H293" s="151" t="n">
        <v>0.5391803381896153</v>
      </c>
    </row>
    <row r="294">
      <c r="A294" t="n">
        <v>292</v>
      </c>
      <c r="B294" t="n">
        <v>24.33</v>
      </c>
      <c r="C294" t="inlineStr">
        <is>
          <t>Phase 2</t>
        </is>
      </c>
      <c r="D294" s="72" t="n">
        <v>240906000000</v>
      </c>
      <c r="E294" t="n">
        <v>0</v>
      </c>
      <c r="F294" s="96" t="n">
        <v>1948376678.278612</v>
      </c>
      <c r="G294" s="96" t="n">
        <v>261731933782.0936</v>
      </c>
      <c r="H294" s="151" t="n">
        <v>0.5432241907260374</v>
      </c>
    </row>
    <row r="295">
      <c r="A295" t="n">
        <v>293</v>
      </c>
      <c r="B295" t="n">
        <v>24.42</v>
      </c>
      <c r="C295" t="inlineStr">
        <is>
          <t>Phase 2</t>
        </is>
      </c>
      <c r="D295" s="72" t="n">
        <v>240906000000</v>
      </c>
      <c r="E295" t="n">
        <v>0</v>
      </c>
      <c r="F295" s="96" t="n">
        <v>1962989503.365702</v>
      </c>
      <c r="G295" s="96" t="n">
        <v>263694923285.4593</v>
      </c>
      <c r="H295" s="151" t="n">
        <v>0.5472983721564827</v>
      </c>
    </row>
    <row r="296">
      <c r="A296" t="n">
        <v>294</v>
      </c>
      <c r="B296" t="n">
        <v>24.5</v>
      </c>
      <c r="C296" t="inlineStr">
        <is>
          <t>Phase 2</t>
        </is>
      </c>
      <c r="D296" s="72" t="n">
        <v>240906000000</v>
      </c>
      <c r="E296" t="n">
        <v>0</v>
      </c>
      <c r="F296" s="96" t="n">
        <v>1977711924.640944</v>
      </c>
      <c r="G296" s="96" t="n">
        <v>265672635210.1002</v>
      </c>
      <c r="H296" s="151" t="n">
        <v>0.5514031099476563</v>
      </c>
    </row>
    <row r="297">
      <c r="A297" t="n">
        <v>295</v>
      </c>
      <c r="B297" t="n">
        <v>24.58</v>
      </c>
      <c r="C297" t="inlineStr">
        <is>
          <t>Phase 2</t>
        </is>
      </c>
      <c r="D297" s="72" t="n">
        <v>240906000000</v>
      </c>
      <c r="E297" t="n">
        <v>0</v>
      </c>
      <c r="F297" s="96" t="n">
        <v>1992544764.075751</v>
      </c>
      <c r="G297" s="96" t="n">
        <v>267665179974.1759</v>
      </c>
      <c r="H297" s="151" t="n">
        <v>0.5555386332722637</v>
      </c>
    </row>
    <row r="298">
      <c r="A298" t="n">
        <v>296</v>
      </c>
      <c r="B298" t="n">
        <v>24.67</v>
      </c>
      <c r="C298" t="inlineStr">
        <is>
          <t>Phase 2</t>
        </is>
      </c>
      <c r="D298" s="72" t="n">
        <v>240906000000</v>
      </c>
      <c r="E298" t="n">
        <v>0</v>
      </c>
      <c r="F298" s="96" t="n">
        <v>2007488849.806319</v>
      </c>
      <c r="G298" s="96" t="n">
        <v>269672668823.9822</v>
      </c>
      <c r="H298" s="151" t="n">
        <v>0.5597051730218057</v>
      </c>
    </row>
    <row r="299">
      <c r="A299" t="n">
        <v>297</v>
      </c>
      <c r="B299" t="n">
        <v>24.75</v>
      </c>
      <c r="C299" t="inlineStr">
        <is>
          <t>Phase 2</t>
        </is>
      </c>
      <c r="D299" s="72" t="n">
        <v>240906000000</v>
      </c>
      <c r="E299" t="n">
        <v>0</v>
      </c>
      <c r="F299" s="96" t="n">
        <v>2022545016.179867</v>
      </c>
      <c r="G299" s="96" t="n">
        <v>271695213840.1621</v>
      </c>
      <c r="H299" s="151" t="n">
        <v>0.5639029618194692</v>
      </c>
    </row>
    <row r="300">
      <c r="A300" t="n">
        <v>298</v>
      </c>
      <c r="B300" t="n">
        <v>24.83</v>
      </c>
      <c r="C300" t="inlineStr">
        <is>
          <t>Phase 2</t>
        </is>
      </c>
      <c r="D300" s="72" t="n">
        <v>240906000000</v>
      </c>
      <c r="E300" t="n">
        <v>0</v>
      </c>
      <c r="F300" s="96" t="n">
        <v>2037714103.801216</v>
      </c>
      <c r="G300" s="96" t="n">
        <v>273732927943.9633</v>
      </c>
      <c r="H300" s="151" t="n">
        <v>0.5681322340331152</v>
      </c>
    </row>
    <row r="301">
      <c r="A301" t="n">
        <v>299</v>
      </c>
      <c r="B301" t="n">
        <v>24.92</v>
      </c>
      <c r="C301" t="inlineStr">
        <is>
          <t>Phase 2</t>
        </is>
      </c>
      <c r="D301" s="72" t="n">
        <v>240906000000</v>
      </c>
      <c r="E301" t="n">
        <v>0</v>
      </c>
      <c r="F301" s="96" t="n">
        <v>2052996959.579725</v>
      </c>
      <c r="G301" s="96" t="n">
        <v>275785924903.543</v>
      </c>
      <c r="H301" s="151" t="n">
        <v>0.5723932257883636</v>
      </c>
    </row>
    <row r="302">
      <c r="A302" t="n">
        <v>300</v>
      </c>
      <c r="B302" t="n">
        <v>25</v>
      </c>
      <c r="C302" t="inlineStr">
        <is>
          <t>Phase 2</t>
        </is>
      </c>
      <c r="D302" s="72" t="n">
        <v>240906000000</v>
      </c>
      <c r="E302" t="n">
        <v>0</v>
      </c>
      <c r="F302" s="96" t="n">
        <v>2068394436.776573</v>
      </c>
      <c r="G302" s="96" t="n">
        <v>277854319340.3196</v>
      </c>
      <c r="H302" s="151" t="n">
        <v>0.5766861749817762</v>
      </c>
    </row>
    <row r="303">
      <c r="A303" t="n">
        <v>301</v>
      </c>
      <c r="B303" t="n">
        <v>25.08</v>
      </c>
      <c r="C303" t="inlineStr">
        <is>
          <t>Phase 2</t>
        </is>
      </c>
      <c r="D303" s="72" t="n">
        <v>240906000000</v>
      </c>
      <c r="E303" t="n">
        <v>0</v>
      </c>
      <c r="F303" s="96" t="n">
        <v>2083907395.052397</v>
      </c>
      <c r="G303" s="96" t="n">
        <v>279938226735.3719</v>
      </c>
      <c r="H303" s="151" t="n">
        <v>0.5810113212941395</v>
      </c>
    </row>
    <row r="304">
      <c r="A304" t="n">
        <v>302</v>
      </c>
      <c r="B304" t="n">
        <v>25.17</v>
      </c>
      <c r="C304" t="inlineStr">
        <is>
          <t>Phase 2</t>
        </is>
      </c>
      <c r="D304" s="72" t="n">
        <v>240906000000</v>
      </c>
      <c r="E304" t="n">
        <v>0</v>
      </c>
      <c r="F304" s="96" t="n">
        <v>2099536700.51529</v>
      </c>
      <c r="G304" s="96" t="n">
        <v>282037763435.8873</v>
      </c>
      <c r="H304" s="151" t="n">
        <v>0.5853689062038456</v>
      </c>
    </row>
    <row r="305">
      <c r="A305" t="n">
        <v>303</v>
      </c>
      <c r="B305" t="n">
        <v>25.25</v>
      </c>
      <c r="C305" t="inlineStr">
        <is>
          <t>Phase 2</t>
        </is>
      </c>
      <c r="D305" s="72" t="n">
        <v>240906000000</v>
      </c>
      <c r="E305" t="n">
        <v>0</v>
      </c>
      <c r="F305" s="96" t="n">
        <v>2115283225.769155</v>
      </c>
      <c r="G305" s="96" t="n">
        <v>284153046661.6564</v>
      </c>
      <c r="H305" s="151" t="n">
        <v>0.5897591730003745</v>
      </c>
    </row>
    <row r="306">
      <c r="A306" t="n">
        <v>304</v>
      </c>
      <c r="B306" t="n">
        <v>25.33</v>
      </c>
      <c r="C306" t="inlineStr">
        <is>
          <t>Phase 2</t>
        </is>
      </c>
      <c r="D306" s="72" t="n">
        <v>240906000000</v>
      </c>
      <c r="E306" t="n">
        <v>0</v>
      </c>
      <c r="F306" s="96" t="n">
        <v>2131147849.962423</v>
      </c>
      <c r="G306" s="96" t="n">
        <v>286284194511.6188</v>
      </c>
      <c r="H306" s="151" t="n">
        <v>0.5941823667978773</v>
      </c>
    </row>
    <row r="307">
      <c r="A307" t="n">
        <v>305</v>
      </c>
      <c r="B307" t="n">
        <v>25.42</v>
      </c>
      <c r="C307" t="inlineStr">
        <is>
          <t>Phase 2</t>
        </is>
      </c>
      <c r="D307" s="72" t="n">
        <v>240906000000</v>
      </c>
      <c r="E307" t="n">
        <v>0</v>
      </c>
      <c r="F307" s="96" t="n">
        <v>2147131458.837141</v>
      </c>
      <c r="G307" s="96" t="n">
        <v>288431325970.456</v>
      </c>
      <c r="H307" s="151" t="n">
        <v>0.5986387345488614</v>
      </c>
    </row>
    <row r="308">
      <c r="A308" t="n">
        <v>306</v>
      </c>
      <c r="B308" t="n">
        <v>25.5</v>
      </c>
      <c r="C308" t="inlineStr">
        <is>
          <t>Phase 2</t>
        </is>
      </c>
      <c r="D308" s="72" t="n">
        <v>240906000000</v>
      </c>
      <c r="E308" t="n">
        <v>0</v>
      </c>
      <c r="F308" s="96" t="n">
        <v>2163234944.77842</v>
      </c>
      <c r="G308" s="96" t="n">
        <v>290594560915.2344</v>
      </c>
      <c r="H308" s="151" t="n">
        <v>0.6031285250579779</v>
      </c>
    </row>
    <row r="309">
      <c r="A309" t="n">
        <v>307</v>
      </c>
      <c r="B309" t="n">
        <v>25.58</v>
      </c>
      <c r="C309" t="inlineStr">
        <is>
          <t>Phase 2</t>
        </is>
      </c>
      <c r="D309" s="72" t="n">
        <v>240906000000</v>
      </c>
      <c r="E309" t="n">
        <v>0</v>
      </c>
      <c r="F309" s="96" t="n">
        <v>2179459206.864258</v>
      </c>
      <c r="G309" s="96" t="n">
        <v>292774020122.0987</v>
      </c>
      <c r="H309" s="151" t="n">
        <v>0.6076519889959127</v>
      </c>
    </row>
    <row r="310">
      <c r="A310" t="n">
        <v>308</v>
      </c>
      <c r="B310" t="n">
        <v>25.67</v>
      </c>
      <c r="C310" t="inlineStr">
        <is>
          <t>Phase 2</t>
        </is>
      </c>
      <c r="D310" s="72" t="n">
        <v>240906000000</v>
      </c>
      <c r="E310" t="n">
        <v>0</v>
      </c>
      <c r="F310" s="96" t="n">
        <v>2195805150.91574</v>
      </c>
      <c r="G310" s="96" t="n">
        <v>294969825273.0144</v>
      </c>
      <c r="H310" s="151" t="n">
        <v>0.612209378913382</v>
      </c>
    </row>
    <row r="311">
      <c r="A311" t="n">
        <v>309</v>
      </c>
      <c r="B311" t="n">
        <v>25.75</v>
      </c>
      <c r="C311" t="inlineStr">
        <is>
          <t>Phase 2</t>
        </is>
      </c>
      <c r="D311" s="72" t="n">
        <v>240906000000</v>
      </c>
      <c r="E311" t="n">
        <v>0</v>
      </c>
      <c r="F311" s="96" t="n">
        <v>2212273689.547608</v>
      </c>
      <c r="G311" s="96" t="n">
        <v>297182098962.562</v>
      </c>
      <c r="H311" s="151" t="n">
        <v>0.6168009492552323</v>
      </c>
    </row>
    <row r="312">
      <c r="A312" t="n">
        <v>310</v>
      </c>
      <c r="B312" t="n">
        <v>25.83</v>
      </c>
      <c r="C312" t="inlineStr">
        <is>
          <t>Phase 2</t>
        </is>
      </c>
      <c r="D312" s="72" t="n">
        <v>240906000000</v>
      </c>
      <c r="E312" t="n">
        <v>0</v>
      </c>
      <c r="F312" s="96" t="n">
        <v>2228865742.219215</v>
      </c>
      <c r="G312" s="96" t="n">
        <v>299410964704.7812</v>
      </c>
      <c r="H312" s="151" t="n">
        <v>0.6214269563746466</v>
      </c>
    </row>
    <row r="313">
      <c r="A313" t="n">
        <v>311</v>
      </c>
      <c r="B313" t="n">
        <v>25.92</v>
      </c>
      <c r="C313" t="inlineStr">
        <is>
          <t>Phase 2</t>
        </is>
      </c>
      <c r="D313" s="72" t="n">
        <v>240906000000</v>
      </c>
      <c r="E313" t="n">
        <v>0</v>
      </c>
      <c r="F313" s="96" t="n">
        <v>2245582235.285859</v>
      </c>
      <c r="G313" s="96" t="n">
        <v>301656546940.0671</v>
      </c>
      <c r="H313" s="151" t="n">
        <v>0.6260876585474565</v>
      </c>
    </row>
    <row r="314">
      <c r="A314" t="n">
        <v>312</v>
      </c>
      <c r="B314" t="n">
        <v>26</v>
      </c>
      <c r="C314" t="inlineStr">
        <is>
          <t>Phase 2</t>
        </is>
      </c>
      <c r="D314" s="72" t="n">
        <v>240906000000</v>
      </c>
      <c r="E314" t="n">
        <v>0</v>
      </c>
      <c r="F314" s="96" t="n">
        <v>2262424102.050503</v>
      </c>
      <c r="G314" s="96" t="n">
        <v>303918971042.1176</v>
      </c>
      <c r="H314" s="151" t="n">
        <v>0.6307833159865625</v>
      </c>
    </row>
    <row r="315">
      <c r="A315" t="n">
        <v>313</v>
      </c>
      <c r="B315" t="n">
        <v>26.08</v>
      </c>
      <c r="C315" t="inlineStr">
        <is>
          <t>Phase 2</t>
        </is>
      </c>
      <c r="D315" s="72" t="n">
        <v>240906000000</v>
      </c>
      <c r="E315" t="n">
        <v>0</v>
      </c>
      <c r="F315" s="96" t="n">
        <v>2279392282.815882</v>
      </c>
      <c r="G315" s="96" t="n">
        <v>306198363324.9335</v>
      </c>
      <c r="H315" s="151" t="n">
        <v>0.6355141908564615</v>
      </c>
    </row>
    <row r="316">
      <c r="A316" t="n">
        <v>314</v>
      </c>
      <c r="B316" t="n">
        <v>26.17</v>
      </c>
      <c r="C316" t="inlineStr">
        <is>
          <t>Phase 2</t>
        </is>
      </c>
      <c r="D316" s="72" t="n">
        <v>240906000000</v>
      </c>
      <c r="E316" t="n">
        <v>0</v>
      </c>
      <c r="F316" s="96" t="n">
        <v>2296487724.937001</v>
      </c>
      <c r="G316" s="96" t="n">
        <v>308494851049.8705</v>
      </c>
      <c r="H316" s="151" t="n">
        <v>0.6402805472878851</v>
      </c>
    </row>
    <row r="317">
      <c r="A317" t="n">
        <v>315</v>
      </c>
      <c r="B317" t="n">
        <v>26.25</v>
      </c>
      <c r="C317" t="inlineStr">
        <is>
          <t>Phase 2</t>
        </is>
      </c>
      <c r="D317" s="72" t="n">
        <v>240906000000</v>
      </c>
      <c r="E317" t="n">
        <v>0</v>
      </c>
      <c r="F317" s="96" t="n">
        <v>2313711382.874029</v>
      </c>
      <c r="G317" s="96" t="n">
        <v>310808562432.7445</v>
      </c>
      <c r="H317" s="151" t="n">
        <v>0.6450826513925442</v>
      </c>
    </row>
    <row r="318">
      <c r="A318" t="n">
        <v>316</v>
      </c>
      <c r="B318" t="n">
        <v>26.33</v>
      </c>
      <c r="C318" t="inlineStr">
        <is>
          <t>Phase 2</t>
        </is>
      </c>
      <c r="D318" s="72" t="n">
        <v>240906000000</v>
      </c>
      <c r="E318" t="n">
        <v>0</v>
      </c>
      <c r="F318" s="96" t="n">
        <v>2331064218.245584</v>
      </c>
      <c r="G318" s="96" t="n">
        <v>313139626650.9901</v>
      </c>
      <c r="H318" s="151" t="n">
        <v>0.6499207712779883</v>
      </c>
    </row>
    <row r="319">
      <c r="A319" t="n">
        <v>317</v>
      </c>
      <c r="B319" t="n">
        <v>26.42</v>
      </c>
      <c r="C319" t="inlineStr">
        <is>
          <t>Phase 2</t>
        </is>
      </c>
      <c r="D319" s="72" t="n">
        <v>240906000000</v>
      </c>
      <c r="E319" t="n">
        <v>0</v>
      </c>
      <c r="F319" s="96" t="n">
        <v>2348547199.882426</v>
      </c>
      <c r="G319" s="96" t="n">
        <v>315488173850.8726</v>
      </c>
      <c r="H319" s="151" t="n">
        <v>0.6547951770625733</v>
      </c>
    </row>
    <row r="320">
      <c r="A320" t="n">
        <v>318</v>
      </c>
      <c r="B320" t="n">
        <v>26.5</v>
      </c>
      <c r="C320" t="inlineStr">
        <is>
          <t>Phase 2</t>
        </is>
      </c>
      <c r="D320" s="72" t="n">
        <v>240906000000</v>
      </c>
      <c r="E320" t="n">
        <v>0</v>
      </c>
      <c r="F320" s="96" t="n">
        <v>2366161303.881544</v>
      </c>
      <c r="G320" s="96" t="n">
        <v>317854335154.7541</v>
      </c>
      <c r="H320" s="151" t="n">
        <v>0.6597061408905426</v>
      </c>
    </row>
    <row r="321">
      <c r="A321" t="n">
        <v>319</v>
      </c>
      <c r="B321" t="n">
        <v>26.58</v>
      </c>
      <c r="C321" t="inlineStr">
        <is>
          <t>Phase 2</t>
        </is>
      </c>
      <c r="D321" s="72" t="n">
        <v>240906000000</v>
      </c>
      <c r="E321" t="n">
        <v>0</v>
      </c>
      <c r="F321" s="96" t="n">
        <v>2383907513.660655</v>
      </c>
      <c r="G321" s="96" t="n">
        <v>320238242668.4147</v>
      </c>
      <c r="H321" s="151" t="n">
        <v>0.6646539369472216</v>
      </c>
    </row>
    <row r="322">
      <c r="A322" t="n">
        <v>320</v>
      </c>
      <c r="B322" t="n">
        <v>26.67</v>
      </c>
      <c r="C322" t="inlineStr">
        <is>
          <t>Phase 2</t>
        </is>
      </c>
      <c r="D322" s="72" t="n">
        <v>240906000000</v>
      </c>
      <c r="E322" t="n">
        <v>0</v>
      </c>
      <c r="F322" s="96" t="n">
        <v>2401786820.013111</v>
      </c>
      <c r="G322" s="96" t="n">
        <v>322640029488.4279</v>
      </c>
      <c r="H322" s="151" t="n">
        <v>0.6696388414743258</v>
      </c>
    </row>
    <row r="323">
      <c r="A323" t="n">
        <v>321</v>
      </c>
      <c r="B323" t="n">
        <v>26.75</v>
      </c>
      <c r="C323" t="inlineStr">
        <is>
          <t>Phase 2</t>
        </is>
      </c>
      <c r="D323" s="72" t="n">
        <v>240906000000</v>
      </c>
      <c r="E323" t="n">
        <v>0</v>
      </c>
      <c r="F323" s="96" t="n">
        <v>2419800221.163209</v>
      </c>
      <c r="G323" s="96" t="n">
        <v>325059829709.5911</v>
      </c>
      <c r="H323" s="151" t="n">
        <v>0.6746611327853832</v>
      </c>
    </row>
    <row r="324">
      <c r="A324" t="n">
        <v>322</v>
      </c>
      <c r="B324" t="n">
        <v>26.83</v>
      </c>
      <c r="C324" t="inlineStr">
        <is>
          <t>Phase 2</t>
        </is>
      </c>
      <c r="D324" s="72" t="n">
        <v>240906000000</v>
      </c>
      <c r="E324" t="n">
        <v>0</v>
      </c>
      <c r="F324" s="96" t="n">
        <v>2437948722.821933</v>
      </c>
      <c r="G324" s="96" t="n">
        <v>327497778432.413</v>
      </c>
      <c r="H324" s="151" t="n">
        <v>0.6797210912812737</v>
      </c>
    </row>
    <row r="325">
      <c r="A325" t="n">
        <v>323</v>
      </c>
      <c r="B325" t="n">
        <v>26.92</v>
      </c>
      <c r="C325" t="inlineStr">
        <is>
          <t>Phase 2</t>
        </is>
      </c>
      <c r="D325" s="72" t="n">
        <v>240906000000</v>
      </c>
      <c r="E325" t="n">
        <v>0</v>
      </c>
      <c r="F325" s="96" t="n">
        <v>2456233338.243098</v>
      </c>
      <c r="G325" s="96" t="n">
        <v>329954011770.6561</v>
      </c>
      <c r="H325" s="151" t="n">
        <v>0.6848189994658832</v>
      </c>
    </row>
    <row r="326">
      <c r="A326" t="n">
        <v>324</v>
      </c>
      <c r="B326" t="n">
        <v>27</v>
      </c>
      <c r="C326" t="inlineStr">
        <is>
          <t>Phase 2</t>
        </is>
      </c>
      <c r="D326" s="72" t="n">
        <v>240906000000</v>
      </c>
      <c r="E326" t="n">
        <v>0</v>
      </c>
      <c r="F326" s="96" t="n">
        <v>2474655088.279921</v>
      </c>
      <c r="G326" s="96" t="n">
        <v>332428666858.936</v>
      </c>
      <c r="H326" s="151" t="n">
        <v>0.6899551419618773</v>
      </c>
    </row>
    <row r="327">
      <c r="A327" t="n">
        <v>325</v>
      </c>
      <c r="B327" t="n">
        <v>27.08</v>
      </c>
      <c r="C327" t="inlineStr">
        <is>
          <t>Phase 2</t>
        </is>
      </c>
      <c r="D327" s="72" t="n">
        <v>240906000000</v>
      </c>
      <c r="E327" t="n">
        <v>0</v>
      </c>
      <c r="F327" s="96" t="n">
        <v>2493215001.44202</v>
      </c>
      <c r="G327" s="96" t="n">
        <v>334921881860.3781</v>
      </c>
      <c r="H327" s="151" t="n">
        <v>0.6951298055265914</v>
      </c>
    </row>
    <row r="328">
      <c r="A328" t="n">
        <v>326</v>
      </c>
      <c r="B328" t="n">
        <v>27.17</v>
      </c>
      <c r="C328" t="inlineStr">
        <is>
          <t>Phase 2</t>
        </is>
      </c>
      <c r="D328" s="72" t="n">
        <v>240906000000</v>
      </c>
      <c r="E328" t="n">
        <v>0</v>
      </c>
      <c r="F328" s="96" t="n">
        <v>2511914113.952835</v>
      </c>
      <c r="G328" s="96" t="n">
        <v>337433795974.3309</v>
      </c>
      <c r="H328" s="151" t="n">
        <v>0.7003432790680408</v>
      </c>
    </row>
    <row r="329">
      <c r="A329" t="n">
        <v>327</v>
      </c>
      <c r="B329" t="n">
        <v>27.25</v>
      </c>
      <c r="C329" t="inlineStr">
        <is>
          <t>Phase 2</t>
        </is>
      </c>
      <c r="D329" s="72" t="n">
        <v>240906000000</v>
      </c>
      <c r="E329" t="n">
        <v>0</v>
      </c>
      <c r="F329" s="96" t="n">
        <v>2530753469.807481</v>
      </c>
      <c r="G329" s="96" t="n">
        <v>339964549444.1384</v>
      </c>
      <c r="H329" s="151" t="n">
        <v>0.7055958536610512</v>
      </c>
    </row>
    <row r="330">
      <c r="A330" t="n">
        <v>328</v>
      </c>
      <c r="B330" t="n">
        <v>27.33</v>
      </c>
      <c r="C330" t="inlineStr">
        <is>
          <t>Phase 2</t>
        </is>
      </c>
      <c r="D330" s="72" t="n">
        <v>240906000000</v>
      </c>
      <c r="E330" t="n">
        <v>0</v>
      </c>
      <c r="F330" s="96" t="n">
        <v>2549734120.831038</v>
      </c>
      <c r="G330" s="96" t="n">
        <v>342514283564.9694</v>
      </c>
      <c r="H330" s="151" t="n">
        <v>0.710887822563509</v>
      </c>
    </row>
    <row r="331">
      <c r="A331" t="n">
        <v>329</v>
      </c>
      <c r="B331" t="n">
        <v>27.42</v>
      </c>
      <c r="C331" t="inlineStr">
        <is>
          <t>Phase 2</t>
        </is>
      </c>
      <c r="D331" s="72" t="n">
        <v>240906000000</v>
      </c>
      <c r="E331" t="n">
        <v>0</v>
      </c>
      <c r="F331" s="96" t="n">
        <v>2568857126.73727</v>
      </c>
      <c r="G331" s="96" t="n">
        <v>345083140691.7067</v>
      </c>
      <c r="H331" s="151" t="n">
        <v>0.7162194812327353</v>
      </c>
    </row>
    <row r="332">
      <c r="A332" t="n">
        <v>330</v>
      </c>
      <c r="B332" t="n">
        <v>27.5</v>
      </c>
      <c r="C332" t="inlineStr">
        <is>
          <t>Phase 2</t>
        </is>
      </c>
      <c r="D332" s="72" t="n">
        <v>240906000000</v>
      </c>
      <c r="E332" t="n">
        <v>0</v>
      </c>
      <c r="F332" s="96" t="n">
        <v>2588123555.1878</v>
      </c>
      <c r="G332" s="96" t="n">
        <v>347671264246.8945</v>
      </c>
      <c r="H332" s="151" t="n">
        <v>0.7215911273419808</v>
      </c>
    </row>
    <row r="333">
      <c r="A333" t="n">
        <v>331</v>
      </c>
      <c r="B333" t="n">
        <v>27.58</v>
      </c>
      <c r="C333" t="inlineStr">
        <is>
          <t>Phase 2</t>
        </is>
      </c>
      <c r="D333" s="72" t="n">
        <v>240906000000</v>
      </c>
      <c r="E333" t="n">
        <v>0</v>
      </c>
      <c r="F333" s="96" t="n">
        <v>2607534481.851708</v>
      </c>
      <c r="G333" s="96" t="n">
        <v>350278798728.7462</v>
      </c>
      <c r="H333" s="151" t="n">
        <v>0.7270030607970457</v>
      </c>
    </row>
    <row r="334">
      <c r="A334" t="n">
        <v>332</v>
      </c>
      <c r="B334" t="n">
        <v>27.67</v>
      </c>
      <c r="C334" t="inlineStr">
        <is>
          <t>Phase 2</t>
        </is>
      </c>
      <c r="D334" s="72" t="n">
        <v>240906000000</v>
      </c>
      <c r="E334" t="n">
        <v>0</v>
      </c>
      <c r="F334" s="96" t="n">
        <v>2627090990.465596</v>
      </c>
      <c r="G334" s="96" t="n">
        <v>352905889719.2117</v>
      </c>
      <c r="H334" s="151" t="n">
        <v>0.7324555837530234</v>
      </c>
    </row>
    <row r="335">
      <c r="A335" t="n">
        <v>333</v>
      </c>
      <c r="B335" t="n">
        <v>27.75</v>
      </c>
      <c r="C335" t="inlineStr">
        <is>
          <t>Phase 2</t>
        </is>
      </c>
      <c r="D335" s="72" t="n">
        <v>240906000000</v>
      </c>
      <c r="E335" t="n">
        <v>0</v>
      </c>
      <c r="F335" s="96" t="n">
        <v>2646794172.894088</v>
      </c>
      <c r="G335" s="96" t="n">
        <v>355552683892.1058</v>
      </c>
      <c r="H335" s="151" t="n">
        <v>0.7379490006311712</v>
      </c>
    </row>
    <row r="336">
      <c r="A336" t="n">
        <v>334</v>
      </c>
      <c r="B336" t="n">
        <v>27.83</v>
      </c>
      <c r="C336" t="inlineStr">
        <is>
          <t>Phase 2</t>
        </is>
      </c>
      <c r="D336" s="72" t="n">
        <v>240906000000</v>
      </c>
      <c r="E336" t="n">
        <v>0</v>
      </c>
      <c r="F336" s="96" t="n">
        <v>2666645129.190794</v>
      </c>
      <c r="G336" s="96" t="n">
        <v>358219329021.2966</v>
      </c>
      <c r="H336" s="151" t="n">
        <v>0.7434836181359049</v>
      </c>
    </row>
    <row r="337">
      <c r="A337" t="n">
        <v>335</v>
      </c>
      <c r="B337" t="n">
        <v>27.92</v>
      </c>
      <c r="C337" t="inlineStr">
        <is>
          <t>Phase 2</t>
        </is>
      </c>
      <c r="D337" s="72" t="n">
        <v>240906000000</v>
      </c>
      <c r="E337" t="n">
        <v>0</v>
      </c>
      <c r="F337" s="96" t="n">
        <v>2686644967.659725</v>
      </c>
      <c r="G337" s="96" t="n">
        <v>360905973988.9564</v>
      </c>
      <c r="H337" s="151" t="n">
        <v>0.7490597452719242</v>
      </c>
    </row>
    <row r="338">
      <c r="A338" t="n">
        <v>336</v>
      </c>
      <c r="B338" t="n">
        <v>28</v>
      </c>
      <c r="C338" t="inlineStr">
        <is>
          <t>Phase 2</t>
        </is>
      </c>
      <c r="D338" s="72" t="n">
        <v>240906000000</v>
      </c>
      <c r="E338" t="n">
        <v>0</v>
      </c>
      <c r="F338" s="96" t="n">
        <v>2706794804.917172</v>
      </c>
      <c r="G338" s="96" t="n">
        <v>363612768793.8735</v>
      </c>
      <c r="H338" s="151" t="n">
        <v>0.7546776933614636</v>
      </c>
    </row>
    <row r="347">
      <c r="D347" s="15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2026-03-26T19:19:56Z</dcterms:created>
  <dcterms:modified xsi:type="dcterms:W3CDTF">2026-04-07T17:41:17Z</dcterms:modified>
  <cp:lastModifiedBy>Nick g</cp:lastModifiedBy>
</cp:coreProperties>
</file>